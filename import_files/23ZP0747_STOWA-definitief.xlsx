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cadiso365.sharepoint.com/teams/ch-10610965/Shared Documents/Project/05 Project execution/06 Opleveringen/"/>
    </mc:Choice>
  </mc:AlternateContent>
  <xr:revisionPtr revIDLastSave="26" documentId="13_ncr:1_{23E80126-0A15-4F76-8CD9-FBD8E8C0C181}" xr6:coauthVersionLast="47" xr6:coauthVersionMax="47" xr10:uidLastSave="{BFEB532D-79EC-491E-960F-B0806A3D8FAC}"/>
  <bookViews>
    <workbookView xWindow="-120" yWindow="-120" windowWidth="29040" windowHeight="15720" tabRatio="829" xr2:uid="{00000000-000D-0000-FFFF-FFFF00000000}"/>
  </bookViews>
  <sheets>
    <sheet name="Dbase" sheetId="2" r:id="rId1"/>
    <sheet name="ControleDbaseVelden" sheetId="3" r:id="rId2"/>
    <sheet name="Dbase_velden_versie4_2" sheetId="1" r:id="rId3"/>
  </sheets>
  <definedNames>
    <definedName name="_xlnm._FilterDatabase" localSheetId="2" hidden="1">Dbase_velden_versie4_2!$A$1:$M$461</definedName>
    <definedName name="_xlnm.Print_Area" localSheetId="2">Dbase_velden_versie4_2!$A$2:$D$461</definedName>
    <definedName name="_xlnm.Print_Titles" localSheetId="2">Dbase_velden_versie4_2!$1:$1</definedName>
    <definedName name="Z_7BCCCC49_904B_4B68_BD0E_6625CEA49AE4_.wvu.Cols" localSheetId="2" hidden="1">Dbase_velden_versie4_2!#REF!</definedName>
    <definedName name="Z_7BCCCC49_904B_4B68_BD0E_6625CEA49AE4_.wvu.FilterData" localSheetId="2" hidden="1">Dbase_velden_versie4_2!$B$1:$C$410</definedName>
    <definedName name="Z_7BCCCC49_904B_4B68_BD0E_6625CEA49AE4_.wvu.PrintArea" localSheetId="2" hidden="1">Dbase_velden_versie4_2!$A$2:$D$461</definedName>
    <definedName name="Z_7BCCCC49_904B_4B68_BD0E_6625CEA49AE4_.wvu.PrintTitles" localSheetId="2" hidden="1">Dbase_velden_versie4_2!$1:$1</definedName>
    <definedName name="Z_AC1C79AF_07C1_45A7_A020_1ED797ED10E7_.wvu.Cols" localSheetId="2" hidden="1">Dbase_velden_versie4_2!#REF!</definedName>
    <definedName name="Z_AC1C79AF_07C1_45A7_A020_1ED797ED10E7_.wvu.FilterData" localSheetId="2" hidden="1">Dbase_velden_versie4_2!$B$1:$C$410</definedName>
    <definedName name="Z_AC1C79AF_07C1_45A7_A020_1ED797ED10E7_.wvu.PrintArea" localSheetId="2" hidden="1">Dbase_velden_versie4_2!$A$2:$H$461</definedName>
    <definedName name="Z_AC1C79AF_07C1_45A7_A020_1ED797ED10E7_.wvu.PrintTitles" localSheetId="2" hidden="1">Dbase_velden_versie4_2!$1:$1</definedName>
  </definedNames>
  <calcPr calcId="191028"/>
  <customWorkbookViews>
    <customWorkbookView name="Kapinga, Sander - Persoonlijke weergave" guid="{7BCCCC49-904B-4B68-BD0E-6625CEA49AE4}" mergeInterval="0" personalView="1" xWindow="5" yWindow="24" windowWidth="1910" windowHeight="392" tabRatio="829" activeSheetId="1" showComments="commIndAndComment"/>
    <customWorkbookView name="Ponsteen, W.B. Wim - Persoonlijke weergave" guid="{AC1C79AF-07C1-45A7-A020-1ED797ED10E7}" mergeInterval="0" personalView="1" maximized="1" windowWidth="1676" windowHeight="825" tabRatio="82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2" l="1"/>
  <c r="C77" i="2"/>
  <c r="D77" i="2"/>
  <c r="E77" i="2"/>
  <c r="F77" i="2"/>
  <c r="G77" i="2"/>
  <c r="H77" i="2"/>
  <c r="I77" i="2"/>
  <c r="B133" i="2"/>
  <c r="C133" i="2"/>
  <c r="D133" i="2"/>
  <c r="E133" i="2"/>
  <c r="F133" i="2"/>
  <c r="G133" i="2"/>
  <c r="H133" i="2"/>
  <c r="I133" i="2"/>
  <c r="B134" i="2"/>
  <c r="C134" i="2"/>
  <c r="D134" i="2"/>
  <c r="E134" i="2"/>
  <c r="F134" i="2"/>
  <c r="G134" i="2"/>
  <c r="H134" i="2"/>
  <c r="I134" i="2"/>
  <c r="B102" i="2" l="1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K5" i="3" l="1" a="1"/>
  <c r="L111" i="3" s="1"/>
  <c r="B446" i="3"/>
  <c r="AN446" i="3" s="1"/>
  <c r="C446" i="3"/>
  <c r="AO446" i="3" s="1"/>
  <c r="D446" i="3"/>
  <c r="AP446" i="3" s="1"/>
  <c r="E446" i="3"/>
  <c r="AR446" i="3" s="1"/>
  <c r="F446" i="3"/>
  <c r="AS446" i="3" s="1"/>
  <c r="I446" i="3"/>
  <c r="AV446" i="3" s="1"/>
  <c r="J446" i="3"/>
  <c r="AW446" i="3" s="1"/>
  <c r="B447" i="3"/>
  <c r="AN447" i="3" s="1"/>
  <c r="C447" i="3"/>
  <c r="AO447" i="3" s="1"/>
  <c r="D447" i="3"/>
  <c r="AP447" i="3" s="1"/>
  <c r="E447" i="3"/>
  <c r="AR447" i="3" s="1"/>
  <c r="F447" i="3"/>
  <c r="AS447" i="3" s="1"/>
  <c r="I447" i="3"/>
  <c r="AV447" i="3" s="1"/>
  <c r="J447" i="3"/>
  <c r="AW447" i="3" s="1"/>
  <c r="B448" i="3"/>
  <c r="AN448" i="3" s="1"/>
  <c r="C448" i="3"/>
  <c r="AO448" i="3" s="1"/>
  <c r="D448" i="3"/>
  <c r="AP448" i="3" s="1"/>
  <c r="E448" i="3"/>
  <c r="AR448" i="3" s="1"/>
  <c r="F448" i="3"/>
  <c r="AS448" i="3" s="1"/>
  <c r="I448" i="3"/>
  <c r="AV448" i="3" s="1"/>
  <c r="J448" i="3"/>
  <c r="AW448" i="3" s="1"/>
  <c r="B449" i="3"/>
  <c r="AN449" i="3" s="1"/>
  <c r="C449" i="3"/>
  <c r="AO449" i="3" s="1"/>
  <c r="D449" i="3"/>
  <c r="AP449" i="3" s="1"/>
  <c r="E449" i="3"/>
  <c r="AR449" i="3" s="1"/>
  <c r="F449" i="3"/>
  <c r="AS449" i="3" s="1"/>
  <c r="I449" i="3"/>
  <c r="AV449" i="3" s="1"/>
  <c r="J449" i="3"/>
  <c r="AW449" i="3" s="1"/>
  <c r="B450" i="3"/>
  <c r="AN450" i="3" s="1"/>
  <c r="C450" i="3"/>
  <c r="AO450" i="3" s="1"/>
  <c r="D450" i="3"/>
  <c r="AP450" i="3" s="1"/>
  <c r="E450" i="3"/>
  <c r="AR450" i="3" s="1"/>
  <c r="F450" i="3"/>
  <c r="AS450" i="3" s="1"/>
  <c r="I450" i="3"/>
  <c r="AV450" i="3" s="1"/>
  <c r="J450" i="3"/>
  <c r="AW450" i="3" s="1"/>
  <c r="B451" i="3"/>
  <c r="AN451" i="3" s="1"/>
  <c r="C451" i="3"/>
  <c r="AO451" i="3" s="1"/>
  <c r="D451" i="3"/>
  <c r="AP451" i="3" s="1"/>
  <c r="E451" i="3"/>
  <c r="AR451" i="3" s="1"/>
  <c r="F451" i="3"/>
  <c r="AS451" i="3" s="1"/>
  <c r="I451" i="3"/>
  <c r="AV451" i="3" s="1"/>
  <c r="J451" i="3"/>
  <c r="AW451" i="3" s="1"/>
  <c r="B452" i="3"/>
  <c r="AN452" i="3" s="1"/>
  <c r="C452" i="3"/>
  <c r="AO452" i="3" s="1"/>
  <c r="D452" i="3"/>
  <c r="AP452" i="3" s="1"/>
  <c r="E452" i="3"/>
  <c r="AR452" i="3" s="1"/>
  <c r="F452" i="3"/>
  <c r="AS452" i="3" s="1"/>
  <c r="I452" i="3"/>
  <c r="AV452" i="3" s="1"/>
  <c r="J452" i="3"/>
  <c r="AW452" i="3" s="1"/>
  <c r="B453" i="3"/>
  <c r="AN453" i="3" s="1"/>
  <c r="C453" i="3"/>
  <c r="AO453" i="3" s="1"/>
  <c r="D453" i="3"/>
  <c r="AP453" i="3" s="1"/>
  <c r="E453" i="3"/>
  <c r="AR453" i="3" s="1"/>
  <c r="F453" i="3"/>
  <c r="AS453" i="3" s="1"/>
  <c r="I453" i="3"/>
  <c r="AV453" i="3" s="1"/>
  <c r="J453" i="3"/>
  <c r="AW453" i="3" s="1"/>
  <c r="B454" i="3"/>
  <c r="AN454" i="3" s="1"/>
  <c r="C454" i="3"/>
  <c r="AO454" i="3" s="1"/>
  <c r="D454" i="3"/>
  <c r="AP454" i="3" s="1"/>
  <c r="E454" i="3"/>
  <c r="AR454" i="3" s="1"/>
  <c r="F454" i="3"/>
  <c r="AS454" i="3" s="1"/>
  <c r="I454" i="3"/>
  <c r="AV454" i="3" s="1"/>
  <c r="J454" i="3"/>
  <c r="AW454" i="3" s="1"/>
  <c r="B455" i="3"/>
  <c r="AN455" i="3" s="1"/>
  <c r="C455" i="3"/>
  <c r="AO455" i="3" s="1"/>
  <c r="D455" i="3"/>
  <c r="AP455" i="3" s="1"/>
  <c r="E455" i="3"/>
  <c r="AR455" i="3" s="1"/>
  <c r="F455" i="3"/>
  <c r="AS455" i="3" s="1"/>
  <c r="I455" i="3"/>
  <c r="AV455" i="3" s="1"/>
  <c r="J455" i="3"/>
  <c r="AW455" i="3" s="1"/>
  <c r="B456" i="3"/>
  <c r="AN456" i="3" s="1"/>
  <c r="C456" i="3"/>
  <c r="AO456" i="3" s="1"/>
  <c r="D456" i="3"/>
  <c r="AP456" i="3" s="1"/>
  <c r="E456" i="3"/>
  <c r="AR456" i="3" s="1"/>
  <c r="F456" i="3"/>
  <c r="AS456" i="3" s="1"/>
  <c r="I456" i="3"/>
  <c r="AV456" i="3" s="1"/>
  <c r="J456" i="3"/>
  <c r="AW456" i="3" s="1"/>
  <c r="B457" i="3"/>
  <c r="AN457" i="3" s="1"/>
  <c r="C457" i="3"/>
  <c r="AO457" i="3" s="1"/>
  <c r="D457" i="3"/>
  <c r="AP457" i="3" s="1"/>
  <c r="E457" i="3"/>
  <c r="AR457" i="3" s="1"/>
  <c r="F457" i="3"/>
  <c r="AS457" i="3" s="1"/>
  <c r="I457" i="3"/>
  <c r="AV457" i="3" s="1"/>
  <c r="J457" i="3"/>
  <c r="AW457" i="3" s="1"/>
  <c r="B458" i="3"/>
  <c r="AN458" i="3" s="1"/>
  <c r="C458" i="3"/>
  <c r="AO458" i="3" s="1"/>
  <c r="D458" i="3"/>
  <c r="AP458" i="3" s="1"/>
  <c r="E458" i="3"/>
  <c r="AR458" i="3" s="1"/>
  <c r="F458" i="3"/>
  <c r="AS458" i="3" s="1"/>
  <c r="I458" i="3"/>
  <c r="AV458" i="3" s="1"/>
  <c r="J458" i="3"/>
  <c r="AW458" i="3" s="1"/>
  <c r="B459" i="3"/>
  <c r="AN459" i="3" s="1"/>
  <c r="C459" i="3"/>
  <c r="AO459" i="3" s="1"/>
  <c r="D459" i="3"/>
  <c r="AP459" i="3" s="1"/>
  <c r="E459" i="3"/>
  <c r="AR459" i="3" s="1"/>
  <c r="F459" i="3"/>
  <c r="AS459" i="3" s="1"/>
  <c r="I459" i="3"/>
  <c r="AV459" i="3" s="1"/>
  <c r="J459" i="3"/>
  <c r="AW459" i="3" s="1"/>
  <c r="B460" i="3"/>
  <c r="AN460" i="3" s="1"/>
  <c r="C460" i="3"/>
  <c r="AO460" i="3" s="1"/>
  <c r="D460" i="3"/>
  <c r="AP460" i="3" s="1"/>
  <c r="E460" i="3"/>
  <c r="AR460" i="3" s="1"/>
  <c r="F460" i="3"/>
  <c r="AS460" i="3" s="1"/>
  <c r="I460" i="3"/>
  <c r="AV460" i="3" s="1"/>
  <c r="J460" i="3"/>
  <c r="AW460" i="3" s="1"/>
  <c r="B461" i="3"/>
  <c r="AN461" i="3" s="1"/>
  <c r="C461" i="3"/>
  <c r="AO461" i="3" s="1"/>
  <c r="D461" i="3"/>
  <c r="AP461" i="3" s="1"/>
  <c r="E461" i="3"/>
  <c r="AR461" i="3" s="1"/>
  <c r="F461" i="3"/>
  <c r="AS461" i="3" s="1"/>
  <c r="I461" i="3"/>
  <c r="AV461" i="3" s="1"/>
  <c r="J461" i="3"/>
  <c r="AW461" i="3" s="1"/>
  <c r="B462" i="3"/>
  <c r="AN462" i="3" s="1"/>
  <c r="C462" i="3"/>
  <c r="AO462" i="3" s="1"/>
  <c r="D462" i="3"/>
  <c r="AP462" i="3" s="1"/>
  <c r="E462" i="3"/>
  <c r="AR462" i="3" s="1"/>
  <c r="F462" i="3"/>
  <c r="AS462" i="3" s="1"/>
  <c r="I462" i="3"/>
  <c r="AV462" i="3" s="1"/>
  <c r="J462" i="3"/>
  <c r="AW462" i="3" s="1"/>
  <c r="B463" i="3"/>
  <c r="AN463" i="3" s="1"/>
  <c r="C463" i="3"/>
  <c r="AO463" i="3" s="1"/>
  <c r="D463" i="3"/>
  <c r="AP463" i="3" s="1"/>
  <c r="E463" i="3"/>
  <c r="AR463" i="3" s="1"/>
  <c r="F463" i="3"/>
  <c r="AS463" i="3" s="1"/>
  <c r="I463" i="3"/>
  <c r="AV463" i="3" s="1"/>
  <c r="J463" i="3"/>
  <c r="AW463" i="3" s="1"/>
  <c r="B464" i="3"/>
  <c r="AN464" i="3" s="1"/>
  <c r="C464" i="3"/>
  <c r="AO464" i="3" s="1"/>
  <c r="D464" i="3"/>
  <c r="AP464" i="3" s="1"/>
  <c r="E464" i="3"/>
  <c r="AR464" i="3" s="1"/>
  <c r="F464" i="3"/>
  <c r="AS464" i="3" s="1"/>
  <c r="I464" i="3"/>
  <c r="AV464" i="3" s="1"/>
  <c r="J464" i="3"/>
  <c r="AW464" i="3" s="1"/>
  <c r="B465" i="3"/>
  <c r="AN465" i="3" s="1"/>
  <c r="C465" i="3"/>
  <c r="AO465" i="3" s="1"/>
  <c r="D465" i="3"/>
  <c r="AP465" i="3" s="1"/>
  <c r="E465" i="3"/>
  <c r="AR465" i="3" s="1"/>
  <c r="F465" i="3"/>
  <c r="AS465" i="3" s="1"/>
  <c r="I465" i="3"/>
  <c r="AV465" i="3" s="1"/>
  <c r="J465" i="3"/>
  <c r="AW465" i="3" s="1"/>
  <c r="B386" i="3"/>
  <c r="AN386" i="3" s="1"/>
  <c r="C386" i="3"/>
  <c r="AO386" i="3" s="1"/>
  <c r="D386" i="3"/>
  <c r="AP386" i="3" s="1"/>
  <c r="E386" i="3"/>
  <c r="AR386" i="3" s="1"/>
  <c r="F386" i="3"/>
  <c r="AS386" i="3" s="1"/>
  <c r="I386" i="3"/>
  <c r="AV386" i="3" s="1"/>
  <c r="J386" i="3"/>
  <c r="AW386" i="3" s="1"/>
  <c r="B387" i="3"/>
  <c r="AN387" i="3" s="1"/>
  <c r="C387" i="3"/>
  <c r="AO387" i="3" s="1"/>
  <c r="D387" i="3"/>
  <c r="AP387" i="3" s="1"/>
  <c r="E387" i="3"/>
  <c r="AR387" i="3" s="1"/>
  <c r="F387" i="3"/>
  <c r="AS387" i="3" s="1"/>
  <c r="I387" i="3"/>
  <c r="AV387" i="3" s="1"/>
  <c r="J387" i="3"/>
  <c r="AW387" i="3" s="1"/>
  <c r="B388" i="3"/>
  <c r="AN388" i="3" s="1"/>
  <c r="C388" i="3"/>
  <c r="AO388" i="3" s="1"/>
  <c r="D388" i="3"/>
  <c r="AP388" i="3" s="1"/>
  <c r="E388" i="3"/>
  <c r="AR388" i="3" s="1"/>
  <c r="F388" i="3"/>
  <c r="AS388" i="3" s="1"/>
  <c r="I388" i="3"/>
  <c r="AV388" i="3" s="1"/>
  <c r="J388" i="3"/>
  <c r="AW388" i="3" s="1"/>
  <c r="B389" i="3"/>
  <c r="AN389" i="3" s="1"/>
  <c r="C389" i="3"/>
  <c r="AO389" i="3" s="1"/>
  <c r="D389" i="3"/>
  <c r="AP389" i="3" s="1"/>
  <c r="E389" i="3"/>
  <c r="AR389" i="3" s="1"/>
  <c r="F389" i="3"/>
  <c r="AS389" i="3" s="1"/>
  <c r="I389" i="3"/>
  <c r="AV389" i="3" s="1"/>
  <c r="J389" i="3"/>
  <c r="AW389" i="3" s="1"/>
  <c r="B390" i="3"/>
  <c r="AN390" i="3" s="1"/>
  <c r="C390" i="3"/>
  <c r="AO390" i="3" s="1"/>
  <c r="D390" i="3"/>
  <c r="AP390" i="3" s="1"/>
  <c r="E390" i="3"/>
  <c r="AR390" i="3" s="1"/>
  <c r="F390" i="3"/>
  <c r="AS390" i="3" s="1"/>
  <c r="I390" i="3"/>
  <c r="AV390" i="3" s="1"/>
  <c r="J390" i="3"/>
  <c r="AW390" i="3" s="1"/>
  <c r="B391" i="3"/>
  <c r="AN391" i="3" s="1"/>
  <c r="C391" i="3"/>
  <c r="AO391" i="3" s="1"/>
  <c r="D391" i="3"/>
  <c r="AP391" i="3" s="1"/>
  <c r="E391" i="3"/>
  <c r="AR391" i="3" s="1"/>
  <c r="F391" i="3"/>
  <c r="AS391" i="3" s="1"/>
  <c r="I391" i="3"/>
  <c r="AV391" i="3" s="1"/>
  <c r="J391" i="3"/>
  <c r="AW391" i="3" s="1"/>
  <c r="B392" i="3"/>
  <c r="AN392" i="3" s="1"/>
  <c r="C392" i="3"/>
  <c r="AO392" i="3" s="1"/>
  <c r="D392" i="3"/>
  <c r="AP392" i="3" s="1"/>
  <c r="E392" i="3"/>
  <c r="AR392" i="3" s="1"/>
  <c r="F392" i="3"/>
  <c r="AS392" i="3" s="1"/>
  <c r="I392" i="3"/>
  <c r="AV392" i="3" s="1"/>
  <c r="J392" i="3"/>
  <c r="AW392" i="3" s="1"/>
  <c r="B393" i="3"/>
  <c r="AN393" i="3" s="1"/>
  <c r="C393" i="3"/>
  <c r="AO393" i="3" s="1"/>
  <c r="D393" i="3"/>
  <c r="AP393" i="3" s="1"/>
  <c r="E393" i="3"/>
  <c r="AR393" i="3" s="1"/>
  <c r="F393" i="3"/>
  <c r="AS393" i="3" s="1"/>
  <c r="I393" i="3"/>
  <c r="AV393" i="3" s="1"/>
  <c r="J393" i="3"/>
  <c r="AW393" i="3" s="1"/>
  <c r="B394" i="3"/>
  <c r="AN394" i="3" s="1"/>
  <c r="C394" i="3"/>
  <c r="AO394" i="3" s="1"/>
  <c r="D394" i="3"/>
  <c r="AP394" i="3" s="1"/>
  <c r="E394" i="3"/>
  <c r="AR394" i="3" s="1"/>
  <c r="F394" i="3"/>
  <c r="AS394" i="3" s="1"/>
  <c r="I394" i="3"/>
  <c r="AV394" i="3" s="1"/>
  <c r="J394" i="3"/>
  <c r="AW394" i="3" s="1"/>
  <c r="B395" i="3"/>
  <c r="AN395" i="3" s="1"/>
  <c r="C395" i="3"/>
  <c r="AO395" i="3" s="1"/>
  <c r="D395" i="3"/>
  <c r="AP395" i="3" s="1"/>
  <c r="E395" i="3"/>
  <c r="AR395" i="3" s="1"/>
  <c r="F395" i="3"/>
  <c r="AS395" i="3" s="1"/>
  <c r="I395" i="3"/>
  <c r="AV395" i="3" s="1"/>
  <c r="J395" i="3"/>
  <c r="AW395" i="3" s="1"/>
  <c r="B396" i="3"/>
  <c r="AN396" i="3" s="1"/>
  <c r="C396" i="3"/>
  <c r="AO396" i="3" s="1"/>
  <c r="D396" i="3"/>
  <c r="AP396" i="3" s="1"/>
  <c r="E396" i="3"/>
  <c r="AR396" i="3" s="1"/>
  <c r="F396" i="3"/>
  <c r="AS396" i="3" s="1"/>
  <c r="I396" i="3"/>
  <c r="AV396" i="3" s="1"/>
  <c r="J396" i="3"/>
  <c r="AW396" i="3" s="1"/>
  <c r="B397" i="3"/>
  <c r="AN397" i="3" s="1"/>
  <c r="C397" i="3"/>
  <c r="AO397" i="3" s="1"/>
  <c r="D397" i="3"/>
  <c r="AP397" i="3" s="1"/>
  <c r="E397" i="3"/>
  <c r="AR397" i="3" s="1"/>
  <c r="F397" i="3"/>
  <c r="AS397" i="3" s="1"/>
  <c r="I397" i="3"/>
  <c r="AV397" i="3" s="1"/>
  <c r="J397" i="3"/>
  <c r="AW397" i="3" s="1"/>
  <c r="B398" i="3"/>
  <c r="AN398" i="3" s="1"/>
  <c r="C398" i="3"/>
  <c r="AO398" i="3" s="1"/>
  <c r="D398" i="3"/>
  <c r="AP398" i="3" s="1"/>
  <c r="E398" i="3"/>
  <c r="AR398" i="3" s="1"/>
  <c r="F398" i="3"/>
  <c r="AS398" i="3" s="1"/>
  <c r="I398" i="3"/>
  <c r="AV398" i="3" s="1"/>
  <c r="J398" i="3"/>
  <c r="AW398" i="3" s="1"/>
  <c r="B399" i="3"/>
  <c r="AN399" i="3" s="1"/>
  <c r="C399" i="3"/>
  <c r="AO399" i="3" s="1"/>
  <c r="D399" i="3"/>
  <c r="AP399" i="3" s="1"/>
  <c r="E399" i="3"/>
  <c r="AR399" i="3" s="1"/>
  <c r="F399" i="3"/>
  <c r="AS399" i="3" s="1"/>
  <c r="I399" i="3"/>
  <c r="AV399" i="3" s="1"/>
  <c r="J399" i="3"/>
  <c r="AW399" i="3" s="1"/>
  <c r="B400" i="3"/>
  <c r="AN400" i="3" s="1"/>
  <c r="C400" i="3"/>
  <c r="AO400" i="3" s="1"/>
  <c r="D400" i="3"/>
  <c r="AP400" i="3" s="1"/>
  <c r="E400" i="3"/>
  <c r="AR400" i="3" s="1"/>
  <c r="F400" i="3"/>
  <c r="AS400" i="3" s="1"/>
  <c r="I400" i="3"/>
  <c r="AV400" i="3" s="1"/>
  <c r="J400" i="3"/>
  <c r="AW400" i="3" s="1"/>
  <c r="B401" i="3"/>
  <c r="AN401" i="3" s="1"/>
  <c r="C401" i="3"/>
  <c r="AO401" i="3" s="1"/>
  <c r="D401" i="3"/>
  <c r="AP401" i="3" s="1"/>
  <c r="E401" i="3"/>
  <c r="AR401" i="3" s="1"/>
  <c r="F401" i="3"/>
  <c r="AS401" i="3" s="1"/>
  <c r="I401" i="3"/>
  <c r="AV401" i="3" s="1"/>
  <c r="J401" i="3"/>
  <c r="AW401" i="3" s="1"/>
  <c r="B402" i="3"/>
  <c r="AN402" i="3" s="1"/>
  <c r="C402" i="3"/>
  <c r="AO402" i="3" s="1"/>
  <c r="D402" i="3"/>
  <c r="AP402" i="3" s="1"/>
  <c r="E402" i="3"/>
  <c r="AR402" i="3" s="1"/>
  <c r="F402" i="3"/>
  <c r="AS402" i="3" s="1"/>
  <c r="I402" i="3"/>
  <c r="AV402" i="3" s="1"/>
  <c r="J402" i="3"/>
  <c r="AW402" i="3" s="1"/>
  <c r="B403" i="3"/>
  <c r="AN403" i="3" s="1"/>
  <c r="C403" i="3"/>
  <c r="AO403" i="3" s="1"/>
  <c r="D403" i="3"/>
  <c r="AP403" i="3" s="1"/>
  <c r="E403" i="3"/>
  <c r="AR403" i="3" s="1"/>
  <c r="F403" i="3"/>
  <c r="AS403" i="3" s="1"/>
  <c r="I403" i="3"/>
  <c r="AV403" i="3" s="1"/>
  <c r="J403" i="3"/>
  <c r="AW403" i="3" s="1"/>
  <c r="B404" i="3"/>
  <c r="AN404" i="3" s="1"/>
  <c r="C404" i="3"/>
  <c r="AO404" i="3" s="1"/>
  <c r="D404" i="3"/>
  <c r="AP404" i="3" s="1"/>
  <c r="E404" i="3"/>
  <c r="AR404" i="3" s="1"/>
  <c r="F404" i="3"/>
  <c r="AS404" i="3" s="1"/>
  <c r="I404" i="3"/>
  <c r="AV404" i="3" s="1"/>
  <c r="J404" i="3"/>
  <c r="AW404" i="3" s="1"/>
  <c r="B405" i="3"/>
  <c r="AN405" i="3" s="1"/>
  <c r="C405" i="3"/>
  <c r="AO405" i="3" s="1"/>
  <c r="D405" i="3"/>
  <c r="AP405" i="3" s="1"/>
  <c r="E405" i="3"/>
  <c r="AR405" i="3" s="1"/>
  <c r="F405" i="3"/>
  <c r="AS405" i="3" s="1"/>
  <c r="I405" i="3"/>
  <c r="AV405" i="3" s="1"/>
  <c r="J405" i="3"/>
  <c r="AW405" i="3" s="1"/>
  <c r="B406" i="3"/>
  <c r="AN406" i="3" s="1"/>
  <c r="C406" i="3"/>
  <c r="AO406" i="3" s="1"/>
  <c r="D406" i="3"/>
  <c r="AP406" i="3" s="1"/>
  <c r="E406" i="3"/>
  <c r="AR406" i="3" s="1"/>
  <c r="F406" i="3"/>
  <c r="AS406" i="3" s="1"/>
  <c r="I406" i="3"/>
  <c r="AV406" i="3" s="1"/>
  <c r="J406" i="3"/>
  <c r="AW406" i="3" s="1"/>
  <c r="B407" i="3"/>
  <c r="AN407" i="3" s="1"/>
  <c r="C407" i="3"/>
  <c r="AO407" i="3" s="1"/>
  <c r="D407" i="3"/>
  <c r="AP407" i="3" s="1"/>
  <c r="E407" i="3"/>
  <c r="AR407" i="3" s="1"/>
  <c r="F407" i="3"/>
  <c r="AS407" i="3" s="1"/>
  <c r="I407" i="3"/>
  <c r="AV407" i="3" s="1"/>
  <c r="J407" i="3"/>
  <c r="AW407" i="3" s="1"/>
  <c r="B408" i="3"/>
  <c r="AN408" i="3" s="1"/>
  <c r="C408" i="3"/>
  <c r="AO408" i="3" s="1"/>
  <c r="D408" i="3"/>
  <c r="AP408" i="3" s="1"/>
  <c r="E408" i="3"/>
  <c r="AR408" i="3" s="1"/>
  <c r="F408" i="3"/>
  <c r="AS408" i="3" s="1"/>
  <c r="I408" i="3"/>
  <c r="AV408" i="3" s="1"/>
  <c r="J408" i="3"/>
  <c r="AW408" i="3" s="1"/>
  <c r="B409" i="3"/>
  <c r="AN409" i="3" s="1"/>
  <c r="C409" i="3"/>
  <c r="AO409" i="3" s="1"/>
  <c r="D409" i="3"/>
  <c r="AP409" i="3" s="1"/>
  <c r="E409" i="3"/>
  <c r="AR409" i="3" s="1"/>
  <c r="F409" i="3"/>
  <c r="AS409" i="3" s="1"/>
  <c r="I409" i="3"/>
  <c r="AV409" i="3" s="1"/>
  <c r="J409" i="3"/>
  <c r="AW409" i="3" s="1"/>
  <c r="B410" i="3"/>
  <c r="AN410" i="3" s="1"/>
  <c r="C410" i="3"/>
  <c r="AO410" i="3" s="1"/>
  <c r="D410" i="3"/>
  <c r="AP410" i="3" s="1"/>
  <c r="E410" i="3"/>
  <c r="AR410" i="3" s="1"/>
  <c r="F410" i="3"/>
  <c r="AS410" i="3" s="1"/>
  <c r="I410" i="3"/>
  <c r="AV410" i="3" s="1"/>
  <c r="J410" i="3"/>
  <c r="AW410" i="3" s="1"/>
  <c r="B411" i="3"/>
  <c r="AN411" i="3" s="1"/>
  <c r="C411" i="3"/>
  <c r="AO411" i="3" s="1"/>
  <c r="D411" i="3"/>
  <c r="AP411" i="3" s="1"/>
  <c r="E411" i="3"/>
  <c r="AR411" i="3" s="1"/>
  <c r="F411" i="3"/>
  <c r="AS411" i="3" s="1"/>
  <c r="I411" i="3"/>
  <c r="AV411" i="3" s="1"/>
  <c r="J411" i="3"/>
  <c r="AW411" i="3" s="1"/>
  <c r="B412" i="3"/>
  <c r="AN412" i="3" s="1"/>
  <c r="C412" i="3"/>
  <c r="AO412" i="3" s="1"/>
  <c r="D412" i="3"/>
  <c r="AP412" i="3" s="1"/>
  <c r="E412" i="3"/>
  <c r="AR412" i="3" s="1"/>
  <c r="F412" i="3"/>
  <c r="AS412" i="3" s="1"/>
  <c r="I412" i="3"/>
  <c r="AV412" i="3" s="1"/>
  <c r="J412" i="3"/>
  <c r="AW412" i="3" s="1"/>
  <c r="B413" i="3"/>
  <c r="AN413" i="3" s="1"/>
  <c r="C413" i="3"/>
  <c r="AO413" i="3" s="1"/>
  <c r="D413" i="3"/>
  <c r="AP413" i="3" s="1"/>
  <c r="E413" i="3"/>
  <c r="AR413" i="3" s="1"/>
  <c r="F413" i="3"/>
  <c r="AS413" i="3" s="1"/>
  <c r="I413" i="3"/>
  <c r="AV413" i="3" s="1"/>
  <c r="J413" i="3"/>
  <c r="AW413" i="3" s="1"/>
  <c r="B414" i="3"/>
  <c r="AN414" i="3" s="1"/>
  <c r="C414" i="3"/>
  <c r="AO414" i="3" s="1"/>
  <c r="D414" i="3"/>
  <c r="AP414" i="3" s="1"/>
  <c r="E414" i="3"/>
  <c r="AR414" i="3" s="1"/>
  <c r="F414" i="3"/>
  <c r="AS414" i="3" s="1"/>
  <c r="I414" i="3"/>
  <c r="AV414" i="3" s="1"/>
  <c r="J414" i="3"/>
  <c r="AW414" i="3" s="1"/>
  <c r="B415" i="3"/>
  <c r="AN415" i="3" s="1"/>
  <c r="C415" i="3"/>
  <c r="AO415" i="3" s="1"/>
  <c r="D415" i="3"/>
  <c r="AP415" i="3" s="1"/>
  <c r="E415" i="3"/>
  <c r="AR415" i="3" s="1"/>
  <c r="F415" i="3"/>
  <c r="AS415" i="3" s="1"/>
  <c r="I415" i="3"/>
  <c r="AV415" i="3" s="1"/>
  <c r="J415" i="3"/>
  <c r="AW415" i="3" s="1"/>
  <c r="B416" i="3"/>
  <c r="AN416" i="3" s="1"/>
  <c r="C416" i="3"/>
  <c r="AO416" i="3" s="1"/>
  <c r="D416" i="3"/>
  <c r="AP416" i="3" s="1"/>
  <c r="E416" i="3"/>
  <c r="AR416" i="3" s="1"/>
  <c r="F416" i="3"/>
  <c r="AS416" i="3" s="1"/>
  <c r="I416" i="3"/>
  <c r="AV416" i="3" s="1"/>
  <c r="J416" i="3"/>
  <c r="AW416" i="3" s="1"/>
  <c r="B417" i="3"/>
  <c r="AN417" i="3" s="1"/>
  <c r="C417" i="3"/>
  <c r="AO417" i="3" s="1"/>
  <c r="D417" i="3"/>
  <c r="AP417" i="3" s="1"/>
  <c r="E417" i="3"/>
  <c r="AR417" i="3" s="1"/>
  <c r="F417" i="3"/>
  <c r="AS417" i="3" s="1"/>
  <c r="I417" i="3"/>
  <c r="AV417" i="3" s="1"/>
  <c r="J417" i="3"/>
  <c r="AW417" i="3" s="1"/>
  <c r="B418" i="3"/>
  <c r="AN418" i="3" s="1"/>
  <c r="C418" i="3"/>
  <c r="AO418" i="3" s="1"/>
  <c r="D418" i="3"/>
  <c r="AP418" i="3" s="1"/>
  <c r="E418" i="3"/>
  <c r="AR418" i="3" s="1"/>
  <c r="F418" i="3"/>
  <c r="AS418" i="3" s="1"/>
  <c r="I418" i="3"/>
  <c r="AV418" i="3" s="1"/>
  <c r="J418" i="3"/>
  <c r="AW418" i="3" s="1"/>
  <c r="B419" i="3"/>
  <c r="AN419" i="3" s="1"/>
  <c r="C419" i="3"/>
  <c r="AO419" i="3" s="1"/>
  <c r="D419" i="3"/>
  <c r="AP419" i="3" s="1"/>
  <c r="E419" i="3"/>
  <c r="AR419" i="3" s="1"/>
  <c r="F419" i="3"/>
  <c r="AS419" i="3" s="1"/>
  <c r="I419" i="3"/>
  <c r="AV419" i="3" s="1"/>
  <c r="J419" i="3"/>
  <c r="AW419" i="3" s="1"/>
  <c r="B420" i="3"/>
  <c r="AN420" i="3" s="1"/>
  <c r="C420" i="3"/>
  <c r="AO420" i="3" s="1"/>
  <c r="D420" i="3"/>
  <c r="AP420" i="3" s="1"/>
  <c r="E420" i="3"/>
  <c r="AR420" i="3" s="1"/>
  <c r="F420" i="3"/>
  <c r="AS420" i="3" s="1"/>
  <c r="I420" i="3"/>
  <c r="AV420" i="3" s="1"/>
  <c r="J420" i="3"/>
  <c r="AW420" i="3" s="1"/>
  <c r="B421" i="3"/>
  <c r="AN421" i="3" s="1"/>
  <c r="C421" i="3"/>
  <c r="AO421" i="3" s="1"/>
  <c r="D421" i="3"/>
  <c r="AP421" i="3" s="1"/>
  <c r="E421" i="3"/>
  <c r="AR421" i="3" s="1"/>
  <c r="F421" i="3"/>
  <c r="AS421" i="3" s="1"/>
  <c r="I421" i="3"/>
  <c r="AV421" i="3" s="1"/>
  <c r="J421" i="3"/>
  <c r="AW421" i="3" s="1"/>
  <c r="B422" i="3"/>
  <c r="AN422" i="3" s="1"/>
  <c r="C422" i="3"/>
  <c r="AO422" i="3" s="1"/>
  <c r="D422" i="3"/>
  <c r="AP422" i="3" s="1"/>
  <c r="E422" i="3"/>
  <c r="AR422" i="3" s="1"/>
  <c r="F422" i="3"/>
  <c r="AS422" i="3" s="1"/>
  <c r="I422" i="3"/>
  <c r="AV422" i="3" s="1"/>
  <c r="J422" i="3"/>
  <c r="AW422" i="3" s="1"/>
  <c r="B423" i="3"/>
  <c r="AN423" i="3" s="1"/>
  <c r="C423" i="3"/>
  <c r="AO423" i="3" s="1"/>
  <c r="D423" i="3"/>
  <c r="AP423" i="3" s="1"/>
  <c r="E423" i="3"/>
  <c r="AR423" i="3" s="1"/>
  <c r="F423" i="3"/>
  <c r="AS423" i="3" s="1"/>
  <c r="I423" i="3"/>
  <c r="AV423" i="3" s="1"/>
  <c r="J423" i="3"/>
  <c r="AW423" i="3" s="1"/>
  <c r="B424" i="3"/>
  <c r="AN424" i="3" s="1"/>
  <c r="C424" i="3"/>
  <c r="AO424" i="3" s="1"/>
  <c r="D424" i="3"/>
  <c r="AP424" i="3" s="1"/>
  <c r="E424" i="3"/>
  <c r="AR424" i="3" s="1"/>
  <c r="F424" i="3"/>
  <c r="AS424" i="3" s="1"/>
  <c r="I424" i="3"/>
  <c r="AV424" i="3" s="1"/>
  <c r="J424" i="3"/>
  <c r="AW424" i="3" s="1"/>
  <c r="B425" i="3"/>
  <c r="AN425" i="3" s="1"/>
  <c r="C425" i="3"/>
  <c r="AO425" i="3" s="1"/>
  <c r="D425" i="3"/>
  <c r="AP425" i="3" s="1"/>
  <c r="E425" i="3"/>
  <c r="AR425" i="3" s="1"/>
  <c r="F425" i="3"/>
  <c r="AS425" i="3" s="1"/>
  <c r="I425" i="3"/>
  <c r="AV425" i="3" s="1"/>
  <c r="J425" i="3"/>
  <c r="AW425" i="3" s="1"/>
  <c r="B426" i="3"/>
  <c r="AN426" i="3" s="1"/>
  <c r="C426" i="3"/>
  <c r="AO426" i="3" s="1"/>
  <c r="D426" i="3"/>
  <c r="AP426" i="3" s="1"/>
  <c r="E426" i="3"/>
  <c r="AR426" i="3" s="1"/>
  <c r="F426" i="3"/>
  <c r="AS426" i="3" s="1"/>
  <c r="I426" i="3"/>
  <c r="AV426" i="3" s="1"/>
  <c r="J426" i="3"/>
  <c r="AW426" i="3" s="1"/>
  <c r="B427" i="3"/>
  <c r="AN427" i="3" s="1"/>
  <c r="C427" i="3"/>
  <c r="AO427" i="3" s="1"/>
  <c r="D427" i="3"/>
  <c r="AP427" i="3" s="1"/>
  <c r="E427" i="3"/>
  <c r="AR427" i="3" s="1"/>
  <c r="F427" i="3"/>
  <c r="AS427" i="3" s="1"/>
  <c r="I427" i="3"/>
  <c r="AV427" i="3" s="1"/>
  <c r="J427" i="3"/>
  <c r="AW427" i="3" s="1"/>
  <c r="B428" i="3"/>
  <c r="AN428" i="3" s="1"/>
  <c r="C428" i="3"/>
  <c r="AO428" i="3" s="1"/>
  <c r="D428" i="3"/>
  <c r="AP428" i="3" s="1"/>
  <c r="E428" i="3"/>
  <c r="AR428" i="3" s="1"/>
  <c r="F428" i="3"/>
  <c r="AS428" i="3" s="1"/>
  <c r="I428" i="3"/>
  <c r="AV428" i="3" s="1"/>
  <c r="J428" i="3"/>
  <c r="AW428" i="3" s="1"/>
  <c r="B429" i="3"/>
  <c r="AN429" i="3" s="1"/>
  <c r="C429" i="3"/>
  <c r="AO429" i="3" s="1"/>
  <c r="D429" i="3"/>
  <c r="AP429" i="3" s="1"/>
  <c r="E429" i="3"/>
  <c r="AR429" i="3" s="1"/>
  <c r="F429" i="3"/>
  <c r="AS429" i="3" s="1"/>
  <c r="I429" i="3"/>
  <c r="AV429" i="3" s="1"/>
  <c r="J429" i="3"/>
  <c r="AW429" i="3" s="1"/>
  <c r="B430" i="3"/>
  <c r="AN430" i="3" s="1"/>
  <c r="C430" i="3"/>
  <c r="AO430" i="3" s="1"/>
  <c r="D430" i="3"/>
  <c r="AP430" i="3" s="1"/>
  <c r="E430" i="3"/>
  <c r="AR430" i="3" s="1"/>
  <c r="F430" i="3"/>
  <c r="AS430" i="3" s="1"/>
  <c r="I430" i="3"/>
  <c r="AV430" i="3" s="1"/>
  <c r="J430" i="3"/>
  <c r="AW430" i="3" s="1"/>
  <c r="B431" i="3"/>
  <c r="AN431" i="3" s="1"/>
  <c r="C431" i="3"/>
  <c r="AO431" i="3" s="1"/>
  <c r="D431" i="3"/>
  <c r="AP431" i="3" s="1"/>
  <c r="E431" i="3"/>
  <c r="AR431" i="3" s="1"/>
  <c r="F431" i="3"/>
  <c r="AS431" i="3" s="1"/>
  <c r="I431" i="3"/>
  <c r="AV431" i="3" s="1"/>
  <c r="J431" i="3"/>
  <c r="AW431" i="3" s="1"/>
  <c r="B432" i="3"/>
  <c r="AN432" i="3" s="1"/>
  <c r="C432" i="3"/>
  <c r="AO432" i="3" s="1"/>
  <c r="D432" i="3"/>
  <c r="AP432" i="3" s="1"/>
  <c r="E432" i="3"/>
  <c r="AR432" i="3" s="1"/>
  <c r="F432" i="3"/>
  <c r="AS432" i="3" s="1"/>
  <c r="I432" i="3"/>
  <c r="AV432" i="3" s="1"/>
  <c r="J432" i="3"/>
  <c r="AW432" i="3" s="1"/>
  <c r="B433" i="3"/>
  <c r="AN433" i="3" s="1"/>
  <c r="C433" i="3"/>
  <c r="AO433" i="3" s="1"/>
  <c r="D433" i="3"/>
  <c r="AP433" i="3" s="1"/>
  <c r="E433" i="3"/>
  <c r="AR433" i="3" s="1"/>
  <c r="F433" i="3"/>
  <c r="AS433" i="3" s="1"/>
  <c r="I433" i="3"/>
  <c r="AV433" i="3" s="1"/>
  <c r="J433" i="3"/>
  <c r="AW433" i="3" s="1"/>
  <c r="B434" i="3"/>
  <c r="AN434" i="3" s="1"/>
  <c r="C434" i="3"/>
  <c r="AO434" i="3" s="1"/>
  <c r="D434" i="3"/>
  <c r="AP434" i="3" s="1"/>
  <c r="E434" i="3"/>
  <c r="AR434" i="3" s="1"/>
  <c r="F434" i="3"/>
  <c r="AS434" i="3" s="1"/>
  <c r="I434" i="3"/>
  <c r="AV434" i="3" s="1"/>
  <c r="J434" i="3"/>
  <c r="AW434" i="3" s="1"/>
  <c r="B435" i="3"/>
  <c r="AN435" i="3" s="1"/>
  <c r="C435" i="3"/>
  <c r="AO435" i="3" s="1"/>
  <c r="D435" i="3"/>
  <c r="AP435" i="3" s="1"/>
  <c r="E435" i="3"/>
  <c r="AR435" i="3" s="1"/>
  <c r="F435" i="3"/>
  <c r="AS435" i="3" s="1"/>
  <c r="I435" i="3"/>
  <c r="AV435" i="3" s="1"/>
  <c r="J435" i="3"/>
  <c r="AW435" i="3" s="1"/>
  <c r="B436" i="3"/>
  <c r="AN436" i="3" s="1"/>
  <c r="C436" i="3"/>
  <c r="AO436" i="3" s="1"/>
  <c r="D436" i="3"/>
  <c r="AP436" i="3" s="1"/>
  <c r="E436" i="3"/>
  <c r="AR436" i="3" s="1"/>
  <c r="F436" i="3"/>
  <c r="AS436" i="3" s="1"/>
  <c r="I436" i="3"/>
  <c r="AV436" i="3" s="1"/>
  <c r="J436" i="3"/>
  <c r="AW436" i="3" s="1"/>
  <c r="B437" i="3"/>
  <c r="AN437" i="3" s="1"/>
  <c r="C437" i="3"/>
  <c r="AO437" i="3" s="1"/>
  <c r="D437" i="3"/>
  <c r="AP437" i="3" s="1"/>
  <c r="E437" i="3"/>
  <c r="AR437" i="3" s="1"/>
  <c r="F437" i="3"/>
  <c r="AS437" i="3" s="1"/>
  <c r="I437" i="3"/>
  <c r="AV437" i="3" s="1"/>
  <c r="J437" i="3"/>
  <c r="AW437" i="3" s="1"/>
  <c r="B438" i="3"/>
  <c r="AN438" i="3" s="1"/>
  <c r="C438" i="3"/>
  <c r="AO438" i="3" s="1"/>
  <c r="D438" i="3"/>
  <c r="AP438" i="3" s="1"/>
  <c r="E438" i="3"/>
  <c r="AR438" i="3" s="1"/>
  <c r="F438" i="3"/>
  <c r="AS438" i="3" s="1"/>
  <c r="I438" i="3"/>
  <c r="AV438" i="3" s="1"/>
  <c r="J438" i="3"/>
  <c r="AW438" i="3" s="1"/>
  <c r="B439" i="3"/>
  <c r="AN439" i="3" s="1"/>
  <c r="C439" i="3"/>
  <c r="AO439" i="3" s="1"/>
  <c r="D439" i="3"/>
  <c r="AP439" i="3" s="1"/>
  <c r="E439" i="3"/>
  <c r="AR439" i="3" s="1"/>
  <c r="F439" i="3"/>
  <c r="AS439" i="3" s="1"/>
  <c r="I439" i="3"/>
  <c r="AV439" i="3" s="1"/>
  <c r="J439" i="3"/>
  <c r="AW439" i="3" s="1"/>
  <c r="B440" i="3"/>
  <c r="AN440" i="3" s="1"/>
  <c r="C440" i="3"/>
  <c r="AO440" i="3" s="1"/>
  <c r="D440" i="3"/>
  <c r="AP440" i="3" s="1"/>
  <c r="E440" i="3"/>
  <c r="AR440" i="3" s="1"/>
  <c r="F440" i="3"/>
  <c r="AS440" i="3" s="1"/>
  <c r="I440" i="3"/>
  <c r="AV440" i="3" s="1"/>
  <c r="J440" i="3"/>
  <c r="AW440" i="3" s="1"/>
  <c r="B441" i="3"/>
  <c r="AN441" i="3" s="1"/>
  <c r="C441" i="3"/>
  <c r="AO441" i="3" s="1"/>
  <c r="D441" i="3"/>
  <c r="AP441" i="3" s="1"/>
  <c r="E441" i="3"/>
  <c r="AR441" i="3" s="1"/>
  <c r="F441" i="3"/>
  <c r="AS441" i="3" s="1"/>
  <c r="I441" i="3"/>
  <c r="AV441" i="3" s="1"/>
  <c r="J441" i="3"/>
  <c r="AW441" i="3" s="1"/>
  <c r="B442" i="3"/>
  <c r="AN442" i="3" s="1"/>
  <c r="C442" i="3"/>
  <c r="AO442" i="3" s="1"/>
  <c r="D442" i="3"/>
  <c r="AP442" i="3" s="1"/>
  <c r="E442" i="3"/>
  <c r="AR442" i="3" s="1"/>
  <c r="F442" i="3"/>
  <c r="AS442" i="3" s="1"/>
  <c r="I442" i="3"/>
  <c r="AV442" i="3" s="1"/>
  <c r="J442" i="3"/>
  <c r="AW442" i="3" s="1"/>
  <c r="B443" i="3"/>
  <c r="AN443" i="3" s="1"/>
  <c r="C443" i="3"/>
  <c r="AO443" i="3" s="1"/>
  <c r="D443" i="3"/>
  <c r="AP443" i="3" s="1"/>
  <c r="E443" i="3"/>
  <c r="AR443" i="3" s="1"/>
  <c r="F443" i="3"/>
  <c r="AS443" i="3" s="1"/>
  <c r="I443" i="3"/>
  <c r="AV443" i="3" s="1"/>
  <c r="J443" i="3"/>
  <c r="AW443" i="3" s="1"/>
  <c r="B444" i="3"/>
  <c r="AN444" i="3" s="1"/>
  <c r="C444" i="3"/>
  <c r="AO444" i="3" s="1"/>
  <c r="D444" i="3"/>
  <c r="AP444" i="3" s="1"/>
  <c r="E444" i="3"/>
  <c r="AR444" i="3" s="1"/>
  <c r="F444" i="3"/>
  <c r="AS444" i="3" s="1"/>
  <c r="I444" i="3"/>
  <c r="AV444" i="3" s="1"/>
  <c r="J444" i="3"/>
  <c r="AW444" i="3" s="1"/>
  <c r="B445" i="3"/>
  <c r="AN445" i="3" s="1"/>
  <c r="C445" i="3"/>
  <c r="AO445" i="3" s="1"/>
  <c r="D445" i="3"/>
  <c r="AP445" i="3" s="1"/>
  <c r="E445" i="3"/>
  <c r="AR445" i="3" s="1"/>
  <c r="F445" i="3"/>
  <c r="AS445" i="3" s="1"/>
  <c r="I445" i="3"/>
  <c r="AV445" i="3" s="1"/>
  <c r="J445" i="3"/>
  <c r="AW445" i="3" s="1"/>
  <c r="B324" i="3"/>
  <c r="AN324" i="3" s="1"/>
  <c r="C324" i="3"/>
  <c r="AO324" i="3" s="1"/>
  <c r="D324" i="3"/>
  <c r="AP324" i="3" s="1"/>
  <c r="E324" i="3"/>
  <c r="AR324" i="3" s="1"/>
  <c r="F324" i="3"/>
  <c r="AS324" i="3" s="1"/>
  <c r="I324" i="3"/>
  <c r="AV324" i="3" s="1"/>
  <c r="J324" i="3"/>
  <c r="AW324" i="3" s="1"/>
  <c r="B325" i="3"/>
  <c r="AN325" i="3" s="1"/>
  <c r="C325" i="3"/>
  <c r="AO325" i="3" s="1"/>
  <c r="D325" i="3"/>
  <c r="AP325" i="3" s="1"/>
  <c r="E325" i="3"/>
  <c r="AR325" i="3" s="1"/>
  <c r="F325" i="3"/>
  <c r="AS325" i="3" s="1"/>
  <c r="I325" i="3"/>
  <c r="AV325" i="3" s="1"/>
  <c r="J325" i="3"/>
  <c r="AW325" i="3" s="1"/>
  <c r="B326" i="3"/>
  <c r="AN326" i="3" s="1"/>
  <c r="C326" i="3"/>
  <c r="AO326" i="3" s="1"/>
  <c r="D326" i="3"/>
  <c r="AP326" i="3" s="1"/>
  <c r="E326" i="3"/>
  <c r="AR326" i="3" s="1"/>
  <c r="F326" i="3"/>
  <c r="AS326" i="3" s="1"/>
  <c r="I326" i="3"/>
  <c r="AV326" i="3" s="1"/>
  <c r="J326" i="3"/>
  <c r="AW326" i="3" s="1"/>
  <c r="B327" i="3"/>
  <c r="AN327" i="3" s="1"/>
  <c r="C327" i="3"/>
  <c r="AO327" i="3" s="1"/>
  <c r="D327" i="3"/>
  <c r="AP327" i="3" s="1"/>
  <c r="E327" i="3"/>
  <c r="AR327" i="3" s="1"/>
  <c r="F327" i="3"/>
  <c r="AS327" i="3" s="1"/>
  <c r="I327" i="3"/>
  <c r="AV327" i="3" s="1"/>
  <c r="J327" i="3"/>
  <c r="AW327" i="3" s="1"/>
  <c r="B328" i="3"/>
  <c r="AN328" i="3" s="1"/>
  <c r="C328" i="3"/>
  <c r="AO328" i="3" s="1"/>
  <c r="D328" i="3"/>
  <c r="AP328" i="3" s="1"/>
  <c r="E328" i="3"/>
  <c r="AR328" i="3" s="1"/>
  <c r="F328" i="3"/>
  <c r="AS328" i="3" s="1"/>
  <c r="I328" i="3"/>
  <c r="AV328" i="3" s="1"/>
  <c r="J328" i="3"/>
  <c r="AW328" i="3" s="1"/>
  <c r="B329" i="3"/>
  <c r="AN329" i="3" s="1"/>
  <c r="C329" i="3"/>
  <c r="AO329" i="3" s="1"/>
  <c r="D329" i="3"/>
  <c r="AP329" i="3" s="1"/>
  <c r="E329" i="3"/>
  <c r="AR329" i="3" s="1"/>
  <c r="F329" i="3"/>
  <c r="AS329" i="3" s="1"/>
  <c r="I329" i="3"/>
  <c r="AV329" i="3" s="1"/>
  <c r="J329" i="3"/>
  <c r="AW329" i="3" s="1"/>
  <c r="B330" i="3"/>
  <c r="AN330" i="3" s="1"/>
  <c r="C330" i="3"/>
  <c r="AO330" i="3" s="1"/>
  <c r="D330" i="3"/>
  <c r="AP330" i="3" s="1"/>
  <c r="E330" i="3"/>
  <c r="AR330" i="3" s="1"/>
  <c r="F330" i="3"/>
  <c r="AS330" i="3" s="1"/>
  <c r="I330" i="3"/>
  <c r="AV330" i="3" s="1"/>
  <c r="J330" i="3"/>
  <c r="AW330" i="3" s="1"/>
  <c r="B331" i="3"/>
  <c r="AN331" i="3" s="1"/>
  <c r="C331" i="3"/>
  <c r="AO331" i="3" s="1"/>
  <c r="D331" i="3"/>
  <c r="AP331" i="3" s="1"/>
  <c r="E331" i="3"/>
  <c r="AR331" i="3" s="1"/>
  <c r="F331" i="3"/>
  <c r="AS331" i="3" s="1"/>
  <c r="I331" i="3"/>
  <c r="AV331" i="3" s="1"/>
  <c r="J331" i="3"/>
  <c r="AW331" i="3" s="1"/>
  <c r="B332" i="3"/>
  <c r="AN332" i="3" s="1"/>
  <c r="C332" i="3"/>
  <c r="AO332" i="3" s="1"/>
  <c r="D332" i="3"/>
  <c r="AP332" i="3" s="1"/>
  <c r="E332" i="3"/>
  <c r="AR332" i="3" s="1"/>
  <c r="F332" i="3"/>
  <c r="AS332" i="3" s="1"/>
  <c r="I332" i="3"/>
  <c r="AV332" i="3" s="1"/>
  <c r="J332" i="3"/>
  <c r="AW332" i="3" s="1"/>
  <c r="B333" i="3"/>
  <c r="AN333" i="3" s="1"/>
  <c r="C333" i="3"/>
  <c r="AO333" i="3" s="1"/>
  <c r="D333" i="3"/>
  <c r="AP333" i="3" s="1"/>
  <c r="E333" i="3"/>
  <c r="AR333" i="3" s="1"/>
  <c r="F333" i="3"/>
  <c r="AS333" i="3" s="1"/>
  <c r="I333" i="3"/>
  <c r="AV333" i="3" s="1"/>
  <c r="J333" i="3"/>
  <c r="AW333" i="3" s="1"/>
  <c r="B334" i="3"/>
  <c r="AN334" i="3" s="1"/>
  <c r="C334" i="3"/>
  <c r="AO334" i="3" s="1"/>
  <c r="D334" i="3"/>
  <c r="AP334" i="3" s="1"/>
  <c r="E334" i="3"/>
  <c r="AR334" i="3" s="1"/>
  <c r="F334" i="3"/>
  <c r="AS334" i="3" s="1"/>
  <c r="I334" i="3"/>
  <c r="AV334" i="3" s="1"/>
  <c r="J334" i="3"/>
  <c r="AW334" i="3" s="1"/>
  <c r="B335" i="3"/>
  <c r="AN335" i="3" s="1"/>
  <c r="C335" i="3"/>
  <c r="AO335" i="3" s="1"/>
  <c r="D335" i="3"/>
  <c r="AP335" i="3" s="1"/>
  <c r="E335" i="3"/>
  <c r="AR335" i="3" s="1"/>
  <c r="F335" i="3"/>
  <c r="AS335" i="3" s="1"/>
  <c r="I335" i="3"/>
  <c r="AV335" i="3" s="1"/>
  <c r="J335" i="3"/>
  <c r="AW335" i="3" s="1"/>
  <c r="B336" i="3"/>
  <c r="AN336" i="3" s="1"/>
  <c r="C336" i="3"/>
  <c r="AO336" i="3" s="1"/>
  <c r="D336" i="3"/>
  <c r="AP336" i="3" s="1"/>
  <c r="E336" i="3"/>
  <c r="AR336" i="3" s="1"/>
  <c r="F336" i="3"/>
  <c r="AS336" i="3" s="1"/>
  <c r="I336" i="3"/>
  <c r="AV336" i="3" s="1"/>
  <c r="J336" i="3"/>
  <c r="AW336" i="3" s="1"/>
  <c r="B337" i="3"/>
  <c r="AN337" i="3" s="1"/>
  <c r="C337" i="3"/>
  <c r="AO337" i="3" s="1"/>
  <c r="D337" i="3"/>
  <c r="AP337" i="3" s="1"/>
  <c r="E337" i="3"/>
  <c r="AR337" i="3" s="1"/>
  <c r="F337" i="3"/>
  <c r="AS337" i="3" s="1"/>
  <c r="I337" i="3"/>
  <c r="AV337" i="3" s="1"/>
  <c r="J337" i="3"/>
  <c r="AW337" i="3" s="1"/>
  <c r="B338" i="3"/>
  <c r="AN338" i="3" s="1"/>
  <c r="C338" i="3"/>
  <c r="AO338" i="3" s="1"/>
  <c r="D338" i="3"/>
  <c r="AP338" i="3" s="1"/>
  <c r="E338" i="3"/>
  <c r="AR338" i="3" s="1"/>
  <c r="F338" i="3"/>
  <c r="AS338" i="3" s="1"/>
  <c r="I338" i="3"/>
  <c r="AV338" i="3" s="1"/>
  <c r="J338" i="3"/>
  <c r="AW338" i="3" s="1"/>
  <c r="B339" i="3"/>
  <c r="AN339" i="3" s="1"/>
  <c r="C339" i="3"/>
  <c r="AO339" i="3" s="1"/>
  <c r="D339" i="3"/>
  <c r="AP339" i="3" s="1"/>
  <c r="E339" i="3"/>
  <c r="AR339" i="3" s="1"/>
  <c r="F339" i="3"/>
  <c r="AS339" i="3" s="1"/>
  <c r="I339" i="3"/>
  <c r="AV339" i="3" s="1"/>
  <c r="J339" i="3"/>
  <c r="AW339" i="3" s="1"/>
  <c r="B340" i="3"/>
  <c r="AN340" i="3" s="1"/>
  <c r="C340" i="3"/>
  <c r="AO340" i="3" s="1"/>
  <c r="D340" i="3"/>
  <c r="AP340" i="3" s="1"/>
  <c r="E340" i="3"/>
  <c r="AR340" i="3" s="1"/>
  <c r="F340" i="3"/>
  <c r="AS340" i="3" s="1"/>
  <c r="I340" i="3"/>
  <c r="AV340" i="3" s="1"/>
  <c r="J340" i="3"/>
  <c r="AW340" i="3" s="1"/>
  <c r="B341" i="3"/>
  <c r="AN341" i="3" s="1"/>
  <c r="C341" i="3"/>
  <c r="AO341" i="3" s="1"/>
  <c r="D341" i="3"/>
  <c r="AP341" i="3" s="1"/>
  <c r="E341" i="3"/>
  <c r="AR341" i="3" s="1"/>
  <c r="F341" i="3"/>
  <c r="AS341" i="3" s="1"/>
  <c r="I341" i="3"/>
  <c r="AV341" i="3" s="1"/>
  <c r="J341" i="3"/>
  <c r="AW341" i="3" s="1"/>
  <c r="B342" i="3"/>
  <c r="AN342" i="3" s="1"/>
  <c r="C342" i="3"/>
  <c r="AO342" i="3" s="1"/>
  <c r="D342" i="3"/>
  <c r="AP342" i="3" s="1"/>
  <c r="E342" i="3"/>
  <c r="AR342" i="3" s="1"/>
  <c r="F342" i="3"/>
  <c r="AS342" i="3" s="1"/>
  <c r="I342" i="3"/>
  <c r="AV342" i="3" s="1"/>
  <c r="J342" i="3"/>
  <c r="AW342" i="3" s="1"/>
  <c r="B343" i="3"/>
  <c r="AN343" i="3" s="1"/>
  <c r="C343" i="3"/>
  <c r="AO343" i="3" s="1"/>
  <c r="D343" i="3"/>
  <c r="AP343" i="3" s="1"/>
  <c r="E343" i="3"/>
  <c r="AR343" i="3" s="1"/>
  <c r="F343" i="3"/>
  <c r="AS343" i="3" s="1"/>
  <c r="I343" i="3"/>
  <c r="AV343" i="3" s="1"/>
  <c r="J343" i="3"/>
  <c r="AW343" i="3" s="1"/>
  <c r="B344" i="3"/>
  <c r="AN344" i="3" s="1"/>
  <c r="C344" i="3"/>
  <c r="AO344" i="3" s="1"/>
  <c r="D344" i="3"/>
  <c r="AP344" i="3" s="1"/>
  <c r="E344" i="3"/>
  <c r="AR344" i="3" s="1"/>
  <c r="F344" i="3"/>
  <c r="AS344" i="3" s="1"/>
  <c r="I344" i="3"/>
  <c r="AV344" i="3" s="1"/>
  <c r="J344" i="3"/>
  <c r="AW344" i="3" s="1"/>
  <c r="B345" i="3"/>
  <c r="AN345" i="3" s="1"/>
  <c r="C345" i="3"/>
  <c r="AO345" i="3" s="1"/>
  <c r="D345" i="3"/>
  <c r="AP345" i="3" s="1"/>
  <c r="E345" i="3"/>
  <c r="AR345" i="3" s="1"/>
  <c r="F345" i="3"/>
  <c r="AS345" i="3" s="1"/>
  <c r="I345" i="3"/>
  <c r="AV345" i="3" s="1"/>
  <c r="J345" i="3"/>
  <c r="AW345" i="3" s="1"/>
  <c r="B346" i="3"/>
  <c r="AN346" i="3" s="1"/>
  <c r="C346" i="3"/>
  <c r="AO346" i="3" s="1"/>
  <c r="D346" i="3"/>
  <c r="AP346" i="3" s="1"/>
  <c r="E346" i="3"/>
  <c r="AR346" i="3" s="1"/>
  <c r="F346" i="3"/>
  <c r="AS346" i="3" s="1"/>
  <c r="I346" i="3"/>
  <c r="AV346" i="3" s="1"/>
  <c r="J346" i="3"/>
  <c r="AW346" i="3" s="1"/>
  <c r="B347" i="3"/>
  <c r="AN347" i="3" s="1"/>
  <c r="C347" i="3"/>
  <c r="AO347" i="3" s="1"/>
  <c r="D347" i="3"/>
  <c r="AP347" i="3" s="1"/>
  <c r="E347" i="3"/>
  <c r="AR347" i="3" s="1"/>
  <c r="F347" i="3"/>
  <c r="AS347" i="3" s="1"/>
  <c r="I347" i="3"/>
  <c r="AV347" i="3" s="1"/>
  <c r="J347" i="3"/>
  <c r="AW347" i="3" s="1"/>
  <c r="B348" i="3"/>
  <c r="AN348" i="3" s="1"/>
  <c r="C348" i="3"/>
  <c r="AO348" i="3" s="1"/>
  <c r="D348" i="3"/>
  <c r="AP348" i="3" s="1"/>
  <c r="E348" i="3"/>
  <c r="AR348" i="3" s="1"/>
  <c r="F348" i="3"/>
  <c r="AS348" i="3" s="1"/>
  <c r="I348" i="3"/>
  <c r="AV348" i="3" s="1"/>
  <c r="J348" i="3"/>
  <c r="AW348" i="3" s="1"/>
  <c r="B349" i="3"/>
  <c r="AN349" i="3" s="1"/>
  <c r="C349" i="3"/>
  <c r="AO349" i="3" s="1"/>
  <c r="D349" i="3"/>
  <c r="AP349" i="3" s="1"/>
  <c r="E349" i="3"/>
  <c r="AR349" i="3" s="1"/>
  <c r="F349" i="3"/>
  <c r="AS349" i="3" s="1"/>
  <c r="I349" i="3"/>
  <c r="AV349" i="3" s="1"/>
  <c r="J349" i="3"/>
  <c r="AW349" i="3" s="1"/>
  <c r="B350" i="3"/>
  <c r="AN350" i="3" s="1"/>
  <c r="C350" i="3"/>
  <c r="AO350" i="3" s="1"/>
  <c r="D350" i="3"/>
  <c r="AP350" i="3" s="1"/>
  <c r="E350" i="3"/>
  <c r="AR350" i="3" s="1"/>
  <c r="F350" i="3"/>
  <c r="AS350" i="3" s="1"/>
  <c r="I350" i="3"/>
  <c r="AV350" i="3" s="1"/>
  <c r="J350" i="3"/>
  <c r="AW350" i="3" s="1"/>
  <c r="B351" i="3"/>
  <c r="AN351" i="3" s="1"/>
  <c r="C351" i="3"/>
  <c r="AO351" i="3" s="1"/>
  <c r="D351" i="3"/>
  <c r="AP351" i="3" s="1"/>
  <c r="E351" i="3"/>
  <c r="AR351" i="3" s="1"/>
  <c r="F351" i="3"/>
  <c r="AS351" i="3" s="1"/>
  <c r="I351" i="3"/>
  <c r="AV351" i="3" s="1"/>
  <c r="J351" i="3"/>
  <c r="AW351" i="3" s="1"/>
  <c r="B352" i="3"/>
  <c r="AN352" i="3" s="1"/>
  <c r="C352" i="3"/>
  <c r="AO352" i="3" s="1"/>
  <c r="D352" i="3"/>
  <c r="AP352" i="3" s="1"/>
  <c r="E352" i="3"/>
  <c r="AR352" i="3" s="1"/>
  <c r="F352" i="3"/>
  <c r="AS352" i="3" s="1"/>
  <c r="I352" i="3"/>
  <c r="AV352" i="3" s="1"/>
  <c r="J352" i="3"/>
  <c r="AW352" i="3" s="1"/>
  <c r="B353" i="3"/>
  <c r="AN353" i="3" s="1"/>
  <c r="C353" i="3"/>
  <c r="AO353" i="3" s="1"/>
  <c r="D353" i="3"/>
  <c r="AP353" i="3" s="1"/>
  <c r="E353" i="3"/>
  <c r="AR353" i="3" s="1"/>
  <c r="F353" i="3"/>
  <c r="AS353" i="3" s="1"/>
  <c r="I353" i="3"/>
  <c r="AV353" i="3" s="1"/>
  <c r="J353" i="3"/>
  <c r="AW353" i="3" s="1"/>
  <c r="B354" i="3"/>
  <c r="AN354" i="3" s="1"/>
  <c r="C354" i="3"/>
  <c r="AO354" i="3" s="1"/>
  <c r="D354" i="3"/>
  <c r="AP354" i="3" s="1"/>
  <c r="E354" i="3"/>
  <c r="AR354" i="3" s="1"/>
  <c r="F354" i="3"/>
  <c r="AS354" i="3" s="1"/>
  <c r="I354" i="3"/>
  <c r="AV354" i="3" s="1"/>
  <c r="J354" i="3"/>
  <c r="AW354" i="3" s="1"/>
  <c r="B355" i="3"/>
  <c r="AN355" i="3" s="1"/>
  <c r="C355" i="3"/>
  <c r="AO355" i="3" s="1"/>
  <c r="D355" i="3"/>
  <c r="AP355" i="3" s="1"/>
  <c r="E355" i="3"/>
  <c r="AR355" i="3" s="1"/>
  <c r="F355" i="3"/>
  <c r="AS355" i="3" s="1"/>
  <c r="I355" i="3"/>
  <c r="AV355" i="3" s="1"/>
  <c r="J355" i="3"/>
  <c r="AW355" i="3" s="1"/>
  <c r="B356" i="3"/>
  <c r="AN356" i="3" s="1"/>
  <c r="C356" i="3"/>
  <c r="AO356" i="3" s="1"/>
  <c r="D356" i="3"/>
  <c r="AP356" i="3" s="1"/>
  <c r="E356" i="3"/>
  <c r="AR356" i="3" s="1"/>
  <c r="F356" i="3"/>
  <c r="AS356" i="3" s="1"/>
  <c r="I356" i="3"/>
  <c r="AV356" i="3" s="1"/>
  <c r="J356" i="3"/>
  <c r="AW356" i="3" s="1"/>
  <c r="B357" i="3"/>
  <c r="AN357" i="3" s="1"/>
  <c r="C357" i="3"/>
  <c r="AO357" i="3" s="1"/>
  <c r="D357" i="3"/>
  <c r="AP357" i="3" s="1"/>
  <c r="E357" i="3"/>
  <c r="AR357" i="3" s="1"/>
  <c r="F357" i="3"/>
  <c r="AS357" i="3" s="1"/>
  <c r="I357" i="3"/>
  <c r="AV357" i="3" s="1"/>
  <c r="J357" i="3"/>
  <c r="AW357" i="3" s="1"/>
  <c r="B358" i="3"/>
  <c r="AN358" i="3" s="1"/>
  <c r="C358" i="3"/>
  <c r="AO358" i="3" s="1"/>
  <c r="D358" i="3"/>
  <c r="AP358" i="3" s="1"/>
  <c r="E358" i="3"/>
  <c r="AR358" i="3" s="1"/>
  <c r="F358" i="3"/>
  <c r="AS358" i="3" s="1"/>
  <c r="I358" i="3"/>
  <c r="AV358" i="3" s="1"/>
  <c r="J358" i="3"/>
  <c r="AW358" i="3" s="1"/>
  <c r="B359" i="3"/>
  <c r="AN359" i="3" s="1"/>
  <c r="C359" i="3"/>
  <c r="AO359" i="3" s="1"/>
  <c r="D359" i="3"/>
  <c r="AP359" i="3" s="1"/>
  <c r="E359" i="3"/>
  <c r="AR359" i="3" s="1"/>
  <c r="F359" i="3"/>
  <c r="AS359" i="3" s="1"/>
  <c r="I359" i="3"/>
  <c r="AV359" i="3" s="1"/>
  <c r="J359" i="3"/>
  <c r="AW359" i="3" s="1"/>
  <c r="B360" i="3"/>
  <c r="AN360" i="3" s="1"/>
  <c r="C360" i="3"/>
  <c r="AO360" i="3" s="1"/>
  <c r="D360" i="3"/>
  <c r="AP360" i="3" s="1"/>
  <c r="E360" i="3"/>
  <c r="AR360" i="3" s="1"/>
  <c r="F360" i="3"/>
  <c r="AS360" i="3" s="1"/>
  <c r="I360" i="3"/>
  <c r="AV360" i="3" s="1"/>
  <c r="J360" i="3"/>
  <c r="AW360" i="3" s="1"/>
  <c r="B361" i="3"/>
  <c r="AN361" i="3" s="1"/>
  <c r="C361" i="3"/>
  <c r="AO361" i="3" s="1"/>
  <c r="D361" i="3"/>
  <c r="AP361" i="3" s="1"/>
  <c r="E361" i="3"/>
  <c r="AR361" i="3" s="1"/>
  <c r="F361" i="3"/>
  <c r="AS361" i="3" s="1"/>
  <c r="I361" i="3"/>
  <c r="AV361" i="3" s="1"/>
  <c r="J361" i="3"/>
  <c r="AW361" i="3" s="1"/>
  <c r="B362" i="3"/>
  <c r="AN362" i="3" s="1"/>
  <c r="C362" i="3"/>
  <c r="AO362" i="3" s="1"/>
  <c r="D362" i="3"/>
  <c r="AP362" i="3" s="1"/>
  <c r="E362" i="3"/>
  <c r="AR362" i="3" s="1"/>
  <c r="F362" i="3"/>
  <c r="AS362" i="3" s="1"/>
  <c r="I362" i="3"/>
  <c r="AV362" i="3" s="1"/>
  <c r="J362" i="3"/>
  <c r="AW362" i="3" s="1"/>
  <c r="B363" i="3"/>
  <c r="AN363" i="3" s="1"/>
  <c r="C363" i="3"/>
  <c r="AO363" i="3" s="1"/>
  <c r="D363" i="3"/>
  <c r="AP363" i="3" s="1"/>
  <c r="E363" i="3"/>
  <c r="AR363" i="3" s="1"/>
  <c r="F363" i="3"/>
  <c r="AS363" i="3" s="1"/>
  <c r="I363" i="3"/>
  <c r="AV363" i="3" s="1"/>
  <c r="J363" i="3"/>
  <c r="AW363" i="3" s="1"/>
  <c r="B364" i="3"/>
  <c r="AN364" i="3" s="1"/>
  <c r="C364" i="3"/>
  <c r="AO364" i="3" s="1"/>
  <c r="D364" i="3"/>
  <c r="AP364" i="3" s="1"/>
  <c r="E364" i="3"/>
  <c r="AR364" i="3" s="1"/>
  <c r="F364" i="3"/>
  <c r="AS364" i="3" s="1"/>
  <c r="I364" i="3"/>
  <c r="AV364" i="3" s="1"/>
  <c r="J364" i="3"/>
  <c r="AW364" i="3" s="1"/>
  <c r="B365" i="3"/>
  <c r="AN365" i="3" s="1"/>
  <c r="C365" i="3"/>
  <c r="AO365" i="3" s="1"/>
  <c r="D365" i="3"/>
  <c r="AP365" i="3" s="1"/>
  <c r="E365" i="3"/>
  <c r="AR365" i="3" s="1"/>
  <c r="F365" i="3"/>
  <c r="AS365" i="3" s="1"/>
  <c r="I365" i="3"/>
  <c r="AV365" i="3" s="1"/>
  <c r="J365" i="3"/>
  <c r="AW365" i="3" s="1"/>
  <c r="B366" i="3"/>
  <c r="AN366" i="3" s="1"/>
  <c r="C366" i="3"/>
  <c r="AO366" i="3" s="1"/>
  <c r="D366" i="3"/>
  <c r="AP366" i="3" s="1"/>
  <c r="E366" i="3"/>
  <c r="AR366" i="3" s="1"/>
  <c r="F366" i="3"/>
  <c r="AS366" i="3" s="1"/>
  <c r="I366" i="3"/>
  <c r="AV366" i="3" s="1"/>
  <c r="J366" i="3"/>
  <c r="AW366" i="3" s="1"/>
  <c r="B367" i="3"/>
  <c r="AN367" i="3" s="1"/>
  <c r="C367" i="3"/>
  <c r="AO367" i="3" s="1"/>
  <c r="D367" i="3"/>
  <c r="AP367" i="3" s="1"/>
  <c r="E367" i="3"/>
  <c r="AR367" i="3" s="1"/>
  <c r="F367" i="3"/>
  <c r="AS367" i="3" s="1"/>
  <c r="I367" i="3"/>
  <c r="AV367" i="3" s="1"/>
  <c r="J367" i="3"/>
  <c r="AW367" i="3" s="1"/>
  <c r="B368" i="3"/>
  <c r="AN368" i="3" s="1"/>
  <c r="C368" i="3"/>
  <c r="AO368" i="3" s="1"/>
  <c r="D368" i="3"/>
  <c r="AP368" i="3" s="1"/>
  <c r="E368" i="3"/>
  <c r="AR368" i="3" s="1"/>
  <c r="F368" i="3"/>
  <c r="AS368" i="3" s="1"/>
  <c r="I368" i="3"/>
  <c r="AV368" i="3" s="1"/>
  <c r="J368" i="3"/>
  <c r="AW368" i="3" s="1"/>
  <c r="B369" i="3"/>
  <c r="AN369" i="3" s="1"/>
  <c r="C369" i="3"/>
  <c r="AO369" i="3" s="1"/>
  <c r="D369" i="3"/>
  <c r="AP369" i="3" s="1"/>
  <c r="E369" i="3"/>
  <c r="AR369" i="3" s="1"/>
  <c r="F369" i="3"/>
  <c r="AS369" i="3" s="1"/>
  <c r="I369" i="3"/>
  <c r="AV369" i="3" s="1"/>
  <c r="J369" i="3"/>
  <c r="AW369" i="3" s="1"/>
  <c r="B370" i="3"/>
  <c r="AN370" i="3" s="1"/>
  <c r="C370" i="3"/>
  <c r="AO370" i="3" s="1"/>
  <c r="D370" i="3"/>
  <c r="AP370" i="3" s="1"/>
  <c r="E370" i="3"/>
  <c r="AR370" i="3" s="1"/>
  <c r="F370" i="3"/>
  <c r="AS370" i="3" s="1"/>
  <c r="I370" i="3"/>
  <c r="AV370" i="3" s="1"/>
  <c r="J370" i="3"/>
  <c r="AW370" i="3" s="1"/>
  <c r="B371" i="3"/>
  <c r="AN371" i="3" s="1"/>
  <c r="C371" i="3"/>
  <c r="AO371" i="3" s="1"/>
  <c r="D371" i="3"/>
  <c r="AP371" i="3" s="1"/>
  <c r="E371" i="3"/>
  <c r="AR371" i="3" s="1"/>
  <c r="F371" i="3"/>
  <c r="AS371" i="3" s="1"/>
  <c r="I371" i="3"/>
  <c r="AV371" i="3" s="1"/>
  <c r="J371" i="3"/>
  <c r="AW371" i="3" s="1"/>
  <c r="B372" i="3"/>
  <c r="AN372" i="3" s="1"/>
  <c r="C372" i="3"/>
  <c r="AO372" i="3" s="1"/>
  <c r="D372" i="3"/>
  <c r="AP372" i="3" s="1"/>
  <c r="E372" i="3"/>
  <c r="AR372" i="3" s="1"/>
  <c r="F372" i="3"/>
  <c r="AS372" i="3" s="1"/>
  <c r="I372" i="3"/>
  <c r="AV372" i="3" s="1"/>
  <c r="J372" i="3"/>
  <c r="AW372" i="3" s="1"/>
  <c r="B373" i="3"/>
  <c r="AN373" i="3" s="1"/>
  <c r="C373" i="3"/>
  <c r="AO373" i="3" s="1"/>
  <c r="D373" i="3"/>
  <c r="AP373" i="3" s="1"/>
  <c r="E373" i="3"/>
  <c r="AR373" i="3" s="1"/>
  <c r="F373" i="3"/>
  <c r="AS373" i="3" s="1"/>
  <c r="I373" i="3"/>
  <c r="AV373" i="3" s="1"/>
  <c r="J373" i="3"/>
  <c r="AW373" i="3" s="1"/>
  <c r="B374" i="3"/>
  <c r="AN374" i="3" s="1"/>
  <c r="C374" i="3"/>
  <c r="AO374" i="3" s="1"/>
  <c r="D374" i="3"/>
  <c r="AP374" i="3" s="1"/>
  <c r="E374" i="3"/>
  <c r="AR374" i="3" s="1"/>
  <c r="F374" i="3"/>
  <c r="AS374" i="3" s="1"/>
  <c r="I374" i="3"/>
  <c r="AV374" i="3" s="1"/>
  <c r="J374" i="3"/>
  <c r="AW374" i="3" s="1"/>
  <c r="B375" i="3"/>
  <c r="AN375" i="3" s="1"/>
  <c r="C375" i="3"/>
  <c r="AO375" i="3" s="1"/>
  <c r="D375" i="3"/>
  <c r="AP375" i="3" s="1"/>
  <c r="E375" i="3"/>
  <c r="AR375" i="3" s="1"/>
  <c r="F375" i="3"/>
  <c r="AS375" i="3" s="1"/>
  <c r="I375" i="3"/>
  <c r="AV375" i="3" s="1"/>
  <c r="J375" i="3"/>
  <c r="AW375" i="3" s="1"/>
  <c r="B376" i="3"/>
  <c r="AN376" i="3" s="1"/>
  <c r="C376" i="3"/>
  <c r="AO376" i="3" s="1"/>
  <c r="D376" i="3"/>
  <c r="AP376" i="3" s="1"/>
  <c r="E376" i="3"/>
  <c r="AR376" i="3" s="1"/>
  <c r="F376" i="3"/>
  <c r="AS376" i="3" s="1"/>
  <c r="I376" i="3"/>
  <c r="AV376" i="3" s="1"/>
  <c r="J376" i="3"/>
  <c r="AW376" i="3" s="1"/>
  <c r="B377" i="3"/>
  <c r="AN377" i="3" s="1"/>
  <c r="C377" i="3"/>
  <c r="AO377" i="3" s="1"/>
  <c r="D377" i="3"/>
  <c r="AP377" i="3" s="1"/>
  <c r="E377" i="3"/>
  <c r="AR377" i="3" s="1"/>
  <c r="F377" i="3"/>
  <c r="AS377" i="3" s="1"/>
  <c r="I377" i="3"/>
  <c r="AV377" i="3" s="1"/>
  <c r="J377" i="3"/>
  <c r="AW377" i="3" s="1"/>
  <c r="B378" i="3"/>
  <c r="AN378" i="3" s="1"/>
  <c r="C378" i="3"/>
  <c r="AO378" i="3" s="1"/>
  <c r="D378" i="3"/>
  <c r="AP378" i="3" s="1"/>
  <c r="E378" i="3"/>
  <c r="AR378" i="3" s="1"/>
  <c r="F378" i="3"/>
  <c r="AS378" i="3" s="1"/>
  <c r="I378" i="3"/>
  <c r="AV378" i="3" s="1"/>
  <c r="J378" i="3"/>
  <c r="AW378" i="3" s="1"/>
  <c r="B379" i="3"/>
  <c r="AN379" i="3" s="1"/>
  <c r="C379" i="3"/>
  <c r="AO379" i="3" s="1"/>
  <c r="D379" i="3"/>
  <c r="AP379" i="3" s="1"/>
  <c r="E379" i="3"/>
  <c r="AR379" i="3" s="1"/>
  <c r="F379" i="3"/>
  <c r="AS379" i="3" s="1"/>
  <c r="I379" i="3"/>
  <c r="AV379" i="3" s="1"/>
  <c r="J379" i="3"/>
  <c r="AW379" i="3" s="1"/>
  <c r="B380" i="3"/>
  <c r="AN380" i="3" s="1"/>
  <c r="C380" i="3"/>
  <c r="AO380" i="3" s="1"/>
  <c r="D380" i="3"/>
  <c r="AP380" i="3" s="1"/>
  <c r="E380" i="3"/>
  <c r="AR380" i="3" s="1"/>
  <c r="F380" i="3"/>
  <c r="AS380" i="3" s="1"/>
  <c r="I380" i="3"/>
  <c r="AV380" i="3" s="1"/>
  <c r="J380" i="3"/>
  <c r="AW380" i="3" s="1"/>
  <c r="B381" i="3"/>
  <c r="AN381" i="3" s="1"/>
  <c r="C381" i="3"/>
  <c r="AO381" i="3" s="1"/>
  <c r="D381" i="3"/>
  <c r="AP381" i="3" s="1"/>
  <c r="E381" i="3"/>
  <c r="AR381" i="3" s="1"/>
  <c r="F381" i="3"/>
  <c r="AS381" i="3" s="1"/>
  <c r="I381" i="3"/>
  <c r="AV381" i="3" s="1"/>
  <c r="J381" i="3"/>
  <c r="AW381" i="3" s="1"/>
  <c r="B382" i="3"/>
  <c r="AN382" i="3" s="1"/>
  <c r="C382" i="3"/>
  <c r="AO382" i="3" s="1"/>
  <c r="D382" i="3"/>
  <c r="AP382" i="3" s="1"/>
  <c r="E382" i="3"/>
  <c r="AR382" i="3" s="1"/>
  <c r="F382" i="3"/>
  <c r="AS382" i="3" s="1"/>
  <c r="I382" i="3"/>
  <c r="AV382" i="3" s="1"/>
  <c r="J382" i="3"/>
  <c r="AW382" i="3" s="1"/>
  <c r="B383" i="3"/>
  <c r="AN383" i="3" s="1"/>
  <c r="C383" i="3"/>
  <c r="AO383" i="3" s="1"/>
  <c r="D383" i="3"/>
  <c r="AP383" i="3" s="1"/>
  <c r="E383" i="3"/>
  <c r="AR383" i="3" s="1"/>
  <c r="F383" i="3"/>
  <c r="AS383" i="3" s="1"/>
  <c r="I383" i="3"/>
  <c r="AV383" i="3" s="1"/>
  <c r="J383" i="3"/>
  <c r="AW383" i="3" s="1"/>
  <c r="B384" i="3"/>
  <c r="AN384" i="3" s="1"/>
  <c r="C384" i="3"/>
  <c r="AO384" i="3" s="1"/>
  <c r="D384" i="3"/>
  <c r="AP384" i="3" s="1"/>
  <c r="E384" i="3"/>
  <c r="AR384" i="3" s="1"/>
  <c r="F384" i="3"/>
  <c r="AS384" i="3" s="1"/>
  <c r="I384" i="3"/>
  <c r="AV384" i="3" s="1"/>
  <c r="J384" i="3"/>
  <c r="AW384" i="3" s="1"/>
  <c r="B385" i="3"/>
  <c r="AN385" i="3" s="1"/>
  <c r="C385" i="3"/>
  <c r="AO385" i="3" s="1"/>
  <c r="D385" i="3"/>
  <c r="AP385" i="3" s="1"/>
  <c r="E385" i="3"/>
  <c r="AR385" i="3" s="1"/>
  <c r="F385" i="3"/>
  <c r="AS385" i="3" s="1"/>
  <c r="I385" i="3"/>
  <c r="AV385" i="3" s="1"/>
  <c r="J385" i="3"/>
  <c r="AW385" i="3" s="1"/>
  <c r="B184" i="3"/>
  <c r="AN184" i="3" s="1"/>
  <c r="C184" i="3"/>
  <c r="AO184" i="3" s="1"/>
  <c r="D184" i="3"/>
  <c r="AP184" i="3" s="1"/>
  <c r="E184" i="3"/>
  <c r="AR184" i="3" s="1"/>
  <c r="F184" i="3"/>
  <c r="AS184" i="3" s="1"/>
  <c r="I184" i="3"/>
  <c r="AV184" i="3" s="1"/>
  <c r="J184" i="3"/>
  <c r="AW184" i="3" s="1"/>
  <c r="B185" i="3"/>
  <c r="AN185" i="3" s="1"/>
  <c r="C185" i="3"/>
  <c r="AO185" i="3" s="1"/>
  <c r="D185" i="3"/>
  <c r="AP185" i="3" s="1"/>
  <c r="E185" i="3"/>
  <c r="AR185" i="3" s="1"/>
  <c r="F185" i="3"/>
  <c r="AS185" i="3" s="1"/>
  <c r="I185" i="3"/>
  <c r="AV185" i="3" s="1"/>
  <c r="J185" i="3"/>
  <c r="AW185" i="3" s="1"/>
  <c r="B186" i="3"/>
  <c r="AN186" i="3" s="1"/>
  <c r="C186" i="3"/>
  <c r="AO186" i="3" s="1"/>
  <c r="D186" i="3"/>
  <c r="AP186" i="3" s="1"/>
  <c r="E186" i="3"/>
  <c r="AR186" i="3" s="1"/>
  <c r="F186" i="3"/>
  <c r="AS186" i="3" s="1"/>
  <c r="I186" i="3"/>
  <c r="AV186" i="3" s="1"/>
  <c r="J186" i="3"/>
  <c r="AW186" i="3" s="1"/>
  <c r="B187" i="3"/>
  <c r="AN187" i="3" s="1"/>
  <c r="C187" i="3"/>
  <c r="AO187" i="3" s="1"/>
  <c r="D187" i="3"/>
  <c r="AP187" i="3" s="1"/>
  <c r="E187" i="3"/>
  <c r="AR187" i="3" s="1"/>
  <c r="F187" i="3"/>
  <c r="AS187" i="3" s="1"/>
  <c r="I187" i="3"/>
  <c r="AV187" i="3" s="1"/>
  <c r="J187" i="3"/>
  <c r="AW187" i="3" s="1"/>
  <c r="B188" i="3"/>
  <c r="AN188" i="3" s="1"/>
  <c r="C188" i="3"/>
  <c r="AO188" i="3" s="1"/>
  <c r="D188" i="3"/>
  <c r="AP188" i="3" s="1"/>
  <c r="E188" i="3"/>
  <c r="AR188" i="3" s="1"/>
  <c r="F188" i="3"/>
  <c r="AS188" i="3" s="1"/>
  <c r="I188" i="3"/>
  <c r="AV188" i="3" s="1"/>
  <c r="J188" i="3"/>
  <c r="AW188" i="3" s="1"/>
  <c r="B189" i="3"/>
  <c r="AN189" i="3" s="1"/>
  <c r="C189" i="3"/>
  <c r="AO189" i="3" s="1"/>
  <c r="D189" i="3"/>
  <c r="AP189" i="3" s="1"/>
  <c r="E189" i="3"/>
  <c r="AR189" i="3" s="1"/>
  <c r="F189" i="3"/>
  <c r="AS189" i="3" s="1"/>
  <c r="I189" i="3"/>
  <c r="AV189" i="3" s="1"/>
  <c r="J189" i="3"/>
  <c r="AW189" i="3" s="1"/>
  <c r="B190" i="3"/>
  <c r="AN190" i="3" s="1"/>
  <c r="C190" i="3"/>
  <c r="AO190" i="3" s="1"/>
  <c r="D190" i="3"/>
  <c r="AP190" i="3" s="1"/>
  <c r="E190" i="3"/>
  <c r="AR190" i="3" s="1"/>
  <c r="F190" i="3"/>
  <c r="AS190" i="3" s="1"/>
  <c r="I190" i="3"/>
  <c r="AV190" i="3" s="1"/>
  <c r="J190" i="3"/>
  <c r="AW190" i="3" s="1"/>
  <c r="B191" i="3"/>
  <c r="AN191" i="3" s="1"/>
  <c r="C191" i="3"/>
  <c r="AO191" i="3" s="1"/>
  <c r="D191" i="3"/>
  <c r="AP191" i="3" s="1"/>
  <c r="E191" i="3"/>
  <c r="AR191" i="3" s="1"/>
  <c r="F191" i="3"/>
  <c r="AS191" i="3" s="1"/>
  <c r="I191" i="3"/>
  <c r="AV191" i="3" s="1"/>
  <c r="J191" i="3"/>
  <c r="AW191" i="3" s="1"/>
  <c r="B192" i="3"/>
  <c r="AN192" i="3" s="1"/>
  <c r="C192" i="3"/>
  <c r="AO192" i="3" s="1"/>
  <c r="D192" i="3"/>
  <c r="AP192" i="3" s="1"/>
  <c r="E192" i="3"/>
  <c r="AR192" i="3" s="1"/>
  <c r="F192" i="3"/>
  <c r="AS192" i="3" s="1"/>
  <c r="I192" i="3"/>
  <c r="AV192" i="3" s="1"/>
  <c r="J192" i="3"/>
  <c r="AW192" i="3" s="1"/>
  <c r="B193" i="3"/>
  <c r="AN193" i="3" s="1"/>
  <c r="C193" i="3"/>
  <c r="AO193" i="3" s="1"/>
  <c r="D193" i="3"/>
  <c r="AP193" i="3" s="1"/>
  <c r="E193" i="3"/>
  <c r="AR193" i="3" s="1"/>
  <c r="F193" i="3"/>
  <c r="AS193" i="3" s="1"/>
  <c r="I193" i="3"/>
  <c r="AV193" i="3" s="1"/>
  <c r="J193" i="3"/>
  <c r="AW193" i="3" s="1"/>
  <c r="B194" i="3"/>
  <c r="AN194" i="3" s="1"/>
  <c r="C194" i="3"/>
  <c r="AO194" i="3" s="1"/>
  <c r="D194" i="3"/>
  <c r="AP194" i="3" s="1"/>
  <c r="E194" i="3"/>
  <c r="AR194" i="3" s="1"/>
  <c r="F194" i="3"/>
  <c r="AS194" i="3" s="1"/>
  <c r="I194" i="3"/>
  <c r="AV194" i="3" s="1"/>
  <c r="J194" i="3"/>
  <c r="AW194" i="3" s="1"/>
  <c r="B195" i="3"/>
  <c r="AN195" i="3" s="1"/>
  <c r="C195" i="3"/>
  <c r="AO195" i="3" s="1"/>
  <c r="D195" i="3"/>
  <c r="AP195" i="3" s="1"/>
  <c r="E195" i="3"/>
  <c r="AR195" i="3" s="1"/>
  <c r="F195" i="3"/>
  <c r="AS195" i="3" s="1"/>
  <c r="I195" i="3"/>
  <c r="AV195" i="3" s="1"/>
  <c r="J195" i="3"/>
  <c r="AW195" i="3" s="1"/>
  <c r="B196" i="3"/>
  <c r="AN196" i="3" s="1"/>
  <c r="C196" i="3"/>
  <c r="AO196" i="3" s="1"/>
  <c r="D196" i="3"/>
  <c r="AP196" i="3" s="1"/>
  <c r="E196" i="3"/>
  <c r="AR196" i="3" s="1"/>
  <c r="F196" i="3"/>
  <c r="AS196" i="3" s="1"/>
  <c r="I196" i="3"/>
  <c r="AV196" i="3" s="1"/>
  <c r="J196" i="3"/>
  <c r="AW196" i="3" s="1"/>
  <c r="B197" i="3"/>
  <c r="AN197" i="3" s="1"/>
  <c r="C197" i="3"/>
  <c r="AO197" i="3" s="1"/>
  <c r="D197" i="3"/>
  <c r="AP197" i="3" s="1"/>
  <c r="E197" i="3"/>
  <c r="AR197" i="3" s="1"/>
  <c r="F197" i="3"/>
  <c r="AS197" i="3" s="1"/>
  <c r="I197" i="3"/>
  <c r="AV197" i="3" s="1"/>
  <c r="J197" i="3"/>
  <c r="AW197" i="3" s="1"/>
  <c r="B198" i="3"/>
  <c r="AN198" i="3" s="1"/>
  <c r="C198" i="3"/>
  <c r="AO198" i="3" s="1"/>
  <c r="D198" i="3"/>
  <c r="AP198" i="3" s="1"/>
  <c r="E198" i="3"/>
  <c r="AR198" i="3" s="1"/>
  <c r="F198" i="3"/>
  <c r="AS198" i="3" s="1"/>
  <c r="I198" i="3"/>
  <c r="AV198" i="3" s="1"/>
  <c r="J198" i="3"/>
  <c r="AW198" i="3" s="1"/>
  <c r="B199" i="3"/>
  <c r="AN199" i="3" s="1"/>
  <c r="C199" i="3"/>
  <c r="AO199" i="3" s="1"/>
  <c r="D199" i="3"/>
  <c r="AP199" i="3" s="1"/>
  <c r="E199" i="3"/>
  <c r="AR199" i="3" s="1"/>
  <c r="F199" i="3"/>
  <c r="AS199" i="3" s="1"/>
  <c r="I199" i="3"/>
  <c r="AV199" i="3" s="1"/>
  <c r="J199" i="3"/>
  <c r="AW199" i="3" s="1"/>
  <c r="B200" i="3"/>
  <c r="AN200" i="3" s="1"/>
  <c r="C200" i="3"/>
  <c r="AO200" i="3" s="1"/>
  <c r="D200" i="3"/>
  <c r="AP200" i="3" s="1"/>
  <c r="E200" i="3"/>
  <c r="AR200" i="3" s="1"/>
  <c r="F200" i="3"/>
  <c r="AS200" i="3" s="1"/>
  <c r="I200" i="3"/>
  <c r="AV200" i="3" s="1"/>
  <c r="J200" i="3"/>
  <c r="AW200" i="3" s="1"/>
  <c r="B201" i="3"/>
  <c r="AN201" i="3" s="1"/>
  <c r="C201" i="3"/>
  <c r="AO201" i="3" s="1"/>
  <c r="D201" i="3"/>
  <c r="AP201" i="3" s="1"/>
  <c r="E201" i="3"/>
  <c r="AR201" i="3" s="1"/>
  <c r="F201" i="3"/>
  <c r="AS201" i="3" s="1"/>
  <c r="I201" i="3"/>
  <c r="AV201" i="3" s="1"/>
  <c r="J201" i="3"/>
  <c r="AW201" i="3" s="1"/>
  <c r="B202" i="3"/>
  <c r="AN202" i="3" s="1"/>
  <c r="C202" i="3"/>
  <c r="AO202" i="3" s="1"/>
  <c r="D202" i="3"/>
  <c r="AP202" i="3" s="1"/>
  <c r="E202" i="3"/>
  <c r="AR202" i="3" s="1"/>
  <c r="F202" i="3"/>
  <c r="AS202" i="3" s="1"/>
  <c r="I202" i="3"/>
  <c r="AV202" i="3" s="1"/>
  <c r="J202" i="3"/>
  <c r="AW202" i="3" s="1"/>
  <c r="B203" i="3"/>
  <c r="AN203" i="3" s="1"/>
  <c r="C203" i="3"/>
  <c r="AO203" i="3" s="1"/>
  <c r="D203" i="3"/>
  <c r="AP203" i="3" s="1"/>
  <c r="E203" i="3"/>
  <c r="AR203" i="3" s="1"/>
  <c r="F203" i="3"/>
  <c r="AS203" i="3" s="1"/>
  <c r="I203" i="3"/>
  <c r="AV203" i="3" s="1"/>
  <c r="J203" i="3"/>
  <c r="AW203" i="3" s="1"/>
  <c r="B204" i="3"/>
  <c r="AN204" i="3" s="1"/>
  <c r="C204" i="3"/>
  <c r="AO204" i="3" s="1"/>
  <c r="D204" i="3"/>
  <c r="AP204" i="3" s="1"/>
  <c r="E204" i="3"/>
  <c r="AR204" i="3" s="1"/>
  <c r="F204" i="3"/>
  <c r="AS204" i="3" s="1"/>
  <c r="I204" i="3"/>
  <c r="AV204" i="3" s="1"/>
  <c r="J204" i="3"/>
  <c r="AW204" i="3" s="1"/>
  <c r="B205" i="3"/>
  <c r="AN205" i="3" s="1"/>
  <c r="C205" i="3"/>
  <c r="AO205" i="3" s="1"/>
  <c r="D205" i="3"/>
  <c r="AP205" i="3" s="1"/>
  <c r="E205" i="3"/>
  <c r="AR205" i="3" s="1"/>
  <c r="F205" i="3"/>
  <c r="AS205" i="3" s="1"/>
  <c r="I205" i="3"/>
  <c r="AV205" i="3" s="1"/>
  <c r="J205" i="3"/>
  <c r="AW205" i="3" s="1"/>
  <c r="B206" i="3"/>
  <c r="AN206" i="3" s="1"/>
  <c r="C206" i="3"/>
  <c r="AO206" i="3" s="1"/>
  <c r="D206" i="3"/>
  <c r="AP206" i="3" s="1"/>
  <c r="E206" i="3"/>
  <c r="AR206" i="3" s="1"/>
  <c r="F206" i="3"/>
  <c r="AS206" i="3" s="1"/>
  <c r="I206" i="3"/>
  <c r="AV206" i="3" s="1"/>
  <c r="J206" i="3"/>
  <c r="AW206" i="3" s="1"/>
  <c r="B207" i="3"/>
  <c r="AN207" i="3" s="1"/>
  <c r="C207" i="3"/>
  <c r="AO207" i="3" s="1"/>
  <c r="D207" i="3"/>
  <c r="AP207" i="3" s="1"/>
  <c r="E207" i="3"/>
  <c r="AR207" i="3" s="1"/>
  <c r="F207" i="3"/>
  <c r="AS207" i="3" s="1"/>
  <c r="I207" i="3"/>
  <c r="AV207" i="3" s="1"/>
  <c r="J207" i="3"/>
  <c r="AW207" i="3" s="1"/>
  <c r="B208" i="3"/>
  <c r="AN208" i="3" s="1"/>
  <c r="C208" i="3"/>
  <c r="AO208" i="3" s="1"/>
  <c r="D208" i="3"/>
  <c r="AP208" i="3" s="1"/>
  <c r="E208" i="3"/>
  <c r="AR208" i="3" s="1"/>
  <c r="F208" i="3"/>
  <c r="AS208" i="3" s="1"/>
  <c r="I208" i="3"/>
  <c r="AV208" i="3" s="1"/>
  <c r="J208" i="3"/>
  <c r="AW208" i="3" s="1"/>
  <c r="B209" i="3"/>
  <c r="AN209" i="3" s="1"/>
  <c r="C209" i="3"/>
  <c r="AO209" i="3" s="1"/>
  <c r="D209" i="3"/>
  <c r="AP209" i="3" s="1"/>
  <c r="E209" i="3"/>
  <c r="AR209" i="3" s="1"/>
  <c r="F209" i="3"/>
  <c r="AS209" i="3" s="1"/>
  <c r="I209" i="3"/>
  <c r="AV209" i="3" s="1"/>
  <c r="J209" i="3"/>
  <c r="AW209" i="3" s="1"/>
  <c r="B210" i="3"/>
  <c r="AN210" i="3" s="1"/>
  <c r="C210" i="3"/>
  <c r="AO210" i="3" s="1"/>
  <c r="D210" i="3"/>
  <c r="AP210" i="3" s="1"/>
  <c r="E210" i="3"/>
  <c r="AR210" i="3" s="1"/>
  <c r="F210" i="3"/>
  <c r="AS210" i="3" s="1"/>
  <c r="I210" i="3"/>
  <c r="AV210" i="3" s="1"/>
  <c r="J210" i="3"/>
  <c r="AW210" i="3" s="1"/>
  <c r="B211" i="3"/>
  <c r="AN211" i="3" s="1"/>
  <c r="C211" i="3"/>
  <c r="AO211" i="3" s="1"/>
  <c r="D211" i="3"/>
  <c r="AP211" i="3" s="1"/>
  <c r="E211" i="3"/>
  <c r="AR211" i="3" s="1"/>
  <c r="F211" i="3"/>
  <c r="AS211" i="3" s="1"/>
  <c r="I211" i="3"/>
  <c r="AV211" i="3" s="1"/>
  <c r="J211" i="3"/>
  <c r="AW211" i="3" s="1"/>
  <c r="B212" i="3"/>
  <c r="AN212" i="3" s="1"/>
  <c r="C212" i="3"/>
  <c r="AO212" i="3" s="1"/>
  <c r="D212" i="3"/>
  <c r="AP212" i="3" s="1"/>
  <c r="E212" i="3"/>
  <c r="AR212" i="3" s="1"/>
  <c r="F212" i="3"/>
  <c r="AS212" i="3" s="1"/>
  <c r="I212" i="3"/>
  <c r="AV212" i="3" s="1"/>
  <c r="J212" i="3"/>
  <c r="AW212" i="3" s="1"/>
  <c r="B213" i="3"/>
  <c r="AN213" i="3" s="1"/>
  <c r="C213" i="3"/>
  <c r="AO213" i="3" s="1"/>
  <c r="D213" i="3"/>
  <c r="AP213" i="3" s="1"/>
  <c r="E213" i="3"/>
  <c r="AR213" i="3" s="1"/>
  <c r="F213" i="3"/>
  <c r="AS213" i="3" s="1"/>
  <c r="I213" i="3"/>
  <c r="AV213" i="3" s="1"/>
  <c r="J213" i="3"/>
  <c r="AW213" i="3" s="1"/>
  <c r="B214" i="3"/>
  <c r="AN214" i="3" s="1"/>
  <c r="C214" i="3"/>
  <c r="AO214" i="3" s="1"/>
  <c r="D214" i="3"/>
  <c r="AP214" i="3" s="1"/>
  <c r="E214" i="3"/>
  <c r="AR214" i="3" s="1"/>
  <c r="F214" i="3"/>
  <c r="AS214" i="3" s="1"/>
  <c r="I214" i="3"/>
  <c r="AV214" i="3" s="1"/>
  <c r="J214" i="3"/>
  <c r="AW214" i="3" s="1"/>
  <c r="B215" i="3"/>
  <c r="AN215" i="3" s="1"/>
  <c r="C215" i="3"/>
  <c r="AO215" i="3" s="1"/>
  <c r="D215" i="3"/>
  <c r="AP215" i="3" s="1"/>
  <c r="E215" i="3"/>
  <c r="AR215" i="3" s="1"/>
  <c r="F215" i="3"/>
  <c r="AS215" i="3" s="1"/>
  <c r="I215" i="3"/>
  <c r="AV215" i="3" s="1"/>
  <c r="J215" i="3"/>
  <c r="AW215" i="3" s="1"/>
  <c r="B216" i="3"/>
  <c r="AN216" i="3" s="1"/>
  <c r="C216" i="3"/>
  <c r="AO216" i="3" s="1"/>
  <c r="D216" i="3"/>
  <c r="AP216" i="3" s="1"/>
  <c r="E216" i="3"/>
  <c r="AR216" i="3" s="1"/>
  <c r="F216" i="3"/>
  <c r="AS216" i="3" s="1"/>
  <c r="I216" i="3"/>
  <c r="AV216" i="3" s="1"/>
  <c r="J216" i="3"/>
  <c r="AW216" i="3" s="1"/>
  <c r="B217" i="3"/>
  <c r="AN217" i="3" s="1"/>
  <c r="C217" i="3"/>
  <c r="AO217" i="3" s="1"/>
  <c r="D217" i="3"/>
  <c r="AP217" i="3" s="1"/>
  <c r="E217" i="3"/>
  <c r="AR217" i="3" s="1"/>
  <c r="F217" i="3"/>
  <c r="AS217" i="3" s="1"/>
  <c r="I217" i="3"/>
  <c r="AV217" i="3" s="1"/>
  <c r="J217" i="3"/>
  <c r="AW217" i="3" s="1"/>
  <c r="B218" i="3"/>
  <c r="AN218" i="3" s="1"/>
  <c r="C218" i="3"/>
  <c r="AO218" i="3" s="1"/>
  <c r="D218" i="3"/>
  <c r="AP218" i="3" s="1"/>
  <c r="E218" i="3"/>
  <c r="AR218" i="3" s="1"/>
  <c r="F218" i="3"/>
  <c r="AS218" i="3" s="1"/>
  <c r="I218" i="3"/>
  <c r="AV218" i="3" s="1"/>
  <c r="J218" i="3"/>
  <c r="AW218" i="3" s="1"/>
  <c r="B219" i="3"/>
  <c r="AN219" i="3" s="1"/>
  <c r="C219" i="3"/>
  <c r="AO219" i="3" s="1"/>
  <c r="D219" i="3"/>
  <c r="AP219" i="3" s="1"/>
  <c r="E219" i="3"/>
  <c r="AR219" i="3" s="1"/>
  <c r="F219" i="3"/>
  <c r="AS219" i="3" s="1"/>
  <c r="I219" i="3"/>
  <c r="AV219" i="3" s="1"/>
  <c r="J219" i="3"/>
  <c r="AW219" i="3" s="1"/>
  <c r="B220" i="3"/>
  <c r="AN220" i="3" s="1"/>
  <c r="C220" i="3"/>
  <c r="AO220" i="3" s="1"/>
  <c r="D220" i="3"/>
  <c r="AP220" i="3" s="1"/>
  <c r="E220" i="3"/>
  <c r="AR220" i="3" s="1"/>
  <c r="F220" i="3"/>
  <c r="AS220" i="3" s="1"/>
  <c r="I220" i="3"/>
  <c r="AV220" i="3" s="1"/>
  <c r="J220" i="3"/>
  <c r="AW220" i="3" s="1"/>
  <c r="B221" i="3"/>
  <c r="AN221" i="3" s="1"/>
  <c r="C221" i="3"/>
  <c r="AO221" i="3" s="1"/>
  <c r="D221" i="3"/>
  <c r="AP221" i="3" s="1"/>
  <c r="E221" i="3"/>
  <c r="AR221" i="3" s="1"/>
  <c r="F221" i="3"/>
  <c r="AS221" i="3" s="1"/>
  <c r="I221" i="3"/>
  <c r="AV221" i="3" s="1"/>
  <c r="J221" i="3"/>
  <c r="AW221" i="3" s="1"/>
  <c r="B222" i="3"/>
  <c r="AN222" i="3" s="1"/>
  <c r="C222" i="3"/>
  <c r="AO222" i="3" s="1"/>
  <c r="D222" i="3"/>
  <c r="AP222" i="3" s="1"/>
  <c r="E222" i="3"/>
  <c r="AR222" i="3" s="1"/>
  <c r="F222" i="3"/>
  <c r="AS222" i="3" s="1"/>
  <c r="I222" i="3"/>
  <c r="AV222" i="3" s="1"/>
  <c r="J222" i="3"/>
  <c r="AW222" i="3" s="1"/>
  <c r="B223" i="3"/>
  <c r="AN223" i="3" s="1"/>
  <c r="C223" i="3"/>
  <c r="AO223" i="3" s="1"/>
  <c r="D223" i="3"/>
  <c r="AP223" i="3" s="1"/>
  <c r="E223" i="3"/>
  <c r="AR223" i="3" s="1"/>
  <c r="F223" i="3"/>
  <c r="AS223" i="3" s="1"/>
  <c r="I223" i="3"/>
  <c r="AV223" i="3" s="1"/>
  <c r="J223" i="3"/>
  <c r="AW223" i="3" s="1"/>
  <c r="B224" i="3"/>
  <c r="AN224" i="3" s="1"/>
  <c r="C224" i="3"/>
  <c r="AO224" i="3" s="1"/>
  <c r="D224" i="3"/>
  <c r="AP224" i="3" s="1"/>
  <c r="E224" i="3"/>
  <c r="AR224" i="3" s="1"/>
  <c r="F224" i="3"/>
  <c r="AS224" i="3" s="1"/>
  <c r="I224" i="3"/>
  <c r="AV224" i="3" s="1"/>
  <c r="J224" i="3"/>
  <c r="AW224" i="3" s="1"/>
  <c r="B225" i="3"/>
  <c r="AN225" i="3" s="1"/>
  <c r="C225" i="3"/>
  <c r="AO225" i="3" s="1"/>
  <c r="D225" i="3"/>
  <c r="AP225" i="3" s="1"/>
  <c r="E225" i="3"/>
  <c r="AR225" i="3" s="1"/>
  <c r="F225" i="3"/>
  <c r="AS225" i="3" s="1"/>
  <c r="I225" i="3"/>
  <c r="AV225" i="3" s="1"/>
  <c r="J225" i="3"/>
  <c r="AW225" i="3" s="1"/>
  <c r="B226" i="3"/>
  <c r="AN226" i="3" s="1"/>
  <c r="C226" i="3"/>
  <c r="AO226" i="3" s="1"/>
  <c r="D226" i="3"/>
  <c r="AP226" i="3" s="1"/>
  <c r="E226" i="3"/>
  <c r="AR226" i="3" s="1"/>
  <c r="F226" i="3"/>
  <c r="AS226" i="3" s="1"/>
  <c r="I226" i="3"/>
  <c r="AV226" i="3" s="1"/>
  <c r="J226" i="3"/>
  <c r="AW226" i="3" s="1"/>
  <c r="B227" i="3"/>
  <c r="AN227" i="3" s="1"/>
  <c r="C227" i="3"/>
  <c r="AO227" i="3" s="1"/>
  <c r="D227" i="3"/>
  <c r="AP227" i="3" s="1"/>
  <c r="E227" i="3"/>
  <c r="AR227" i="3" s="1"/>
  <c r="F227" i="3"/>
  <c r="AS227" i="3" s="1"/>
  <c r="I227" i="3"/>
  <c r="AV227" i="3" s="1"/>
  <c r="J227" i="3"/>
  <c r="AW227" i="3" s="1"/>
  <c r="B228" i="3"/>
  <c r="AN228" i="3" s="1"/>
  <c r="C228" i="3"/>
  <c r="AO228" i="3" s="1"/>
  <c r="D228" i="3"/>
  <c r="AP228" i="3" s="1"/>
  <c r="E228" i="3"/>
  <c r="AR228" i="3" s="1"/>
  <c r="F228" i="3"/>
  <c r="AS228" i="3" s="1"/>
  <c r="I228" i="3"/>
  <c r="AV228" i="3" s="1"/>
  <c r="J228" i="3"/>
  <c r="AW228" i="3" s="1"/>
  <c r="B229" i="3"/>
  <c r="AN229" i="3" s="1"/>
  <c r="C229" i="3"/>
  <c r="AO229" i="3" s="1"/>
  <c r="D229" i="3"/>
  <c r="AP229" i="3" s="1"/>
  <c r="E229" i="3"/>
  <c r="AR229" i="3" s="1"/>
  <c r="F229" i="3"/>
  <c r="AS229" i="3" s="1"/>
  <c r="I229" i="3"/>
  <c r="AV229" i="3" s="1"/>
  <c r="J229" i="3"/>
  <c r="AW229" i="3" s="1"/>
  <c r="B230" i="3"/>
  <c r="AN230" i="3" s="1"/>
  <c r="C230" i="3"/>
  <c r="AO230" i="3" s="1"/>
  <c r="D230" i="3"/>
  <c r="AP230" i="3" s="1"/>
  <c r="E230" i="3"/>
  <c r="AR230" i="3" s="1"/>
  <c r="F230" i="3"/>
  <c r="AS230" i="3" s="1"/>
  <c r="I230" i="3"/>
  <c r="AV230" i="3" s="1"/>
  <c r="J230" i="3"/>
  <c r="AW230" i="3" s="1"/>
  <c r="B231" i="3"/>
  <c r="AN231" i="3" s="1"/>
  <c r="C231" i="3"/>
  <c r="AO231" i="3" s="1"/>
  <c r="D231" i="3"/>
  <c r="AP231" i="3" s="1"/>
  <c r="E231" i="3"/>
  <c r="AR231" i="3" s="1"/>
  <c r="F231" i="3"/>
  <c r="AS231" i="3" s="1"/>
  <c r="I231" i="3"/>
  <c r="AV231" i="3" s="1"/>
  <c r="J231" i="3"/>
  <c r="AW231" i="3" s="1"/>
  <c r="B232" i="3"/>
  <c r="AN232" i="3" s="1"/>
  <c r="C232" i="3"/>
  <c r="AO232" i="3" s="1"/>
  <c r="D232" i="3"/>
  <c r="AP232" i="3" s="1"/>
  <c r="E232" i="3"/>
  <c r="AR232" i="3" s="1"/>
  <c r="F232" i="3"/>
  <c r="AS232" i="3" s="1"/>
  <c r="I232" i="3"/>
  <c r="AV232" i="3" s="1"/>
  <c r="J232" i="3"/>
  <c r="AW232" i="3" s="1"/>
  <c r="B233" i="3"/>
  <c r="AN233" i="3" s="1"/>
  <c r="C233" i="3"/>
  <c r="AO233" i="3" s="1"/>
  <c r="D233" i="3"/>
  <c r="AP233" i="3" s="1"/>
  <c r="E233" i="3"/>
  <c r="AR233" i="3" s="1"/>
  <c r="F233" i="3"/>
  <c r="AS233" i="3" s="1"/>
  <c r="I233" i="3"/>
  <c r="AV233" i="3" s="1"/>
  <c r="J233" i="3"/>
  <c r="AW233" i="3" s="1"/>
  <c r="B234" i="3"/>
  <c r="AN234" i="3" s="1"/>
  <c r="C234" i="3"/>
  <c r="AO234" i="3" s="1"/>
  <c r="D234" i="3"/>
  <c r="AP234" i="3" s="1"/>
  <c r="E234" i="3"/>
  <c r="AR234" i="3" s="1"/>
  <c r="F234" i="3"/>
  <c r="AS234" i="3" s="1"/>
  <c r="I234" i="3"/>
  <c r="AV234" i="3" s="1"/>
  <c r="J234" i="3"/>
  <c r="AW234" i="3" s="1"/>
  <c r="B235" i="3"/>
  <c r="AN235" i="3" s="1"/>
  <c r="C235" i="3"/>
  <c r="AO235" i="3" s="1"/>
  <c r="D235" i="3"/>
  <c r="AP235" i="3" s="1"/>
  <c r="E235" i="3"/>
  <c r="AR235" i="3" s="1"/>
  <c r="F235" i="3"/>
  <c r="AS235" i="3" s="1"/>
  <c r="I235" i="3"/>
  <c r="AV235" i="3" s="1"/>
  <c r="J235" i="3"/>
  <c r="AW235" i="3" s="1"/>
  <c r="B236" i="3"/>
  <c r="AN236" i="3" s="1"/>
  <c r="C236" i="3"/>
  <c r="AO236" i="3" s="1"/>
  <c r="D236" i="3"/>
  <c r="AP236" i="3" s="1"/>
  <c r="E236" i="3"/>
  <c r="AR236" i="3" s="1"/>
  <c r="F236" i="3"/>
  <c r="AS236" i="3" s="1"/>
  <c r="I236" i="3"/>
  <c r="AV236" i="3" s="1"/>
  <c r="J236" i="3"/>
  <c r="AW236" i="3" s="1"/>
  <c r="B237" i="3"/>
  <c r="AN237" i="3" s="1"/>
  <c r="C237" i="3"/>
  <c r="AO237" i="3" s="1"/>
  <c r="D237" i="3"/>
  <c r="AP237" i="3" s="1"/>
  <c r="E237" i="3"/>
  <c r="AR237" i="3" s="1"/>
  <c r="F237" i="3"/>
  <c r="AS237" i="3" s="1"/>
  <c r="I237" i="3"/>
  <c r="AV237" i="3" s="1"/>
  <c r="J237" i="3"/>
  <c r="AW237" i="3" s="1"/>
  <c r="B238" i="3"/>
  <c r="AN238" i="3" s="1"/>
  <c r="C238" i="3"/>
  <c r="AO238" i="3" s="1"/>
  <c r="D238" i="3"/>
  <c r="AP238" i="3" s="1"/>
  <c r="E238" i="3"/>
  <c r="AR238" i="3" s="1"/>
  <c r="F238" i="3"/>
  <c r="AS238" i="3" s="1"/>
  <c r="I238" i="3"/>
  <c r="AV238" i="3" s="1"/>
  <c r="J238" i="3"/>
  <c r="AW238" i="3" s="1"/>
  <c r="B239" i="3"/>
  <c r="AN239" i="3" s="1"/>
  <c r="C239" i="3"/>
  <c r="AO239" i="3" s="1"/>
  <c r="D239" i="3"/>
  <c r="AP239" i="3" s="1"/>
  <c r="E239" i="3"/>
  <c r="AR239" i="3" s="1"/>
  <c r="F239" i="3"/>
  <c r="AS239" i="3" s="1"/>
  <c r="I239" i="3"/>
  <c r="AV239" i="3" s="1"/>
  <c r="J239" i="3"/>
  <c r="AW239" i="3" s="1"/>
  <c r="B240" i="3"/>
  <c r="AN240" i="3" s="1"/>
  <c r="C240" i="3"/>
  <c r="AO240" i="3" s="1"/>
  <c r="D240" i="3"/>
  <c r="AP240" i="3" s="1"/>
  <c r="E240" i="3"/>
  <c r="AR240" i="3" s="1"/>
  <c r="F240" i="3"/>
  <c r="AS240" i="3" s="1"/>
  <c r="I240" i="3"/>
  <c r="AV240" i="3" s="1"/>
  <c r="J240" i="3"/>
  <c r="AW240" i="3" s="1"/>
  <c r="B241" i="3"/>
  <c r="AN241" i="3" s="1"/>
  <c r="C241" i="3"/>
  <c r="AO241" i="3" s="1"/>
  <c r="D241" i="3"/>
  <c r="AP241" i="3" s="1"/>
  <c r="E241" i="3"/>
  <c r="AR241" i="3" s="1"/>
  <c r="F241" i="3"/>
  <c r="AS241" i="3" s="1"/>
  <c r="I241" i="3"/>
  <c r="AV241" i="3" s="1"/>
  <c r="J241" i="3"/>
  <c r="AW241" i="3" s="1"/>
  <c r="B242" i="3"/>
  <c r="AN242" i="3" s="1"/>
  <c r="C242" i="3"/>
  <c r="AO242" i="3" s="1"/>
  <c r="D242" i="3"/>
  <c r="AP242" i="3" s="1"/>
  <c r="E242" i="3"/>
  <c r="AR242" i="3" s="1"/>
  <c r="F242" i="3"/>
  <c r="AS242" i="3" s="1"/>
  <c r="I242" i="3"/>
  <c r="AV242" i="3" s="1"/>
  <c r="J242" i="3"/>
  <c r="AW242" i="3" s="1"/>
  <c r="B243" i="3"/>
  <c r="AN243" i="3" s="1"/>
  <c r="C243" i="3"/>
  <c r="AO243" i="3" s="1"/>
  <c r="D243" i="3"/>
  <c r="AP243" i="3" s="1"/>
  <c r="E243" i="3"/>
  <c r="AR243" i="3" s="1"/>
  <c r="F243" i="3"/>
  <c r="AS243" i="3" s="1"/>
  <c r="I243" i="3"/>
  <c r="AV243" i="3" s="1"/>
  <c r="J243" i="3"/>
  <c r="AW243" i="3" s="1"/>
  <c r="B244" i="3"/>
  <c r="AN244" i="3" s="1"/>
  <c r="C244" i="3"/>
  <c r="AO244" i="3" s="1"/>
  <c r="D244" i="3"/>
  <c r="AP244" i="3" s="1"/>
  <c r="E244" i="3"/>
  <c r="AR244" i="3" s="1"/>
  <c r="F244" i="3"/>
  <c r="AS244" i="3" s="1"/>
  <c r="I244" i="3"/>
  <c r="AV244" i="3" s="1"/>
  <c r="J244" i="3"/>
  <c r="AW244" i="3" s="1"/>
  <c r="B245" i="3"/>
  <c r="AN245" i="3" s="1"/>
  <c r="C245" i="3"/>
  <c r="AO245" i="3" s="1"/>
  <c r="D245" i="3"/>
  <c r="AP245" i="3" s="1"/>
  <c r="E245" i="3"/>
  <c r="AR245" i="3" s="1"/>
  <c r="F245" i="3"/>
  <c r="AS245" i="3" s="1"/>
  <c r="I245" i="3"/>
  <c r="AV245" i="3" s="1"/>
  <c r="J245" i="3"/>
  <c r="AW245" i="3" s="1"/>
  <c r="B246" i="3"/>
  <c r="AN246" i="3" s="1"/>
  <c r="C246" i="3"/>
  <c r="AO246" i="3" s="1"/>
  <c r="D246" i="3"/>
  <c r="AP246" i="3" s="1"/>
  <c r="E246" i="3"/>
  <c r="AR246" i="3" s="1"/>
  <c r="F246" i="3"/>
  <c r="AS246" i="3" s="1"/>
  <c r="I246" i="3"/>
  <c r="AV246" i="3" s="1"/>
  <c r="J246" i="3"/>
  <c r="AW246" i="3" s="1"/>
  <c r="B247" i="3"/>
  <c r="AN247" i="3" s="1"/>
  <c r="C247" i="3"/>
  <c r="AO247" i="3" s="1"/>
  <c r="D247" i="3"/>
  <c r="AP247" i="3" s="1"/>
  <c r="E247" i="3"/>
  <c r="AR247" i="3" s="1"/>
  <c r="F247" i="3"/>
  <c r="AS247" i="3" s="1"/>
  <c r="I247" i="3"/>
  <c r="AV247" i="3" s="1"/>
  <c r="J247" i="3"/>
  <c r="AW247" i="3" s="1"/>
  <c r="B248" i="3"/>
  <c r="AN248" i="3" s="1"/>
  <c r="C248" i="3"/>
  <c r="AO248" i="3" s="1"/>
  <c r="D248" i="3"/>
  <c r="AP248" i="3" s="1"/>
  <c r="E248" i="3"/>
  <c r="AR248" i="3" s="1"/>
  <c r="F248" i="3"/>
  <c r="AS248" i="3" s="1"/>
  <c r="I248" i="3"/>
  <c r="AV248" i="3" s="1"/>
  <c r="J248" i="3"/>
  <c r="AW248" i="3" s="1"/>
  <c r="B249" i="3"/>
  <c r="AN249" i="3" s="1"/>
  <c r="C249" i="3"/>
  <c r="AO249" i="3" s="1"/>
  <c r="D249" i="3"/>
  <c r="AP249" i="3" s="1"/>
  <c r="E249" i="3"/>
  <c r="AR249" i="3" s="1"/>
  <c r="F249" i="3"/>
  <c r="AS249" i="3" s="1"/>
  <c r="I249" i="3"/>
  <c r="AV249" i="3" s="1"/>
  <c r="J249" i="3"/>
  <c r="AW249" i="3" s="1"/>
  <c r="B250" i="3"/>
  <c r="AN250" i="3" s="1"/>
  <c r="C250" i="3"/>
  <c r="AO250" i="3" s="1"/>
  <c r="D250" i="3"/>
  <c r="AP250" i="3" s="1"/>
  <c r="E250" i="3"/>
  <c r="AR250" i="3" s="1"/>
  <c r="F250" i="3"/>
  <c r="AS250" i="3" s="1"/>
  <c r="I250" i="3"/>
  <c r="AV250" i="3" s="1"/>
  <c r="J250" i="3"/>
  <c r="AW250" i="3" s="1"/>
  <c r="B251" i="3"/>
  <c r="AN251" i="3" s="1"/>
  <c r="C251" i="3"/>
  <c r="AO251" i="3" s="1"/>
  <c r="D251" i="3"/>
  <c r="AP251" i="3" s="1"/>
  <c r="E251" i="3"/>
  <c r="AR251" i="3" s="1"/>
  <c r="F251" i="3"/>
  <c r="AS251" i="3" s="1"/>
  <c r="I251" i="3"/>
  <c r="AV251" i="3" s="1"/>
  <c r="J251" i="3"/>
  <c r="AW251" i="3" s="1"/>
  <c r="B252" i="3"/>
  <c r="AN252" i="3" s="1"/>
  <c r="C252" i="3"/>
  <c r="AO252" i="3" s="1"/>
  <c r="D252" i="3"/>
  <c r="AP252" i="3" s="1"/>
  <c r="E252" i="3"/>
  <c r="AR252" i="3" s="1"/>
  <c r="F252" i="3"/>
  <c r="AS252" i="3" s="1"/>
  <c r="I252" i="3"/>
  <c r="AV252" i="3" s="1"/>
  <c r="J252" i="3"/>
  <c r="AW252" i="3" s="1"/>
  <c r="B253" i="3"/>
  <c r="AN253" i="3" s="1"/>
  <c r="C253" i="3"/>
  <c r="AO253" i="3" s="1"/>
  <c r="D253" i="3"/>
  <c r="AP253" i="3" s="1"/>
  <c r="E253" i="3"/>
  <c r="AR253" i="3" s="1"/>
  <c r="F253" i="3"/>
  <c r="AS253" i="3" s="1"/>
  <c r="I253" i="3"/>
  <c r="AV253" i="3" s="1"/>
  <c r="J253" i="3"/>
  <c r="AW253" i="3" s="1"/>
  <c r="B254" i="3"/>
  <c r="AN254" i="3" s="1"/>
  <c r="C254" i="3"/>
  <c r="AO254" i="3" s="1"/>
  <c r="D254" i="3"/>
  <c r="AP254" i="3" s="1"/>
  <c r="E254" i="3"/>
  <c r="AR254" i="3" s="1"/>
  <c r="F254" i="3"/>
  <c r="AS254" i="3" s="1"/>
  <c r="I254" i="3"/>
  <c r="AV254" i="3" s="1"/>
  <c r="J254" i="3"/>
  <c r="AW254" i="3" s="1"/>
  <c r="B255" i="3"/>
  <c r="AN255" i="3" s="1"/>
  <c r="C255" i="3"/>
  <c r="AO255" i="3" s="1"/>
  <c r="D255" i="3"/>
  <c r="AP255" i="3" s="1"/>
  <c r="E255" i="3"/>
  <c r="AR255" i="3" s="1"/>
  <c r="F255" i="3"/>
  <c r="AS255" i="3" s="1"/>
  <c r="I255" i="3"/>
  <c r="AV255" i="3" s="1"/>
  <c r="J255" i="3"/>
  <c r="AW255" i="3" s="1"/>
  <c r="B256" i="3"/>
  <c r="AN256" i="3" s="1"/>
  <c r="C256" i="3"/>
  <c r="AO256" i="3" s="1"/>
  <c r="D256" i="3"/>
  <c r="AP256" i="3" s="1"/>
  <c r="E256" i="3"/>
  <c r="AR256" i="3" s="1"/>
  <c r="F256" i="3"/>
  <c r="AS256" i="3" s="1"/>
  <c r="I256" i="3"/>
  <c r="AV256" i="3" s="1"/>
  <c r="J256" i="3"/>
  <c r="AW256" i="3" s="1"/>
  <c r="B257" i="3"/>
  <c r="AN257" i="3" s="1"/>
  <c r="C257" i="3"/>
  <c r="AO257" i="3" s="1"/>
  <c r="D257" i="3"/>
  <c r="AP257" i="3" s="1"/>
  <c r="E257" i="3"/>
  <c r="AR257" i="3" s="1"/>
  <c r="F257" i="3"/>
  <c r="AS257" i="3" s="1"/>
  <c r="I257" i="3"/>
  <c r="AV257" i="3" s="1"/>
  <c r="J257" i="3"/>
  <c r="AW257" i="3" s="1"/>
  <c r="B258" i="3"/>
  <c r="AN258" i="3" s="1"/>
  <c r="C258" i="3"/>
  <c r="AO258" i="3" s="1"/>
  <c r="D258" i="3"/>
  <c r="AP258" i="3" s="1"/>
  <c r="E258" i="3"/>
  <c r="AR258" i="3" s="1"/>
  <c r="F258" i="3"/>
  <c r="AS258" i="3" s="1"/>
  <c r="I258" i="3"/>
  <c r="AV258" i="3" s="1"/>
  <c r="J258" i="3"/>
  <c r="AW258" i="3" s="1"/>
  <c r="B259" i="3"/>
  <c r="AN259" i="3" s="1"/>
  <c r="C259" i="3"/>
  <c r="AO259" i="3" s="1"/>
  <c r="D259" i="3"/>
  <c r="AP259" i="3" s="1"/>
  <c r="E259" i="3"/>
  <c r="AR259" i="3" s="1"/>
  <c r="F259" i="3"/>
  <c r="AS259" i="3" s="1"/>
  <c r="I259" i="3"/>
  <c r="AV259" i="3" s="1"/>
  <c r="J259" i="3"/>
  <c r="AW259" i="3" s="1"/>
  <c r="B260" i="3"/>
  <c r="AN260" i="3" s="1"/>
  <c r="C260" i="3"/>
  <c r="AO260" i="3" s="1"/>
  <c r="D260" i="3"/>
  <c r="AP260" i="3" s="1"/>
  <c r="E260" i="3"/>
  <c r="AR260" i="3" s="1"/>
  <c r="F260" i="3"/>
  <c r="AS260" i="3" s="1"/>
  <c r="I260" i="3"/>
  <c r="AV260" i="3" s="1"/>
  <c r="J260" i="3"/>
  <c r="AW260" i="3" s="1"/>
  <c r="B261" i="3"/>
  <c r="AN261" i="3" s="1"/>
  <c r="C261" i="3"/>
  <c r="AO261" i="3" s="1"/>
  <c r="D261" i="3"/>
  <c r="AP261" i="3" s="1"/>
  <c r="E261" i="3"/>
  <c r="AR261" i="3" s="1"/>
  <c r="F261" i="3"/>
  <c r="AS261" i="3" s="1"/>
  <c r="I261" i="3"/>
  <c r="AV261" i="3" s="1"/>
  <c r="J261" i="3"/>
  <c r="AW261" i="3" s="1"/>
  <c r="B262" i="3"/>
  <c r="AN262" i="3" s="1"/>
  <c r="C262" i="3"/>
  <c r="AO262" i="3" s="1"/>
  <c r="D262" i="3"/>
  <c r="AP262" i="3" s="1"/>
  <c r="E262" i="3"/>
  <c r="AR262" i="3" s="1"/>
  <c r="F262" i="3"/>
  <c r="AS262" i="3" s="1"/>
  <c r="I262" i="3"/>
  <c r="AV262" i="3" s="1"/>
  <c r="J262" i="3"/>
  <c r="AW262" i="3" s="1"/>
  <c r="B263" i="3"/>
  <c r="AN263" i="3" s="1"/>
  <c r="C263" i="3"/>
  <c r="AO263" i="3" s="1"/>
  <c r="D263" i="3"/>
  <c r="AP263" i="3" s="1"/>
  <c r="E263" i="3"/>
  <c r="AR263" i="3" s="1"/>
  <c r="F263" i="3"/>
  <c r="AS263" i="3" s="1"/>
  <c r="I263" i="3"/>
  <c r="AV263" i="3" s="1"/>
  <c r="J263" i="3"/>
  <c r="AW263" i="3" s="1"/>
  <c r="B264" i="3"/>
  <c r="AN264" i="3" s="1"/>
  <c r="C264" i="3"/>
  <c r="AO264" i="3" s="1"/>
  <c r="D264" i="3"/>
  <c r="AP264" i="3" s="1"/>
  <c r="E264" i="3"/>
  <c r="AR264" i="3" s="1"/>
  <c r="F264" i="3"/>
  <c r="AS264" i="3" s="1"/>
  <c r="I264" i="3"/>
  <c r="AV264" i="3" s="1"/>
  <c r="J264" i="3"/>
  <c r="AW264" i="3" s="1"/>
  <c r="B265" i="3"/>
  <c r="AN265" i="3" s="1"/>
  <c r="C265" i="3"/>
  <c r="AO265" i="3" s="1"/>
  <c r="D265" i="3"/>
  <c r="AP265" i="3" s="1"/>
  <c r="E265" i="3"/>
  <c r="AR265" i="3" s="1"/>
  <c r="F265" i="3"/>
  <c r="AS265" i="3" s="1"/>
  <c r="I265" i="3"/>
  <c r="AV265" i="3" s="1"/>
  <c r="J265" i="3"/>
  <c r="AW265" i="3" s="1"/>
  <c r="B266" i="3"/>
  <c r="AN266" i="3" s="1"/>
  <c r="C266" i="3"/>
  <c r="AO266" i="3" s="1"/>
  <c r="D266" i="3"/>
  <c r="AP266" i="3" s="1"/>
  <c r="E266" i="3"/>
  <c r="AR266" i="3" s="1"/>
  <c r="F266" i="3"/>
  <c r="AS266" i="3" s="1"/>
  <c r="I266" i="3"/>
  <c r="AV266" i="3" s="1"/>
  <c r="J266" i="3"/>
  <c r="AW266" i="3" s="1"/>
  <c r="B267" i="3"/>
  <c r="AN267" i="3" s="1"/>
  <c r="C267" i="3"/>
  <c r="AO267" i="3" s="1"/>
  <c r="D267" i="3"/>
  <c r="AP267" i="3" s="1"/>
  <c r="E267" i="3"/>
  <c r="AR267" i="3" s="1"/>
  <c r="F267" i="3"/>
  <c r="AS267" i="3" s="1"/>
  <c r="I267" i="3"/>
  <c r="AV267" i="3" s="1"/>
  <c r="J267" i="3"/>
  <c r="AW267" i="3" s="1"/>
  <c r="B268" i="3"/>
  <c r="AN268" i="3" s="1"/>
  <c r="C268" i="3"/>
  <c r="AO268" i="3" s="1"/>
  <c r="D268" i="3"/>
  <c r="AP268" i="3" s="1"/>
  <c r="E268" i="3"/>
  <c r="AR268" i="3" s="1"/>
  <c r="F268" i="3"/>
  <c r="AS268" i="3" s="1"/>
  <c r="I268" i="3"/>
  <c r="AV268" i="3" s="1"/>
  <c r="J268" i="3"/>
  <c r="AW268" i="3" s="1"/>
  <c r="B269" i="3"/>
  <c r="AN269" i="3" s="1"/>
  <c r="C269" i="3"/>
  <c r="AO269" i="3" s="1"/>
  <c r="D269" i="3"/>
  <c r="AP269" i="3" s="1"/>
  <c r="E269" i="3"/>
  <c r="AR269" i="3" s="1"/>
  <c r="F269" i="3"/>
  <c r="AS269" i="3" s="1"/>
  <c r="I269" i="3"/>
  <c r="AV269" i="3" s="1"/>
  <c r="J269" i="3"/>
  <c r="AW269" i="3" s="1"/>
  <c r="B270" i="3"/>
  <c r="AN270" i="3" s="1"/>
  <c r="C270" i="3"/>
  <c r="AO270" i="3" s="1"/>
  <c r="D270" i="3"/>
  <c r="AP270" i="3" s="1"/>
  <c r="E270" i="3"/>
  <c r="AR270" i="3" s="1"/>
  <c r="F270" i="3"/>
  <c r="AS270" i="3" s="1"/>
  <c r="I270" i="3"/>
  <c r="AV270" i="3" s="1"/>
  <c r="J270" i="3"/>
  <c r="AW270" i="3" s="1"/>
  <c r="B271" i="3"/>
  <c r="AN271" i="3" s="1"/>
  <c r="C271" i="3"/>
  <c r="AO271" i="3" s="1"/>
  <c r="D271" i="3"/>
  <c r="AP271" i="3" s="1"/>
  <c r="E271" i="3"/>
  <c r="AR271" i="3" s="1"/>
  <c r="F271" i="3"/>
  <c r="AS271" i="3" s="1"/>
  <c r="I271" i="3"/>
  <c r="AV271" i="3" s="1"/>
  <c r="J271" i="3"/>
  <c r="AW271" i="3" s="1"/>
  <c r="B272" i="3"/>
  <c r="AN272" i="3" s="1"/>
  <c r="C272" i="3"/>
  <c r="AO272" i="3" s="1"/>
  <c r="D272" i="3"/>
  <c r="AP272" i="3" s="1"/>
  <c r="E272" i="3"/>
  <c r="AR272" i="3" s="1"/>
  <c r="F272" i="3"/>
  <c r="AS272" i="3" s="1"/>
  <c r="I272" i="3"/>
  <c r="AV272" i="3" s="1"/>
  <c r="J272" i="3"/>
  <c r="AW272" i="3" s="1"/>
  <c r="B273" i="3"/>
  <c r="AN273" i="3" s="1"/>
  <c r="C273" i="3"/>
  <c r="AO273" i="3" s="1"/>
  <c r="D273" i="3"/>
  <c r="AP273" i="3" s="1"/>
  <c r="E273" i="3"/>
  <c r="AR273" i="3" s="1"/>
  <c r="F273" i="3"/>
  <c r="AS273" i="3" s="1"/>
  <c r="I273" i="3"/>
  <c r="AV273" i="3" s="1"/>
  <c r="J273" i="3"/>
  <c r="AW273" i="3" s="1"/>
  <c r="B274" i="3"/>
  <c r="AN274" i="3" s="1"/>
  <c r="C274" i="3"/>
  <c r="AO274" i="3" s="1"/>
  <c r="D274" i="3"/>
  <c r="AP274" i="3" s="1"/>
  <c r="E274" i="3"/>
  <c r="AR274" i="3" s="1"/>
  <c r="F274" i="3"/>
  <c r="AS274" i="3" s="1"/>
  <c r="I274" i="3"/>
  <c r="AV274" i="3" s="1"/>
  <c r="J274" i="3"/>
  <c r="AW274" i="3" s="1"/>
  <c r="B275" i="3"/>
  <c r="AN275" i="3" s="1"/>
  <c r="C275" i="3"/>
  <c r="AO275" i="3" s="1"/>
  <c r="D275" i="3"/>
  <c r="AP275" i="3" s="1"/>
  <c r="E275" i="3"/>
  <c r="AR275" i="3" s="1"/>
  <c r="F275" i="3"/>
  <c r="AS275" i="3" s="1"/>
  <c r="I275" i="3"/>
  <c r="AV275" i="3" s="1"/>
  <c r="J275" i="3"/>
  <c r="AW275" i="3" s="1"/>
  <c r="B276" i="3"/>
  <c r="AN276" i="3" s="1"/>
  <c r="C276" i="3"/>
  <c r="AO276" i="3" s="1"/>
  <c r="D276" i="3"/>
  <c r="AP276" i="3" s="1"/>
  <c r="E276" i="3"/>
  <c r="AR276" i="3" s="1"/>
  <c r="F276" i="3"/>
  <c r="AS276" i="3" s="1"/>
  <c r="I276" i="3"/>
  <c r="AV276" i="3" s="1"/>
  <c r="J276" i="3"/>
  <c r="AW276" i="3" s="1"/>
  <c r="B277" i="3"/>
  <c r="AN277" i="3" s="1"/>
  <c r="C277" i="3"/>
  <c r="AO277" i="3" s="1"/>
  <c r="D277" i="3"/>
  <c r="AP277" i="3" s="1"/>
  <c r="E277" i="3"/>
  <c r="AR277" i="3" s="1"/>
  <c r="F277" i="3"/>
  <c r="AS277" i="3" s="1"/>
  <c r="I277" i="3"/>
  <c r="AV277" i="3" s="1"/>
  <c r="J277" i="3"/>
  <c r="AW277" i="3" s="1"/>
  <c r="B278" i="3"/>
  <c r="AN278" i="3" s="1"/>
  <c r="C278" i="3"/>
  <c r="AO278" i="3" s="1"/>
  <c r="D278" i="3"/>
  <c r="AP278" i="3" s="1"/>
  <c r="E278" i="3"/>
  <c r="AR278" i="3" s="1"/>
  <c r="F278" i="3"/>
  <c r="AS278" i="3" s="1"/>
  <c r="I278" i="3"/>
  <c r="AV278" i="3" s="1"/>
  <c r="J278" i="3"/>
  <c r="AW278" i="3" s="1"/>
  <c r="B279" i="3"/>
  <c r="AN279" i="3" s="1"/>
  <c r="C279" i="3"/>
  <c r="AO279" i="3" s="1"/>
  <c r="D279" i="3"/>
  <c r="AP279" i="3" s="1"/>
  <c r="E279" i="3"/>
  <c r="AR279" i="3" s="1"/>
  <c r="F279" i="3"/>
  <c r="AS279" i="3" s="1"/>
  <c r="I279" i="3"/>
  <c r="AV279" i="3" s="1"/>
  <c r="J279" i="3"/>
  <c r="AW279" i="3" s="1"/>
  <c r="B280" i="3"/>
  <c r="AN280" i="3" s="1"/>
  <c r="C280" i="3"/>
  <c r="AO280" i="3" s="1"/>
  <c r="D280" i="3"/>
  <c r="AP280" i="3" s="1"/>
  <c r="E280" i="3"/>
  <c r="AR280" i="3" s="1"/>
  <c r="F280" i="3"/>
  <c r="AS280" i="3" s="1"/>
  <c r="I280" i="3"/>
  <c r="AV280" i="3" s="1"/>
  <c r="J280" i="3"/>
  <c r="AW280" i="3" s="1"/>
  <c r="B281" i="3"/>
  <c r="AN281" i="3" s="1"/>
  <c r="C281" i="3"/>
  <c r="AO281" i="3" s="1"/>
  <c r="D281" i="3"/>
  <c r="AP281" i="3" s="1"/>
  <c r="E281" i="3"/>
  <c r="AR281" i="3" s="1"/>
  <c r="F281" i="3"/>
  <c r="AS281" i="3" s="1"/>
  <c r="I281" i="3"/>
  <c r="AV281" i="3" s="1"/>
  <c r="J281" i="3"/>
  <c r="AW281" i="3" s="1"/>
  <c r="B282" i="3"/>
  <c r="AN282" i="3" s="1"/>
  <c r="C282" i="3"/>
  <c r="AO282" i="3" s="1"/>
  <c r="D282" i="3"/>
  <c r="AP282" i="3" s="1"/>
  <c r="E282" i="3"/>
  <c r="AR282" i="3" s="1"/>
  <c r="F282" i="3"/>
  <c r="AS282" i="3" s="1"/>
  <c r="I282" i="3"/>
  <c r="AV282" i="3" s="1"/>
  <c r="J282" i="3"/>
  <c r="AW282" i="3" s="1"/>
  <c r="B283" i="3"/>
  <c r="AN283" i="3" s="1"/>
  <c r="C283" i="3"/>
  <c r="AO283" i="3" s="1"/>
  <c r="D283" i="3"/>
  <c r="AP283" i="3" s="1"/>
  <c r="E283" i="3"/>
  <c r="AR283" i="3" s="1"/>
  <c r="F283" i="3"/>
  <c r="AS283" i="3" s="1"/>
  <c r="I283" i="3"/>
  <c r="AV283" i="3" s="1"/>
  <c r="J283" i="3"/>
  <c r="AW283" i="3" s="1"/>
  <c r="B284" i="3"/>
  <c r="AN284" i="3" s="1"/>
  <c r="C284" i="3"/>
  <c r="AO284" i="3" s="1"/>
  <c r="D284" i="3"/>
  <c r="AP284" i="3" s="1"/>
  <c r="E284" i="3"/>
  <c r="AR284" i="3" s="1"/>
  <c r="F284" i="3"/>
  <c r="AS284" i="3" s="1"/>
  <c r="I284" i="3"/>
  <c r="AV284" i="3" s="1"/>
  <c r="J284" i="3"/>
  <c r="AW284" i="3" s="1"/>
  <c r="B285" i="3"/>
  <c r="AN285" i="3" s="1"/>
  <c r="C285" i="3"/>
  <c r="AO285" i="3" s="1"/>
  <c r="D285" i="3"/>
  <c r="AP285" i="3" s="1"/>
  <c r="E285" i="3"/>
  <c r="AR285" i="3" s="1"/>
  <c r="F285" i="3"/>
  <c r="AS285" i="3" s="1"/>
  <c r="I285" i="3"/>
  <c r="AV285" i="3" s="1"/>
  <c r="J285" i="3"/>
  <c r="AW285" i="3" s="1"/>
  <c r="B286" i="3"/>
  <c r="AN286" i="3" s="1"/>
  <c r="C286" i="3"/>
  <c r="AO286" i="3" s="1"/>
  <c r="D286" i="3"/>
  <c r="AP286" i="3" s="1"/>
  <c r="E286" i="3"/>
  <c r="AR286" i="3" s="1"/>
  <c r="F286" i="3"/>
  <c r="AS286" i="3" s="1"/>
  <c r="I286" i="3"/>
  <c r="AV286" i="3" s="1"/>
  <c r="J286" i="3"/>
  <c r="AW286" i="3" s="1"/>
  <c r="B287" i="3"/>
  <c r="AN287" i="3" s="1"/>
  <c r="C287" i="3"/>
  <c r="AO287" i="3" s="1"/>
  <c r="D287" i="3"/>
  <c r="AP287" i="3" s="1"/>
  <c r="E287" i="3"/>
  <c r="AR287" i="3" s="1"/>
  <c r="F287" i="3"/>
  <c r="AS287" i="3" s="1"/>
  <c r="I287" i="3"/>
  <c r="AV287" i="3" s="1"/>
  <c r="J287" i="3"/>
  <c r="AW287" i="3" s="1"/>
  <c r="B288" i="3"/>
  <c r="AN288" i="3" s="1"/>
  <c r="C288" i="3"/>
  <c r="AO288" i="3" s="1"/>
  <c r="D288" i="3"/>
  <c r="AP288" i="3" s="1"/>
  <c r="E288" i="3"/>
  <c r="AR288" i="3" s="1"/>
  <c r="F288" i="3"/>
  <c r="AS288" i="3" s="1"/>
  <c r="I288" i="3"/>
  <c r="AV288" i="3" s="1"/>
  <c r="J288" i="3"/>
  <c r="AW288" i="3" s="1"/>
  <c r="B289" i="3"/>
  <c r="AN289" i="3" s="1"/>
  <c r="C289" i="3"/>
  <c r="AO289" i="3" s="1"/>
  <c r="D289" i="3"/>
  <c r="AP289" i="3" s="1"/>
  <c r="E289" i="3"/>
  <c r="AR289" i="3" s="1"/>
  <c r="F289" i="3"/>
  <c r="AS289" i="3" s="1"/>
  <c r="I289" i="3"/>
  <c r="AV289" i="3" s="1"/>
  <c r="J289" i="3"/>
  <c r="AW289" i="3" s="1"/>
  <c r="B290" i="3"/>
  <c r="AN290" i="3" s="1"/>
  <c r="C290" i="3"/>
  <c r="AO290" i="3" s="1"/>
  <c r="D290" i="3"/>
  <c r="AP290" i="3" s="1"/>
  <c r="E290" i="3"/>
  <c r="AR290" i="3" s="1"/>
  <c r="F290" i="3"/>
  <c r="AS290" i="3" s="1"/>
  <c r="I290" i="3"/>
  <c r="AV290" i="3" s="1"/>
  <c r="J290" i="3"/>
  <c r="AW290" i="3" s="1"/>
  <c r="B291" i="3"/>
  <c r="AN291" i="3" s="1"/>
  <c r="C291" i="3"/>
  <c r="AO291" i="3" s="1"/>
  <c r="D291" i="3"/>
  <c r="AP291" i="3" s="1"/>
  <c r="E291" i="3"/>
  <c r="AR291" i="3" s="1"/>
  <c r="F291" i="3"/>
  <c r="AS291" i="3" s="1"/>
  <c r="I291" i="3"/>
  <c r="AV291" i="3" s="1"/>
  <c r="J291" i="3"/>
  <c r="AW291" i="3" s="1"/>
  <c r="B292" i="3"/>
  <c r="AN292" i="3" s="1"/>
  <c r="C292" i="3"/>
  <c r="AO292" i="3" s="1"/>
  <c r="D292" i="3"/>
  <c r="AP292" i="3" s="1"/>
  <c r="E292" i="3"/>
  <c r="AR292" i="3" s="1"/>
  <c r="F292" i="3"/>
  <c r="AS292" i="3" s="1"/>
  <c r="I292" i="3"/>
  <c r="AV292" i="3" s="1"/>
  <c r="J292" i="3"/>
  <c r="AW292" i="3" s="1"/>
  <c r="B293" i="3"/>
  <c r="AN293" i="3" s="1"/>
  <c r="C293" i="3"/>
  <c r="AO293" i="3" s="1"/>
  <c r="D293" i="3"/>
  <c r="AP293" i="3" s="1"/>
  <c r="E293" i="3"/>
  <c r="AR293" i="3" s="1"/>
  <c r="F293" i="3"/>
  <c r="AS293" i="3" s="1"/>
  <c r="I293" i="3"/>
  <c r="AV293" i="3" s="1"/>
  <c r="J293" i="3"/>
  <c r="AW293" i="3" s="1"/>
  <c r="B294" i="3"/>
  <c r="AN294" i="3" s="1"/>
  <c r="C294" i="3"/>
  <c r="AO294" i="3" s="1"/>
  <c r="D294" i="3"/>
  <c r="AP294" i="3" s="1"/>
  <c r="E294" i="3"/>
  <c r="AR294" i="3" s="1"/>
  <c r="F294" i="3"/>
  <c r="AS294" i="3" s="1"/>
  <c r="I294" i="3"/>
  <c r="AV294" i="3" s="1"/>
  <c r="J294" i="3"/>
  <c r="AW294" i="3" s="1"/>
  <c r="B295" i="3"/>
  <c r="AN295" i="3" s="1"/>
  <c r="C295" i="3"/>
  <c r="AO295" i="3" s="1"/>
  <c r="D295" i="3"/>
  <c r="AP295" i="3" s="1"/>
  <c r="E295" i="3"/>
  <c r="AR295" i="3" s="1"/>
  <c r="F295" i="3"/>
  <c r="AS295" i="3" s="1"/>
  <c r="I295" i="3"/>
  <c r="AV295" i="3" s="1"/>
  <c r="J295" i="3"/>
  <c r="AW295" i="3" s="1"/>
  <c r="B296" i="3"/>
  <c r="AN296" i="3" s="1"/>
  <c r="C296" i="3"/>
  <c r="AO296" i="3" s="1"/>
  <c r="D296" i="3"/>
  <c r="AP296" i="3" s="1"/>
  <c r="E296" i="3"/>
  <c r="AR296" i="3" s="1"/>
  <c r="F296" i="3"/>
  <c r="AS296" i="3" s="1"/>
  <c r="I296" i="3"/>
  <c r="AV296" i="3" s="1"/>
  <c r="J296" i="3"/>
  <c r="AW296" i="3" s="1"/>
  <c r="B297" i="3"/>
  <c r="AN297" i="3" s="1"/>
  <c r="C297" i="3"/>
  <c r="AO297" i="3" s="1"/>
  <c r="D297" i="3"/>
  <c r="AP297" i="3" s="1"/>
  <c r="E297" i="3"/>
  <c r="AR297" i="3" s="1"/>
  <c r="F297" i="3"/>
  <c r="AS297" i="3" s="1"/>
  <c r="I297" i="3"/>
  <c r="AV297" i="3" s="1"/>
  <c r="J297" i="3"/>
  <c r="AW297" i="3" s="1"/>
  <c r="B298" i="3"/>
  <c r="AN298" i="3" s="1"/>
  <c r="C298" i="3"/>
  <c r="AO298" i="3" s="1"/>
  <c r="D298" i="3"/>
  <c r="AP298" i="3" s="1"/>
  <c r="E298" i="3"/>
  <c r="AR298" i="3" s="1"/>
  <c r="F298" i="3"/>
  <c r="AS298" i="3" s="1"/>
  <c r="I298" i="3"/>
  <c r="AV298" i="3" s="1"/>
  <c r="J298" i="3"/>
  <c r="AW298" i="3" s="1"/>
  <c r="B299" i="3"/>
  <c r="AN299" i="3" s="1"/>
  <c r="C299" i="3"/>
  <c r="AO299" i="3" s="1"/>
  <c r="D299" i="3"/>
  <c r="AP299" i="3" s="1"/>
  <c r="E299" i="3"/>
  <c r="AR299" i="3" s="1"/>
  <c r="F299" i="3"/>
  <c r="AS299" i="3" s="1"/>
  <c r="I299" i="3"/>
  <c r="AV299" i="3" s="1"/>
  <c r="J299" i="3"/>
  <c r="AW299" i="3" s="1"/>
  <c r="B300" i="3"/>
  <c r="AN300" i="3" s="1"/>
  <c r="C300" i="3"/>
  <c r="AO300" i="3" s="1"/>
  <c r="D300" i="3"/>
  <c r="AP300" i="3" s="1"/>
  <c r="E300" i="3"/>
  <c r="AR300" i="3" s="1"/>
  <c r="F300" i="3"/>
  <c r="AS300" i="3" s="1"/>
  <c r="I300" i="3"/>
  <c r="AV300" i="3" s="1"/>
  <c r="J300" i="3"/>
  <c r="AW300" i="3" s="1"/>
  <c r="B301" i="3"/>
  <c r="AN301" i="3" s="1"/>
  <c r="C301" i="3"/>
  <c r="AO301" i="3" s="1"/>
  <c r="D301" i="3"/>
  <c r="AP301" i="3" s="1"/>
  <c r="E301" i="3"/>
  <c r="AR301" i="3" s="1"/>
  <c r="F301" i="3"/>
  <c r="AS301" i="3" s="1"/>
  <c r="I301" i="3"/>
  <c r="AV301" i="3" s="1"/>
  <c r="J301" i="3"/>
  <c r="AW301" i="3" s="1"/>
  <c r="B302" i="3"/>
  <c r="AN302" i="3" s="1"/>
  <c r="C302" i="3"/>
  <c r="AO302" i="3" s="1"/>
  <c r="D302" i="3"/>
  <c r="AP302" i="3" s="1"/>
  <c r="E302" i="3"/>
  <c r="AR302" i="3" s="1"/>
  <c r="F302" i="3"/>
  <c r="AS302" i="3" s="1"/>
  <c r="I302" i="3"/>
  <c r="AV302" i="3" s="1"/>
  <c r="J302" i="3"/>
  <c r="AW302" i="3" s="1"/>
  <c r="B303" i="3"/>
  <c r="AN303" i="3" s="1"/>
  <c r="C303" i="3"/>
  <c r="AO303" i="3" s="1"/>
  <c r="D303" i="3"/>
  <c r="AP303" i="3" s="1"/>
  <c r="E303" i="3"/>
  <c r="AR303" i="3" s="1"/>
  <c r="F303" i="3"/>
  <c r="AS303" i="3" s="1"/>
  <c r="I303" i="3"/>
  <c r="AV303" i="3" s="1"/>
  <c r="J303" i="3"/>
  <c r="AW303" i="3" s="1"/>
  <c r="B304" i="3"/>
  <c r="AN304" i="3" s="1"/>
  <c r="C304" i="3"/>
  <c r="AO304" i="3" s="1"/>
  <c r="D304" i="3"/>
  <c r="AP304" i="3" s="1"/>
  <c r="E304" i="3"/>
  <c r="AR304" i="3" s="1"/>
  <c r="F304" i="3"/>
  <c r="AS304" i="3" s="1"/>
  <c r="I304" i="3"/>
  <c r="AV304" i="3" s="1"/>
  <c r="J304" i="3"/>
  <c r="AW304" i="3" s="1"/>
  <c r="B305" i="3"/>
  <c r="AN305" i="3" s="1"/>
  <c r="C305" i="3"/>
  <c r="AO305" i="3" s="1"/>
  <c r="D305" i="3"/>
  <c r="AP305" i="3" s="1"/>
  <c r="E305" i="3"/>
  <c r="AR305" i="3" s="1"/>
  <c r="F305" i="3"/>
  <c r="AS305" i="3" s="1"/>
  <c r="I305" i="3"/>
  <c r="AV305" i="3" s="1"/>
  <c r="J305" i="3"/>
  <c r="AW305" i="3" s="1"/>
  <c r="B306" i="3"/>
  <c r="AN306" i="3" s="1"/>
  <c r="C306" i="3"/>
  <c r="AO306" i="3" s="1"/>
  <c r="D306" i="3"/>
  <c r="AP306" i="3" s="1"/>
  <c r="E306" i="3"/>
  <c r="AR306" i="3" s="1"/>
  <c r="F306" i="3"/>
  <c r="AS306" i="3" s="1"/>
  <c r="I306" i="3"/>
  <c r="AV306" i="3" s="1"/>
  <c r="J306" i="3"/>
  <c r="AW306" i="3" s="1"/>
  <c r="B307" i="3"/>
  <c r="AN307" i="3" s="1"/>
  <c r="C307" i="3"/>
  <c r="AO307" i="3" s="1"/>
  <c r="D307" i="3"/>
  <c r="AP307" i="3" s="1"/>
  <c r="E307" i="3"/>
  <c r="AR307" i="3" s="1"/>
  <c r="F307" i="3"/>
  <c r="AS307" i="3" s="1"/>
  <c r="I307" i="3"/>
  <c r="AV307" i="3" s="1"/>
  <c r="J307" i="3"/>
  <c r="AW307" i="3" s="1"/>
  <c r="B308" i="3"/>
  <c r="AN308" i="3" s="1"/>
  <c r="C308" i="3"/>
  <c r="AO308" i="3" s="1"/>
  <c r="D308" i="3"/>
  <c r="AP308" i="3" s="1"/>
  <c r="E308" i="3"/>
  <c r="AR308" i="3" s="1"/>
  <c r="F308" i="3"/>
  <c r="AS308" i="3" s="1"/>
  <c r="I308" i="3"/>
  <c r="AV308" i="3" s="1"/>
  <c r="J308" i="3"/>
  <c r="AW308" i="3" s="1"/>
  <c r="B309" i="3"/>
  <c r="AN309" i="3" s="1"/>
  <c r="C309" i="3"/>
  <c r="AO309" i="3" s="1"/>
  <c r="D309" i="3"/>
  <c r="AP309" i="3" s="1"/>
  <c r="E309" i="3"/>
  <c r="AR309" i="3" s="1"/>
  <c r="F309" i="3"/>
  <c r="AS309" i="3" s="1"/>
  <c r="I309" i="3"/>
  <c r="AV309" i="3" s="1"/>
  <c r="J309" i="3"/>
  <c r="AW309" i="3" s="1"/>
  <c r="B310" i="3"/>
  <c r="AN310" i="3" s="1"/>
  <c r="C310" i="3"/>
  <c r="AO310" i="3" s="1"/>
  <c r="D310" i="3"/>
  <c r="AP310" i="3" s="1"/>
  <c r="E310" i="3"/>
  <c r="AR310" i="3" s="1"/>
  <c r="F310" i="3"/>
  <c r="AS310" i="3" s="1"/>
  <c r="I310" i="3"/>
  <c r="AV310" i="3" s="1"/>
  <c r="J310" i="3"/>
  <c r="AW310" i="3" s="1"/>
  <c r="B311" i="3"/>
  <c r="AN311" i="3" s="1"/>
  <c r="C311" i="3"/>
  <c r="AO311" i="3" s="1"/>
  <c r="D311" i="3"/>
  <c r="AP311" i="3" s="1"/>
  <c r="E311" i="3"/>
  <c r="AR311" i="3" s="1"/>
  <c r="F311" i="3"/>
  <c r="AS311" i="3" s="1"/>
  <c r="I311" i="3"/>
  <c r="AV311" i="3" s="1"/>
  <c r="J311" i="3"/>
  <c r="AW311" i="3" s="1"/>
  <c r="B312" i="3"/>
  <c r="AN312" i="3" s="1"/>
  <c r="C312" i="3"/>
  <c r="AO312" i="3" s="1"/>
  <c r="D312" i="3"/>
  <c r="AP312" i="3" s="1"/>
  <c r="E312" i="3"/>
  <c r="AR312" i="3" s="1"/>
  <c r="F312" i="3"/>
  <c r="AS312" i="3" s="1"/>
  <c r="I312" i="3"/>
  <c r="AV312" i="3" s="1"/>
  <c r="J312" i="3"/>
  <c r="AW312" i="3" s="1"/>
  <c r="B313" i="3"/>
  <c r="AN313" i="3" s="1"/>
  <c r="C313" i="3"/>
  <c r="AO313" i="3" s="1"/>
  <c r="D313" i="3"/>
  <c r="AP313" i="3" s="1"/>
  <c r="E313" i="3"/>
  <c r="AR313" i="3" s="1"/>
  <c r="F313" i="3"/>
  <c r="AS313" i="3" s="1"/>
  <c r="I313" i="3"/>
  <c r="AV313" i="3" s="1"/>
  <c r="J313" i="3"/>
  <c r="AW313" i="3" s="1"/>
  <c r="B314" i="3"/>
  <c r="AN314" i="3" s="1"/>
  <c r="C314" i="3"/>
  <c r="AO314" i="3" s="1"/>
  <c r="D314" i="3"/>
  <c r="AP314" i="3" s="1"/>
  <c r="E314" i="3"/>
  <c r="AR314" i="3" s="1"/>
  <c r="F314" i="3"/>
  <c r="AS314" i="3" s="1"/>
  <c r="I314" i="3"/>
  <c r="AV314" i="3" s="1"/>
  <c r="J314" i="3"/>
  <c r="AW314" i="3" s="1"/>
  <c r="B315" i="3"/>
  <c r="AN315" i="3" s="1"/>
  <c r="C315" i="3"/>
  <c r="AO315" i="3" s="1"/>
  <c r="D315" i="3"/>
  <c r="AP315" i="3" s="1"/>
  <c r="E315" i="3"/>
  <c r="AR315" i="3" s="1"/>
  <c r="F315" i="3"/>
  <c r="AS315" i="3" s="1"/>
  <c r="I315" i="3"/>
  <c r="AV315" i="3" s="1"/>
  <c r="J315" i="3"/>
  <c r="AW315" i="3" s="1"/>
  <c r="B316" i="3"/>
  <c r="AN316" i="3" s="1"/>
  <c r="C316" i="3"/>
  <c r="AO316" i="3" s="1"/>
  <c r="D316" i="3"/>
  <c r="AP316" i="3" s="1"/>
  <c r="E316" i="3"/>
  <c r="AR316" i="3" s="1"/>
  <c r="F316" i="3"/>
  <c r="AS316" i="3" s="1"/>
  <c r="I316" i="3"/>
  <c r="AV316" i="3" s="1"/>
  <c r="J316" i="3"/>
  <c r="AW316" i="3" s="1"/>
  <c r="B317" i="3"/>
  <c r="AN317" i="3" s="1"/>
  <c r="C317" i="3"/>
  <c r="AO317" i="3" s="1"/>
  <c r="D317" i="3"/>
  <c r="AP317" i="3" s="1"/>
  <c r="E317" i="3"/>
  <c r="AR317" i="3" s="1"/>
  <c r="F317" i="3"/>
  <c r="AS317" i="3" s="1"/>
  <c r="I317" i="3"/>
  <c r="AV317" i="3" s="1"/>
  <c r="J317" i="3"/>
  <c r="AW317" i="3" s="1"/>
  <c r="B318" i="3"/>
  <c r="AN318" i="3" s="1"/>
  <c r="C318" i="3"/>
  <c r="AO318" i="3" s="1"/>
  <c r="D318" i="3"/>
  <c r="AP318" i="3" s="1"/>
  <c r="E318" i="3"/>
  <c r="AR318" i="3" s="1"/>
  <c r="F318" i="3"/>
  <c r="AS318" i="3" s="1"/>
  <c r="I318" i="3"/>
  <c r="AV318" i="3" s="1"/>
  <c r="J318" i="3"/>
  <c r="AW318" i="3" s="1"/>
  <c r="B319" i="3"/>
  <c r="AN319" i="3" s="1"/>
  <c r="C319" i="3"/>
  <c r="AO319" i="3" s="1"/>
  <c r="D319" i="3"/>
  <c r="AP319" i="3" s="1"/>
  <c r="E319" i="3"/>
  <c r="AR319" i="3" s="1"/>
  <c r="F319" i="3"/>
  <c r="AS319" i="3" s="1"/>
  <c r="I319" i="3"/>
  <c r="AV319" i="3" s="1"/>
  <c r="J319" i="3"/>
  <c r="AW319" i="3" s="1"/>
  <c r="B320" i="3"/>
  <c r="AN320" i="3" s="1"/>
  <c r="C320" i="3"/>
  <c r="AO320" i="3" s="1"/>
  <c r="D320" i="3"/>
  <c r="AP320" i="3" s="1"/>
  <c r="E320" i="3"/>
  <c r="AR320" i="3" s="1"/>
  <c r="F320" i="3"/>
  <c r="AS320" i="3" s="1"/>
  <c r="I320" i="3"/>
  <c r="AV320" i="3" s="1"/>
  <c r="J320" i="3"/>
  <c r="AW320" i="3" s="1"/>
  <c r="B321" i="3"/>
  <c r="AN321" i="3" s="1"/>
  <c r="C321" i="3"/>
  <c r="AO321" i="3" s="1"/>
  <c r="D321" i="3"/>
  <c r="AP321" i="3" s="1"/>
  <c r="E321" i="3"/>
  <c r="AR321" i="3" s="1"/>
  <c r="F321" i="3"/>
  <c r="AS321" i="3" s="1"/>
  <c r="I321" i="3"/>
  <c r="AV321" i="3" s="1"/>
  <c r="J321" i="3"/>
  <c r="AW321" i="3" s="1"/>
  <c r="B322" i="3"/>
  <c r="AN322" i="3" s="1"/>
  <c r="C322" i="3"/>
  <c r="AO322" i="3" s="1"/>
  <c r="D322" i="3"/>
  <c r="AP322" i="3" s="1"/>
  <c r="E322" i="3"/>
  <c r="AR322" i="3" s="1"/>
  <c r="F322" i="3"/>
  <c r="AS322" i="3" s="1"/>
  <c r="I322" i="3"/>
  <c r="AV322" i="3" s="1"/>
  <c r="J322" i="3"/>
  <c r="AW322" i="3" s="1"/>
  <c r="B323" i="3"/>
  <c r="AN323" i="3" s="1"/>
  <c r="C323" i="3"/>
  <c r="AO323" i="3" s="1"/>
  <c r="D323" i="3"/>
  <c r="AP323" i="3" s="1"/>
  <c r="E323" i="3"/>
  <c r="AR323" i="3" s="1"/>
  <c r="F323" i="3"/>
  <c r="AS323" i="3" s="1"/>
  <c r="I323" i="3"/>
  <c r="AV323" i="3" s="1"/>
  <c r="J323" i="3"/>
  <c r="AW323" i="3" s="1"/>
  <c r="B136" i="3"/>
  <c r="AN136" i="3" s="1"/>
  <c r="C136" i="3"/>
  <c r="AO136" i="3" s="1"/>
  <c r="D136" i="3"/>
  <c r="AP136" i="3" s="1"/>
  <c r="E136" i="3"/>
  <c r="AR136" i="3" s="1"/>
  <c r="F136" i="3"/>
  <c r="AS136" i="3" s="1"/>
  <c r="I136" i="3"/>
  <c r="AV136" i="3" s="1"/>
  <c r="J136" i="3"/>
  <c r="AW136" i="3" s="1"/>
  <c r="B137" i="3"/>
  <c r="AN137" i="3" s="1"/>
  <c r="C137" i="3"/>
  <c r="AO137" i="3" s="1"/>
  <c r="D137" i="3"/>
  <c r="AP137" i="3" s="1"/>
  <c r="E137" i="3"/>
  <c r="AR137" i="3" s="1"/>
  <c r="F137" i="3"/>
  <c r="AS137" i="3" s="1"/>
  <c r="I137" i="3"/>
  <c r="AV137" i="3" s="1"/>
  <c r="J137" i="3"/>
  <c r="AW137" i="3" s="1"/>
  <c r="B138" i="3"/>
  <c r="AN138" i="3" s="1"/>
  <c r="C138" i="3"/>
  <c r="AO138" i="3" s="1"/>
  <c r="D138" i="3"/>
  <c r="AP138" i="3" s="1"/>
  <c r="E138" i="3"/>
  <c r="AR138" i="3" s="1"/>
  <c r="F138" i="3"/>
  <c r="AS138" i="3" s="1"/>
  <c r="I138" i="3"/>
  <c r="AV138" i="3" s="1"/>
  <c r="J138" i="3"/>
  <c r="AW138" i="3" s="1"/>
  <c r="B139" i="3"/>
  <c r="AN139" i="3" s="1"/>
  <c r="C139" i="3"/>
  <c r="AO139" i="3" s="1"/>
  <c r="D139" i="3"/>
  <c r="AP139" i="3" s="1"/>
  <c r="E139" i="3"/>
  <c r="AR139" i="3" s="1"/>
  <c r="F139" i="3"/>
  <c r="AS139" i="3" s="1"/>
  <c r="I139" i="3"/>
  <c r="AV139" i="3" s="1"/>
  <c r="J139" i="3"/>
  <c r="AW139" i="3" s="1"/>
  <c r="B140" i="3"/>
  <c r="AN140" i="3" s="1"/>
  <c r="C140" i="3"/>
  <c r="AO140" i="3" s="1"/>
  <c r="D140" i="3"/>
  <c r="AP140" i="3" s="1"/>
  <c r="E140" i="3"/>
  <c r="AR140" i="3" s="1"/>
  <c r="F140" i="3"/>
  <c r="AS140" i="3" s="1"/>
  <c r="I140" i="3"/>
  <c r="AV140" i="3" s="1"/>
  <c r="J140" i="3"/>
  <c r="AW140" i="3" s="1"/>
  <c r="B141" i="3"/>
  <c r="AN141" i="3" s="1"/>
  <c r="C141" i="3"/>
  <c r="AO141" i="3" s="1"/>
  <c r="D141" i="3"/>
  <c r="AP141" i="3" s="1"/>
  <c r="E141" i="3"/>
  <c r="AR141" i="3" s="1"/>
  <c r="F141" i="3"/>
  <c r="AS141" i="3" s="1"/>
  <c r="I141" i="3"/>
  <c r="AV141" i="3" s="1"/>
  <c r="J141" i="3"/>
  <c r="AW141" i="3" s="1"/>
  <c r="B142" i="3"/>
  <c r="AN142" i="3" s="1"/>
  <c r="C142" i="3"/>
  <c r="AO142" i="3" s="1"/>
  <c r="D142" i="3"/>
  <c r="AP142" i="3" s="1"/>
  <c r="E142" i="3"/>
  <c r="AR142" i="3" s="1"/>
  <c r="F142" i="3"/>
  <c r="AS142" i="3" s="1"/>
  <c r="I142" i="3"/>
  <c r="AV142" i="3" s="1"/>
  <c r="J142" i="3"/>
  <c r="AW142" i="3" s="1"/>
  <c r="B143" i="3"/>
  <c r="AN143" i="3" s="1"/>
  <c r="C143" i="3"/>
  <c r="AO143" i="3" s="1"/>
  <c r="D143" i="3"/>
  <c r="AP143" i="3" s="1"/>
  <c r="E143" i="3"/>
  <c r="AR143" i="3" s="1"/>
  <c r="F143" i="3"/>
  <c r="AS143" i="3" s="1"/>
  <c r="I143" i="3"/>
  <c r="AV143" i="3" s="1"/>
  <c r="J143" i="3"/>
  <c r="AW143" i="3" s="1"/>
  <c r="B144" i="3"/>
  <c r="AN144" i="3" s="1"/>
  <c r="C144" i="3"/>
  <c r="AO144" i="3" s="1"/>
  <c r="D144" i="3"/>
  <c r="AP144" i="3" s="1"/>
  <c r="E144" i="3"/>
  <c r="AR144" i="3" s="1"/>
  <c r="F144" i="3"/>
  <c r="AS144" i="3" s="1"/>
  <c r="I144" i="3"/>
  <c r="AV144" i="3" s="1"/>
  <c r="J144" i="3"/>
  <c r="AW144" i="3" s="1"/>
  <c r="B145" i="3"/>
  <c r="AN145" i="3" s="1"/>
  <c r="C145" i="3"/>
  <c r="AO145" i="3" s="1"/>
  <c r="D145" i="3"/>
  <c r="AP145" i="3" s="1"/>
  <c r="E145" i="3"/>
  <c r="AR145" i="3" s="1"/>
  <c r="F145" i="3"/>
  <c r="AS145" i="3" s="1"/>
  <c r="I145" i="3"/>
  <c r="AV145" i="3" s="1"/>
  <c r="J145" i="3"/>
  <c r="AW145" i="3" s="1"/>
  <c r="B146" i="3"/>
  <c r="AN146" i="3" s="1"/>
  <c r="C146" i="3"/>
  <c r="AO146" i="3" s="1"/>
  <c r="D146" i="3"/>
  <c r="AP146" i="3" s="1"/>
  <c r="E146" i="3"/>
  <c r="AR146" i="3" s="1"/>
  <c r="F146" i="3"/>
  <c r="AS146" i="3" s="1"/>
  <c r="I146" i="3"/>
  <c r="AV146" i="3" s="1"/>
  <c r="J146" i="3"/>
  <c r="AW146" i="3" s="1"/>
  <c r="B147" i="3"/>
  <c r="AN147" i="3" s="1"/>
  <c r="C147" i="3"/>
  <c r="AO147" i="3" s="1"/>
  <c r="D147" i="3"/>
  <c r="AP147" i="3" s="1"/>
  <c r="E147" i="3"/>
  <c r="AR147" i="3" s="1"/>
  <c r="F147" i="3"/>
  <c r="AS147" i="3" s="1"/>
  <c r="I147" i="3"/>
  <c r="AV147" i="3" s="1"/>
  <c r="J147" i="3"/>
  <c r="AW147" i="3" s="1"/>
  <c r="B148" i="3"/>
  <c r="AN148" i="3" s="1"/>
  <c r="C148" i="3"/>
  <c r="AO148" i="3" s="1"/>
  <c r="D148" i="3"/>
  <c r="AP148" i="3" s="1"/>
  <c r="E148" i="3"/>
  <c r="AR148" i="3" s="1"/>
  <c r="F148" i="3"/>
  <c r="AS148" i="3" s="1"/>
  <c r="I148" i="3"/>
  <c r="AV148" i="3" s="1"/>
  <c r="J148" i="3"/>
  <c r="AW148" i="3" s="1"/>
  <c r="B149" i="3"/>
  <c r="AN149" i="3" s="1"/>
  <c r="C149" i="3"/>
  <c r="AO149" i="3" s="1"/>
  <c r="D149" i="3"/>
  <c r="AP149" i="3" s="1"/>
  <c r="E149" i="3"/>
  <c r="AR149" i="3" s="1"/>
  <c r="F149" i="3"/>
  <c r="AS149" i="3" s="1"/>
  <c r="I149" i="3"/>
  <c r="AV149" i="3" s="1"/>
  <c r="J149" i="3"/>
  <c r="AW149" i="3" s="1"/>
  <c r="B150" i="3"/>
  <c r="AN150" i="3" s="1"/>
  <c r="C150" i="3"/>
  <c r="AO150" i="3" s="1"/>
  <c r="D150" i="3"/>
  <c r="AP150" i="3" s="1"/>
  <c r="E150" i="3"/>
  <c r="AR150" i="3" s="1"/>
  <c r="F150" i="3"/>
  <c r="AS150" i="3" s="1"/>
  <c r="I150" i="3"/>
  <c r="AV150" i="3" s="1"/>
  <c r="J150" i="3"/>
  <c r="AW150" i="3" s="1"/>
  <c r="B151" i="3"/>
  <c r="AN151" i="3" s="1"/>
  <c r="C151" i="3"/>
  <c r="AO151" i="3" s="1"/>
  <c r="D151" i="3"/>
  <c r="AP151" i="3" s="1"/>
  <c r="E151" i="3"/>
  <c r="AR151" i="3" s="1"/>
  <c r="F151" i="3"/>
  <c r="AS151" i="3" s="1"/>
  <c r="I151" i="3"/>
  <c r="AV151" i="3" s="1"/>
  <c r="J151" i="3"/>
  <c r="AW151" i="3" s="1"/>
  <c r="B152" i="3"/>
  <c r="AN152" i="3" s="1"/>
  <c r="C152" i="3"/>
  <c r="AO152" i="3" s="1"/>
  <c r="D152" i="3"/>
  <c r="AP152" i="3" s="1"/>
  <c r="E152" i="3"/>
  <c r="AR152" i="3" s="1"/>
  <c r="F152" i="3"/>
  <c r="AS152" i="3" s="1"/>
  <c r="I152" i="3"/>
  <c r="AV152" i="3" s="1"/>
  <c r="J152" i="3"/>
  <c r="AW152" i="3" s="1"/>
  <c r="B153" i="3"/>
  <c r="AN153" i="3" s="1"/>
  <c r="C153" i="3"/>
  <c r="AO153" i="3" s="1"/>
  <c r="D153" i="3"/>
  <c r="AP153" i="3" s="1"/>
  <c r="E153" i="3"/>
  <c r="AR153" i="3" s="1"/>
  <c r="F153" i="3"/>
  <c r="AS153" i="3" s="1"/>
  <c r="I153" i="3"/>
  <c r="AV153" i="3" s="1"/>
  <c r="J153" i="3"/>
  <c r="AW153" i="3" s="1"/>
  <c r="B154" i="3"/>
  <c r="AN154" i="3" s="1"/>
  <c r="C154" i="3"/>
  <c r="AO154" i="3" s="1"/>
  <c r="D154" i="3"/>
  <c r="AP154" i="3" s="1"/>
  <c r="E154" i="3"/>
  <c r="AR154" i="3" s="1"/>
  <c r="F154" i="3"/>
  <c r="AS154" i="3" s="1"/>
  <c r="I154" i="3"/>
  <c r="AV154" i="3" s="1"/>
  <c r="J154" i="3"/>
  <c r="AW154" i="3" s="1"/>
  <c r="B155" i="3"/>
  <c r="AN155" i="3" s="1"/>
  <c r="C155" i="3"/>
  <c r="AO155" i="3" s="1"/>
  <c r="D155" i="3"/>
  <c r="AP155" i="3" s="1"/>
  <c r="E155" i="3"/>
  <c r="AR155" i="3" s="1"/>
  <c r="F155" i="3"/>
  <c r="AS155" i="3" s="1"/>
  <c r="I155" i="3"/>
  <c r="AV155" i="3" s="1"/>
  <c r="J155" i="3"/>
  <c r="AW155" i="3" s="1"/>
  <c r="B156" i="3"/>
  <c r="AN156" i="3" s="1"/>
  <c r="C156" i="3"/>
  <c r="AO156" i="3" s="1"/>
  <c r="D156" i="3"/>
  <c r="AP156" i="3" s="1"/>
  <c r="E156" i="3"/>
  <c r="AR156" i="3" s="1"/>
  <c r="F156" i="3"/>
  <c r="AS156" i="3" s="1"/>
  <c r="I156" i="3"/>
  <c r="AV156" i="3" s="1"/>
  <c r="J156" i="3"/>
  <c r="AW156" i="3" s="1"/>
  <c r="B157" i="3"/>
  <c r="AN157" i="3" s="1"/>
  <c r="C157" i="3"/>
  <c r="AO157" i="3" s="1"/>
  <c r="D157" i="3"/>
  <c r="AP157" i="3" s="1"/>
  <c r="E157" i="3"/>
  <c r="AR157" i="3" s="1"/>
  <c r="F157" i="3"/>
  <c r="AS157" i="3" s="1"/>
  <c r="I157" i="3"/>
  <c r="AV157" i="3" s="1"/>
  <c r="J157" i="3"/>
  <c r="AW157" i="3" s="1"/>
  <c r="B158" i="3"/>
  <c r="AN158" i="3" s="1"/>
  <c r="C158" i="3"/>
  <c r="AO158" i="3" s="1"/>
  <c r="D158" i="3"/>
  <c r="AP158" i="3" s="1"/>
  <c r="E158" i="3"/>
  <c r="AR158" i="3" s="1"/>
  <c r="F158" i="3"/>
  <c r="AS158" i="3" s="1"/>
  <c r="I158" i="3"/>
  <c r="AV158" i="3" s="1"/>
  <c r="J158" i="3"/>
  <c r="AW158" i="3" s="1"/>
  <c r="B159" i="3"/>
  <c r="AN159" i="3" s="1"/>
  <c r="C159" i="3"/>
  <c r="AO159" i="3" s="1"/>
  <c r="D159" i="3"/>
  <c r="AP159" i="3" s="1"/>
  <c r="E159" i="3"/>
  <c r="AR159" i="3" s="1"/>
  <c r="F159" i="3"/>
  <c r="AS159" i="3" s="1"/>
  <c r="I159" i="3"/>
  <c r="AV159" i="3" s="1"/>
  <c r="J159" i="3"/>
  <c r="AW159" i="3" s="1"/>
  <c r="B160" i="3"/>
  <c r="AN160" i="3" s="1"/>
  <c r="C160" i="3"/>
  <c r="AO160" i="3" s="1"/>
  <c r="D160" i="3"/>
  <c r="AP160" i="3" s="1"/>
  <c r="E160" i="3"/>
  <c r="AR160" i="3" s="1"/>
  <c r="F160" i="3"/>
  <c r="AS160" i="3" s="1"/>
  <c r="I160" i="3"/>
  <c r="AV160" i="3" s="1"/>
  <c r="J160" i="3"/>
  <c r="AW160" i="3" s="1"/>
  <c r="B161" i="3"/>
  <c r="AN161" i="3" s="1"/>
  <c r="C161" i="3"/>
  <c r="AO161" i="3" s="1"/>
  <c r="D161" i="3"/>
  <c r="AP161" i="3" s="1"/>
  <c r="E161" i="3"/>
  <c r="AR161" i="3" s="1"/>
  <c r="F161" i="3"/>
  <c r="AS161" i="3" s="1"/>
  <c r="I161" i="3"/>
  <c r="AV161" i="3" s="1"/>
  <c r="J161" i="3"/>
  <c r="AW161" i="3" s="1"/>
  <c r="B162" i="3"/>
  <c r="AN162" i="3" s="1"/>
  <c r="C162" i="3"/>
  <c r="AO162" i="3" s="1"/>
  <c r="D162" i="3"/>
  <c r="AP162" i="3" s="1"/>
  <c r="E162" i="3"/>
  <c r="AR162" i="3" s="1"/>
  <c r="F162" i="3"/>
  <c r="AS162" i="3" s="1"/>
  <c r="I162" i="3"/>
  <c r="AV162" i="3" s="1"/>
  <c r="J162" i="3"/>
  <c r="AW162" i="3" s="1"/>
  <c r="B163" i="3"/>
  <c r="AN163" i="3" s="1"/>
  <c r="C163" i="3"/>
  <c r="AO163" i="3" s="1"/>
  <c r="D163" i="3"/>
  <c r="AP163" i="3" s="1"/>
  <c r="E163" i="3"/>
  <c r="AR163" i="3" s="1"/>
  <c r="F163" i="3"/>
  <c r="AS163" i="3" s="1"/>
  <c r="I163" i="3"/>
  <c r="AV163" i="3" s="1"/>
  <c r="J163" i="3"/>
  <c r="AW163" i="3" s="1"/>
  <c r="B164" i="3"/>
  <c r="AN164" i="3" s="1"/>
  <c r="C164" i="3"/>
  <c r="AO164" i="3" s="1"/>
  <c r="D164" i="3"/>
  <c r="AP164" i="3" s="1"/>
  <c r="E164" i="3"/>
  <c r="AR164" i="3" s="1"/>
  <c r="F164" i="3"/>
  <c r="AS164" i="3" s="1"/>
  <c r="I164" i="3"/>
  <c r="AV164" i="3" s="1"/>
  <c r="J164" i="3"/>
  <c r="AW164" i="3" s="1"/>
  <c r="B165" i="3"/>
  <c r="AN165" i="3" s="1"/>
  <c r="C165" i="3"/>
  <c r="AO165" i="3" s="1"/>
  <c r="D165" i="3"/>
  <c r="AP165" i="3" s="1"/>
  <c r="E165" i="3"/>
  <c r="AR165" i="3" s="1"/>
  <c r="F165" i="3"/>
  <c r="AS165" i="3" s="1"/>
  <c r="I165" i="3"/>
  <c r="AV165" i="3" s="1"/>
  <c r="J165" i="3"/>
  <c r="AW165" i="3" s="1"/>
  <c r="B166" i="3"/>
  <c r="AN166" i="3" s="1"/>
  <c r="C166" i="3"/>
  <c r="AO166" i="3" s="1"/>
  <c r="D166" i="3"/>
  <c r="AP166" i="3" s="1"/>
  <c r="E166" i="3"/>
  <c r="AR166" i="3" s="1"/>
  <c r="F166" i="3"/>
  <c r="AS166" i="3" s="1"/>
  <c r="I166" i="3"/>
  <c r="AV166" i="3" s="1"/>
  <c r="J166" i="3"/>
  <c r="AW166" i="3" s="1"/>
  <c r="B167" i="3"/>
  <c r="AN167" i="3" s="1"/>
  <c r="C167" i="3"/>
  <c r="AO167" i="3" s="1"/>
  <c r="D167" i="3"/>
  <c r="AP167" i="3" s="1"/>
  <c r="E167" i="3"/>
  <c r="AR167" i="3" s="1"/>
  <c r="F167" i="3"/>
  <c r="AS167" i="3" s="1"/>
  <c r="I167" i="3"/>
  <c r="AV167" i="3" s="1"/>
  <c r="J167" i="3"/>
  <c r="AW167" i="3" s="1"/>
  <c r="B168" i="3"/>
  <c r="AN168" i="3" s="1"/>
  <c r="C168" i="3"/>
  <c r="AO168" i="3" s="1"/>
  <c r="D168" i="3"/>
  <c r="AP168" i="3" s="1"/>
  <c r="E168" i="3"/>
  <c r="AR168" i="3" s="1"/>
  <c r="F168" i="3"/>
  <c r="AS168" i="3" s="1"/>
  <c r="I168" i="3"/>
  <c r="AV168" i="3" s="1"/>
  <c r="J168" i="3"/>
  <c r="AW168" i="3" s="1"/>
  <c r="B169" i="3"/>
  <c r="AN169" i="3" s="1"/>
  <c r="C169" i="3"/>
  <c r="AO169" i="3" s="1"/>
  <c r="D169" i="3"/>
  <c r="AP169" i="3" s="1"/>
  <c r="E169" i="3"/>
  <c r="AR169" i="3" s="1"/>
  <c r="F169" i="3"/>
  <c r="AS169" i="3" s="1"/>
  <c r="I169" i="3"/>
  <c r="AV169" i="3" s="1"/>
  <c r="J169" i="3"/>
  <c r="AW169" i="3" s="1"/>
  <c r="B170" i="3"/>
  <c r="AN170" i="3" s="1"/>
  <c r="C170" i="3"/>
  <c r="AO170" i="3" s="1"/>
  <c r="D170" i="3"/>
  <c r="AP170" i="3" s="1"/>
  <c r="E170" i="3"/>
  <c r="AR170" i="3" s="1"/>
  <c r="F170" i="3"/>
  <c r="AS170" i="3" s="1"/>
  <c r="I170" i="3"/>
  <c r="AV170" i="3" s="1"/>
  <c r="J170" i="3"/>
  <c r="AW170" i="3" s="1"/>
  <c r="B171" i="3"/>
  <c r="AN171" i="3" s="1"/>
  <c r="C171" i="3"/>
  <c r="AO171" i="3" s="1"/>
  <c r="D171" i="3"/>
  <c r="AP171" i="3" s="1"/>
  <c r="E171" i="3"/>
  <c r="AR171" i="3" s="1"/>
  <c r="F171" i="3"/>
  <c r="AS171" i="3" s="1"/>
  <c r="I171" i="3"/>
  <c r="AV171" i="3" s="1"/>
  <c r="J171" i="3"/>
  <c r="AW171" i="3" s="1"/>
  <c r="B172" i="3"/>
  <c r="AN172" i="3" s="1"/>
  <c r="C172" i="3"/>
  <c r="AO172" i="3" s="1"/>
  <c r="D172" i="3"/>
  <c r="AP172" i="3" s="1"/>
  <c r="E172" i="3"/>
  <c r="AR172" i="3" s="1"/>
  <c r="F172" i="3"/>
  <c r="AS172" i="3" s="1"/>
  <c r="I172" i="3"/>
  <c r="AV172" i="3" s="1"/>
  <c r="J172" i="3"/>
  <c r="AW172" i="3" s="1"/>
  <c r="B173" i="3"/>
  <c r="AN173" i="3" s="1"/>
  <c r="C173" i="3"/>
  <c r="AO173" i="3" s="1"/>
  <c r="D173" i="3"/>
  <c r="AP173" i="3" s="1"/>
  <c r="E173" i="3"/>
  <c r="AR173" i="3" s="1"/>
  <c r="F173" i="3"/>
  <c r="AS173" i="3" s="1"/>
  <c r="I173" i="3"/>
  <c r="AV173" i="3" s="1"/>
  <c r="J173" i="3"/>
  <c r="AW173" i="3" s="1"/>
  <c r="B174" i="3"/>
  <c r="AN174" i="3" s="1"/>
  <c r="C174" i="3"/>
  <c r="AO174" i="3" s="1"/>
  <c r="D174" i="3"/>
  <c r="AP174" i="3" s="1"/>
  <c r="E174" i="3"/>
  <c r="AR174" i="3" s="1"/>
  <c r="F174" i="3"/>
  <c r="AS174" i="3" s="1"/>
  <c r="I174" i="3"/>
  <c r="AV174" i="3" s="1"/>
  <c r="J174" i="3"/>
  <c r="AW174" i="3" s="1"/>
  <c r="B175" i="3"/>
  <c r="AN175" i="3" s="1"/>
  <c r="C175" i="3"/>
  <c r="AO175" i="3" s="1"/>
  <c r="D175" i="3"/>
  <c r="AP175" i="3" s="1"/>
  <c r="E175" i="3"/>
  <c r="AR175" i="3" s="1"/>
  <c r="F175" i="3"/>
  <c r="AS175" i="3" s="1"/>
  <c r="I175" i="3"/>
  <c r="AV175" i="3" s="1"/>
  <c r="J175" i="3"/>
  <c r="AW175" i="3" s="1"/>
  <c r="B176" i="3"/>
  <c r="AN176" i="3" s="1"/>
  <c r="C176" i="3"/>
  <c r="AO176" i="3" s="1"/>
  <c r="D176" i="3"/>
  <c r="AP176" i="3" s="1"/>
  <c r="E176" i="3"/>
  <c r="AR176" i="3" s="1"/>
  <c r="F176" i="3"/>
  <c r="AS176" i="3" s="1"/>
  <c r="I176" i="3"/>
  <c r="AV176" i="3" s="1"/>
  <c r="J176" i="3"/>
  <c r="AW176" i="3" s="1"/>
  <c r="B177" i="3"/>
  <c r="AN177" i="3" s="1"/>
  <c r="C177" i="3"/>
  <c r="AO177" i="3" s="1"/>
  <c r="D177" i="3"/>
  <c r="AP177" i="3" s="1"/>
  <c r="E177" i="3"/>
  <c r="AR177" i="3" s="1"/>
  <c r="F177" i="3"/>
  <c r="AS177" i="3" s="1"/>
  <c r="I177" i="3"/>
  <c r="AV177" i="3" s="1"/>
  <c r="J177" i="3"/>
  <c r="AW177" i="3" s="1"/>
  <c r="B178" i="3"/>
  <c r="AN178" i="3" s="1"/>
  <c r="C178" i="3"/>
  <c r="AO178" i="3" s="1"/>
  <c r="D178" i="3"/>
  <c r="AP178" i="3" s="1"/>
  <c r="E178" i="3"/>
  <c r="AR178" i="3" s="1"/>
  <c r="F178" i="3"/>
  <c r="AS178" i="3" s="1"/>
  <c r="I178" i="3"/>
  <c r="AV178" i="3" s="1"/>
  <c r="J178" i="3"/>
  <c r="AW178" i="3" s="1"/>
  <c r="B179" i="3"/>
  <c r="AN179" i="3" s="1"/>
  <c r="C179" i="3"/>
  <c r="AO179" i="3" s="1"/>
  <c r="D179" i="3"/>
  <c r="AP179" i="3" s="1"/>
  <c r="E179" i="3"/>
  <c r="AR179" i="3" s="1"/>
  <c r="F179" i="3"/>
  <c r="AS179" i="3" s="1"/>
  <c r="I179" i="3"/>
  <c r="AV179" i="3" s="1"/>
  <c r="J179" i="3"/>
  <c r="AW179" i="3" s="1"/>
  <c r="B180" i="3"/>
  <c r="AN180" i="3" s="1"/>
  <c r="C180" i="3"/>
  <c r="AO180" i="3" s="1"/>
  <c r="D180" i="3"/>
  <c r="AP180" i="3" s="1"/>
  <c r="E180" i="3"/>
  <c r="AR180" i="3" s="1"/>
  <c r="F180" i="3"/>
  <c r="AS180" i="3" s="1"/>
  <c r="I180" i="3"/>
  <c r="AV180" i="3" s="1"/>
  <c r="J180" i="3"/>
  <c r="AW180" i="3" s="1"/>
  <c r="B181" i="3"/>
  <c r="AN181" i="3" s="1"/>
  <c r="C181" i="3"/>
  <c r="AO181" i="3" s="1"/>
  <c r="D181" i="3"/>
  <c r="AP181" i="3" s="1"/>
  <c r="E181" i="3"/>
  <c r="AR181" i="3" s="1"/>
  <c r="F181" i="3"/>
  <c r="AS181" i="3" s="1"/>
  <c r="I181" i="3"/>
  <c r="AV181" i="3" s="1"/>
  <c r="J181" i="3"/>
  <c r="AW181" i="3" s="1"/>
  <c r="B182" i="3"/>
  <c r="AN182" i="3" s="1"/>
  <c r="C182" i="3"/>
  <c r="AO182" i="3" s="1"/>
  <c r="D182" i="3"/>
  <c r="AP182" i="3" s="1"/>
  <c r="E182" i="3"/>
  <c r="AR182" i="3" s="1"/>
  <c r="F182" i="3"/>
  <c r="AS182" i="3" s="1"/>
  <c r="I182" i="3"/>
  <c r="AV182" i="3" s="1"/>
  <c r="J182" i="3"/>
  <c r="AW182" i="3" s="1"/>
  <c r="B183" i="3"/>
  <c r="AN183" i="3" s="1"/>
  <c r="C183" i="3"/>
  <c r="AO183" i="3" s="1"/>
  <c r="D183" i="3"/>
  <c r="AP183" i="3" s="1"/>
  <c r="E183" i="3"/>
  <c r="AR183" i="3" s="1"/>
  <c r="F183" i="3"/>
  <c r="AS183" i="3" s="1"/>
  <c r="I183" i="3"/>
  <c r="AV183" i="3" s="1"/>
  <c r="J183" i="3"/>
  <c r="AW183" i="3" s="1"/>
  <c r="B6" i="3"/>
  <c r="AN6" i="3" s="1"/>
  <c r="C6" i="3"/>
  <c r="AO6" i="3" s="1"/>
  <c r="D6" i="3"/>
  <c r="AP6" i="3" s="1"/>
  <c r="E6" i="3"/>
  <c r="AR6" i="3" s="1"/>
  <c r="F6" i="3"/>
  <c r="AS6" i="3" s="1"/>
  <c r="I6" i="3"/>
  <c r="AV6" i="3" s="1"/>
  <c r="J6" i="3"/>
  <c r="AW6" i="3" s="1"/>
  <c r="B7" i="3"/>
  <c r="AN7" i="3" s="1"/>
  <c r="C7" i="3"/>
  <c r="AO7" i="3" s="1"/>
  <c r="D7" i="3"/>
  <c r="AP7" i="3" s="1"/>
  <c r="E7" i="3"/>
  <c r="AR7" i="3" s="1"/>
  <c r="F7" i="3"/>
  <c r="AS7" i="3" s="1"/>
  <c r="I7" i="3"/>
  <c r="AV7" i="3" s="1"/>
  <c r="J7" i="3"/>
  <c r="AW7" i="3" s="1"/>
  <c r="B8" i="3"/>
  <c r="AN8" i="3" s="1"/>
  <c r="C8" i="3"/>
  <c r="AO8" i="3" s="1"/>
  <c r="D8" i="3"/>
  <c r="AP8" i="3" s="1"/>
  <c r="E8" i="3"/>
  <c r="AR8" i="3" s="1"/>
  <c r="F8" i="3"/>
  <c r="AS8" i="3" s="1"/>
  <c r="I8" i="3"/>
  <c r="AV8" i="3" s="1"/>
  <c r="J8" i="3"/>
  <c r="AW8" i="3" s="1"/>
  <c r="B9" i="3"/>
  <c r="AN9" i="3" s="1"/>
  <c r="C9" i="3"/>
  <c r="AO9" i="3" s="1"/>
  <c r="D9" i="3"/>
  <c r="AP9" i="3" s="1"/>
  <c r="E9" i="3"/>
  <c r="AR9" i="3" s="1"/>
  <c r="F9" i="3"/>
  <c r="AS9" i="3" s="1"/>
  <c r="I9" i="3"/>
  <c r="AV9" i="3" s="1"/>
  <c r="J9" i="3"/>
  <c r="AW9" i="3" s="1"/>
  <c r="B10" i="3"/>
  <c r="AN10" i="3" s="1"/>
  <c r="C10" i="3"/>
  <c r="AO10" i="3" s="1"/>
  <c r="D10" i="3"/>
  <c r="AP10" i="3" s="1"/>
  <c r="E10" i="3"/>
  <c r="AR10" i="3" s="1"/>
  <c r="F10" i="3"/>
  <c r="AS10" i="3" s="1"/>
  <c r="I10" i="3"/>
  <c r="AV10" i="3" s="1"/>
  <c r="J10" i="3"/>
  <c r="AW10" i="3" s="1"/>
  <c r="B11" i="3"/>
  <c r="AN11" i="3" s="1"/>
  <c r="C11" i="3"/>
  <c r="AO11" i="3" s="1"/>
  <c r="D11" i="3"/>
  <c r="AP11" i="3" s="1"/>
  <c r="E11" i="3"/>
  <c r="AR11" i="3" s="1"/>
  <c r="F11" i="3"/>
  <c r="AS11" i="3" s="1"/>
  <c r="I11" i="3"/>
  <c r="AV11" i="3" s="1"/>
  <c r="J11" i="3"/>
  <c r="AW11" i="3" s="1"/>
  <c r="B12" i="3"/>
  <c r="AN12" i="3" s="1"/>
  <c r="C12" i="3"/>
  <c r="AO12" i="3" s="1"/>
  <c r="D12" i="3"/>
  <c r="AP12" i="3" s="1"/>
  <c r="E12" i="3"/>
  <c r="AR12" i="3" s="1"/>
  <c r="F12" i="3"/>
  <c r="AS12" i="3" s="1"/>
  <c r="I12" i="3"/>
  <c r="AV12" i="3" s="1"/>
  <c r="J12" i="3"/>
  <c r="AW12" i="3" s="1"/>
  <c r="B13" i="3"/>
  <c r="AN13" i="3" s="1"/>
  <c r="C13" i="3"/>
  <c r="AO13" i="3" s="1"/>
  <c r="D13" i="3"/>
  <c r="AP13" i="3" s="1"/>
  <c r="E13" i="3"/>
  <c r="AR13" i="3" s="1"/>
  <c r="F13" i="3"/>
  <c r="AS13" i="3" s="1"/>
  <c r="I13" i="3"/>
  <c r="AV13" i="3" s="1"/>
  <c r="J13" i="3"/>
  <c r="AW13" i="3" s="1"/>
  <c r="B14" i="3"/>
  <c r="AN14" i="3" s="1"/>
  <c r="C14" i="3"/>
  <c r="AO14" i="3" s="1"/>
  <c r="D14" i="3"/>
  <c r="AP14" i="3" s="1"/>
  <c r="E14" i="3"/>
  <c r="AR14" i="3" s="1"/>
  <c r="F14" i="3"/>
  <c r="AS14" i="3" s="1"/>
  <c r="I14" i="3"/>
  <c r="AV14" i="3" s="1"/>
  <c r="J14" i="3"/>
  <c r="AW14" i="3" s="1"/>
  <c r="B15" i="3"/>
  <c r="AN15" i="3" s="1"/>
  <c r="C15" i="3"/>
  <c r="AO15" i="3" s="1"/>
  <c r="D15" i="3"/>
  <c r="AP15" i="3" s="1"/>
  <c r="E15" i="3"/>
  <c r="AR15" i="3" s="1"/>
  <c r="F15" i="3"/>
  <c r="AS15" i="3" s="1"/>
  <c r="I15" i="3"/>
  <c r="AV15" i="3" s="1"/>
  <c r="J15" i="3"/>
  <c r="AW15" i="3" s="1"/>
  <c r="B16" i="3"/>
  <c r="AN16" i="3" s="1"/>
  <c r="C16" i="3"/>
  <c r="AO16" i="3" s="1"/>
  <c r="D16" i="3"/>
  <c r="AP16" i="3" s="1"/>
  <c r="E16" i="3"/>
  <c r="AR16" i="3" s="1"/>
  <c r="F16" i="3"/>
  <c r="AS16" i="3" s="1"/>
  <c r="I16" i="3"/>
  <c r="AV16" i="3" s="1"/>
  <c r="J16" i="3"/>
  <c r="AW16" i="3" s="1"/>
  <c r="B17" i="3"/>
  <c r="AN17" i="3" s="1"/>
  <c r="C17" i="3"/>
  <c r="AO17" i="3" s="1"/>
  <c r="D17" i="3"/>
  <c r="AP17" i="3" s="1"/>
  <c r="E17" i="3"/>
  <c r="AR17" i="3" s="1"/>
  <c r="F17" i="3"/>
  <c r="AS17" i="3" s="1"/>
  <c r="I17" i="3"/>
  <c r="AV17" i="3" s="1"/>
  <c r="J17" i="3"/>
  <c r="AW17" i="3" s="1"/>
  <c r="B18" i="3"/>
  <c r="AN18" i="3" s="1"/>
  <c r="C18" i="3"/>
  <c r="AO18" i="3" s="1"/>
  <c r="D18" i="3"/>
  <c r="AP18" i="3" s="1"/>
  <c r="E18" i="3"/>
  <c r="AR18" i="3" s="1"/>
  <c r="F18" i="3"/>
  <c r="AS18" i="3" s="1"/>
  <c r="I18" i="3"/>
  <c r="AV18" i="3" s="1"/>
  <c r="J18" i="3"/>
  <c r="AW18" i="3" s="1"/>
  <c r="B19" i="3"/>
  <c r="AN19" i="3" s="1"/>
  <c r="C19" i="3"/>
  <c r="AO19" i="3" s="1"/>
  <c r="D19" i="3"/>
  <c r="AP19" i="3" s="1"/>
  <c r="E19" i="3"/>
  <c r="AR19" i="3" s="1"/>
  <c r="F19" i="3"/>
  <c r="AS19" i="3" s="1"/>
  <c r="I19" i="3"/>
  <c r="AV19" i="3" s="1"/>
  <c r="J19" i="3"/>
  <c r="AW19" i="3" s="1"/>
  <c r="B20" i="3"/>
  <c r="AN20" i="3" s="1"/>
  <c r="C20" i="3"/>
  <c r="AO20" i="3" s="1"/>
  <c r="D20" i="3"/>
  <c r="AP20" i="3" s="1"/>
  <c r="E20" i="3"/>
  <c r="AR20" i="3" s="1"/>
  <c r="F20" i="3"/>
  <c r="AS20" i="3" s="1"/>
  <c r="I20" i="3"/>
  <c r="AV20" i="3" s="1"/>
  <c r="J20" i="3"/>
  <c r="AW20" i="3" s="1"/>
  <c r="B21" i="3"/>
  <c r="AN21" i="3" s="1"/>
  <c r="C21" i="3"/>
  <c r="AO21" i="3" s="1"/>
  <c r="D21" i="3"/>
  <c r="AP21" i="3" s="1"/>
  <c r="E21" i="3"/>
  <c r="AR21" i="3" s="1"/>
  <c r="F21" i="3"/>
  <c r="AS21" i="3" s="1"/>
  <c r="I21" i="3"/>
  <c r="AV21" i="3" s="1"/>
  <c r="J21" i="3"/>
  <c r="AW21" i="3" s="1"/>
  <c r="B22" i="3"/>
  <c r="AN22" i="3" s="1"/>
  <c r="C22" i="3"/>
  <c r="AO22" i="3" s="1"/>
  <c r="D22" i="3"/>
  <c r="AP22" i="3" s="1"/>
  <c r="E22" i="3"/>
  <c r="AR22" i="3" s="1"/>
  <c r="F22" i="3"/>
  <c r="AS22" i="3" s="1"/>
  <c r="I22" i="3"/>
  <c r="AV22" i="3" s="1"/>
  <c r="J22" i="3"/>
  <c r="AW22" i="3" s="1"/>
  <c r="B23" i="3"/>
  <c r="AN23" i="3" s="1"/>
  <c r="C23" i="3"/>
  <c r="AO23" i="3" s="1"/>
  <c r="D23" i="3"/>
  <c r="AP23" i="3" s="1"/>
  <c r="E23" i="3"/>
  <c r="AR23" i="3" s="1"/>
  <c r="F23" i="3"/>
  <c r="AS23" i="3" s="1"/>
  <c r="I23" i="3"/>
  <c r="AV23" i="3" s="1"/>
  <c r="J23" i="3"/>
  <c r="AW23" i="3" s="1"/>
  <c r="B24" i="3"/>
  <c r="AN24" i="3" s="1"/>
  <c r="C24" i="3"/>
  <c r="AO24" i="3" s="1"/>
  <c r="D24" i="3"/>
  <c r="AP24" i="3" s="1"/>
  <c r="E24" i="3"/>
  <c r="AR24" i="3" s="1"/>
  <c r="F24" i="3"/>
  <c r="AS24" i="3" s="1"/>
  <c r="I24" i="3"/>
  <c r="AV24" i="3" s="1"/>
  <c r="J24" i="3"/>
  <c r="AW24" i="3" s="1"/>
  <c r="B25" i="3"/>
  <c r="AN25" i="3" s="1"/>
  <c r="C25" i="3"/>
  <c r="AO25" i="3" s="1"/>
  <c r="D25" i="3"/>
  <c r="AP25" i="3" s="1"/>
  <c r="E25" i="3"/>
  <c r="AR25" i="3" s="1"/>
  <c r="F25" i="3"/>
  <c r="AS25" i="3" s="1"/>
  <c r="I25" i="3"/>
  <c r="AV25" i="3" s="1"/>
  <c r="J25" i="3"/>
  <c r="AW25" i="3" s="1"/>
  <c r="B26" i="3"/>
  <c r="AN26" i="3" s="1"/>
  <c r="C26" i="3"/>
  <c r="AO26" i="3" s="1"/>
  <c r="D26" i="3"/>
  <c r="AP26" i="3" s="1"/>
  <c r="E26" i="3"/>
  <c r="AR26" i="3" s="1"/>
  <c r="F26" i="3"/>
  <c r="AS26" i="3" s="1"/>
  <c r="I26" i="3"/>
  <c r="AV26" i="3" s="1"/>
  <c r="J26" i="3"/>
  <c r="AW26" i="3" s="1"/>
  <c r="B27" i="3"/>
  <c r="AN27" i="3" s="1"/>
  <c r="C27" i="3"/>
  <c r="AO27" i="3" s="1"/>
  <c r="D27" i="3"/>
  <c r="AP27" i="3" s="1"/>
  <c r="E27" i="3"/>
  <c r="AR27" i="3" s="1"/>
  <c r="F27" i="3"/>
  <c r="AS27" i="3" s="1"/>
  <c r="I27" i="3"/>
  <c r="AV27" i="3" s="1"/>
  <c r="J27" i="3"/>
  <c r="AW27" i="3" s="1"/>
  <c r="B28" i="3"/>
  <c r="AN28" i="3" s="1"/>
  <c r="C28" i="3"/>
  <c r="AO28" i="3" s="1"/>
  <c r="D28" i="3"/>
  <c r="AP28" i="3" s="1"/>
  <c r="E28" i="3"/>
  <c r="AR28" i="3" s="1"/>
  <c r="F28" i="3"/>
  <c r="AS28" i="3" s="1"/>
  <c r="I28" i="3"/>
  <c r="AV28" i="3" s="1"/>
  <c r="J28" i="3"/>
  <c r="AW28" i="3" s="1"/>
  <c r="B29" i="3"/>
  <c r="AN29" i="3" s="1"/>
  <c r="C29" i="3"/>
  <c r="AO29" i="3" s="1"/>
  <c r="D29" i="3"/>
  <c r="AP29" i="3" s="1"/>
  <c r="E29" i="3"/>
  <c r="AR29" i="3" s="1"/>
  <c r="F29" i="3"/>
  <c r="AS29" i="3" s="1"/>
  <c r="I29" i="3"/>
  <c r="AV29" i="3" s="1"/>
  <c r="J29" i="3"/>
  <c r="AW29" i="3" s="1"/>
  <c r="B30" i="3"/>
  <c r="AN30" i="3" s="1"/>
  <c r="C30" i="3"/>
  <c r="AO30" i="3" s="1"/>
  <c r="D30" i="3"/>
  <c r="AP30" i="3" s="1"/>
  <c r="E30" i="3"/>
  <c r="AR30" i="3" s="1"/>
  <c r="F30" i="3"/>
  <c r="AS30" i="3" s="1"/>
  <c r="I30" i="3"/>
  <c r="AV30" i="3" s="1"/>
  <c r="J30" i="3"/>
  <c r="AW30" i="3" s="1"/>
  <c r="B31" i="3"/>
  <c r="AN31" i="3" s="1"/>
  <c r="C31" i="3"/>
  <c r="AO31" i="3" s="1"/>
  <c r="D31" i="3"/>
  <c r="AP31" i="3" s="1"/>
  <c r="E31" i="3"/>
  <c r="AR31" i="3" s="1"/>
  <c r="F31" i="3"/>
  <c r="AS31" i="3" s="1"/>
  <c r="I31" i="3"/>
  <c r="AV31" i="3" s="1"/>
  <c r="J31" i="3"/>
  <c r="AW31" i="3" s="1"/>
  <c r="B32" i="3"/>
  <c r="AN32" i="3" s="1"/>
  <c r="C32" i="3"/>
  <c r="AO32" i="3" s="1"/>
  <c r="D32" i="3"/>
  <c r="AP32" i="3" s="1"/>
  <c r="E32" i="3"/>
  <c r="AR32" i="3" s="1"/>
  <c r="F32" i="3"/>
  <c r="AS32" i="3" s="1"/>
  <c r="I32" i="3"/>
  <c r="AV32" i="3" s="1"/>
  <c r="J32" i="3"/>
  <c r="AW32" i="3" s="1"/>
  <c r="B33" i="3"/>
  <c r="AN33" i="3" s="1"/>
  <c r="C33" i="3"/>
  <c r="AO33" i="3" s="1"/>
  <c r="D33" i="3"/>
  <c r="AP33" i="3" s="1"/>
  <c r="E33" i="3"/>
  <c r="AR33" i="3" s="1"/>
  <c r="F33" i="3"/>
  <c r="AS33" i="3" s="1"/>
  <c r="I33" i="3"/>
  <c r="AV33" i="3" s="1"/>
  <c r="J33" i="3"/>
  <c r="AW33" i="3" s="1"/>
  <c r="B34" i="3"/>
  <c r="AN34" i="3" s="1"/>
  <c r="C34" i="3"/>
  <c r="AO34" i="3" s="1"/>
  <c r="D34" i="3"/>
  <c r="AP34" i="3" s="1"/>
  <c r="E34" i="3"/>
  <c r="AR34" i="3" s="1"/>
  <c r="F34" i="3"/>
  <c r="AS34" i="3" s="1"/>
  <c r="I34" i="3"/>
  <c r="AV34" i="3" s="1"/>
  <c r="J34" i="3"/>
  <c r="AW34" i="3" s="1"/>
  <c r="B35" i="3"/>
  <c r="AN35" i="3" s="1"/>
  <c r="C35" i="3"/>
  <c r="AO35" i="3" s="1"/>
  <c r="D35" i="3"/>
  <c r="AP35" i="3" s="1"/>
  <c r="E35" i="3"/>
  <c r="AR35" i="3" s="1"/>
  <c r="F35" i="3"/>
  <c r="AS35" i="3" s="1"/>
  <c r="I35" i="3"/>
  <c r="AV35" i="3" s="1"/>
  <c r="J35" i="3"/>
  <c r="AW35" i="3" s="1"/>
  <c r="B36" i="3"/>
  <c r="AN36" i="3" s="1"/>
  <c r="C36" i="3"/>
  <c r="AO36" i="3" s="1"/>
  <c r="D36" i="3"/>
  <c r="AP36" i="3" s="1"/>
  <c r="E36" i="3"/>
  <c r="AR36" i="3" s="1"/>
  <c r="F36" i="3"/>
  <c r="AS36" i="3" s="1"/>
  <c r="I36" i="3"/>
  <c r="AV36" i="3" s="1"/>
  <c r="J36" i="3"/>
  <c r="AW36" i="3" s="1"/>
  <c r="B37" i="3"/>
  <c r="AN37" i="3" s="1"/>
  <c r="C37" i="3"/>
  <c r="AO37" i="3" s="1"/>
  <c r="D37" i="3"/>
  <c r="AP37" i="3" s="1"/>
  <c r="E37" i="3"/>
  <c r="AR37" i="3" s="1"/>
  <c r="F37" i="3"/>
  <c r="AS37" i="3" s="1"/>
  <c r="I37" i="3"/>
  <c r="AV37" i="3" s="1"/>
  <c r="J37" i="3"/>
  <c r="AW37" i="3" s="1"/>
  <c r="B38" i="3"/>
  <c r="AN38" i="3" s="1"/>
  <c r="C38" i="3"/>
  <c r="AO38" i="3" s="1"/>
  <c r="D38" i="3"/>
  <c r="AP38" i="3" s="1"/>
  <c r="E38" i="3"/>
  <c r="AR38" i="3" s="1"/>
  <c r="F38" i="3"/>
  <c r="AS38" i="3" s="1"/>
  <c r="I38" i="3"/>
  <c r="AV38" i="3" s="1"/>
  <c r="J38" i="3"/>
  <c r="AW38" i="3" s="1"/>
  <c r="B39" i="3"/>
  <c r="AN39" i="3" s="1"/>
  <c r="C39" i="3"/>
  <c r="AO39" i="3" s="1"/>
  <c r="D39" i="3"/>
  <c r="AP39" i="3" s="1"/>
  <c r="E39" i="3"/>
  <c r="AR39" i="3" s="1"/>
  <c r="F39" i="3"/>
  <c r="AS39" i="3" s="1"/>
  <c r="I39" i="3"/>
  <c r="AV39" i="3" s="1"/>
  <c r="J39" i="3"/>
  <c r="AW39" i="3" s="1"/>
  <c r="B40" i="3"/>
  <c r="AN40" i="3" s="1"/>
  <c r="C40" i="3"/>
  <c r="AO40" i="3" s="1"/>
  <c r="D40" i="3"/>
  <c r="AP40" i="3" s="1"/>
  <c r="E40" i="3"/>
  <c r="AR40" i="3" s="1"/>
  <c r="F40" i="3"/>
  <c r="AS40" i="3" s="1"/>
  <c r="I40" i="3"/>
  <c r="AV40" i="3" s="1"/>
  <c r="J40" i="3"/>
  <c r="AW40" i="3" s="1"/>
  <c r="B41" i="3"/>
  <c r="AN41" i="3" s="1"/>
  <c r="C41" i="3"/>
  <c r="AO41" i="3" s="1"/>
  <c r="D41" i="3"/>
  <c r="AP41" i="3" s="1"/>
  <c r="E41" i="3"/>
  <c r="AR41" i="3" s="1"/>
  <c r="F41" i="3"/>
  <c r="AS41" i="3" s="1"/>
  <c r="I41" i="3"/>
  <c r="AV41" i="3" s="1"/>
  <c r="J41" i="3"/>
  <c r="AW41" i="3" s="1"/>
  <c r="B42" i="3"/>
  <c r="AN42" i="3" s="1"/>
  <c r="C42" i="3"/>
  <c r="AO42" i="3" s="1"/>
  <c r="D42" i="3"/>
  <c r="AP42" i="3" s="1"/>
  <c r="E42" i="3"/>
  <c r="AR42" i="3" s="1"/>
  <c r="F42" i="3"/>
  <c r="AS42" i="3" s="1"/>
  <c r="I42" i="3"/>
  <c r="AV42" i="3" s="1"/>
  <c r="J42" i="3"/>
  <c r="AW42" i="3" s="1"/>
  <c r="B43" i="3"/>
  <c r="AN43" i="3" s="1"/>
  <c r="C43" i="3"/>
  <c r="AO43" i="3" s="1"/>
  <c r="D43" i="3"/>
  <c r="AP43" i="3" s="1"/>
  <c r="E43" i="3"/>
  <c r="AR43" i="3" s="1"/>
  <c r="F43" i="3"/>
  <c r="AS43" i="3" s="1"/>
  <c r="I43" i="3"/>
  <c r="AV43" i="3" s="1"/>
  <c r="J43" i="3"/>
  <c r="AW43" i="3" s="1"/>
  <c r="B44" i="3"/>
  <c r="AN44" i="3" s="1"/>
  <c r="C44" i="3"/>
  <c r="AO44" i="3" s="1"/>
  <c r="D44" i="3"/>
  <c r="AP44" i="3" s="1"/>
  <c r="E44" i="3"/>
  <c r="AR44" i="3" s="1"/>
  <c r="F44" i="3"/>
  <c r="AS44" i="3" s="1"/>
  <c r="I44" i="3"/>
  <c r="AV44" i="3" s="1"/>
  <c r="J44" i="3"/>
  <c r="AW44" i="3" s="1"/>
  <c r="B45" i="3"/>
  <c r="AN45" i="3" s="1"/>
  <c r="C45" i="3"/>
  <c r="AO45" i="3" s="1"/>
  <c r="D45" i="3"/>
  <c r="AP45" i="3" s="1"/>
  <c r="E45" i="3"/>
  <c r="AR45" i="3" s="1"/>
  <c r="F45" i="3"/>
  <c r="AS45" i="3" s="1"/>
  <c r="I45" i="3"/>
  <c r="AV45" i="3" s="1"/>
  <c r="J45" i="3"/>
  <c r="AW45" i="3" s="1"/>
  <c r="B46" i="3"/>
  <c r="AN46" i="3" s="1"/>
  <c r="C46" i="3"/>
  <c r="AO46" i="3" s="1"/>
  <c r="D46" i="3"/>
  <c r="AP46" i="3" s="1"/>
  <c r="E46" i="3"/>
  <c r="AR46" i="3" s="1"/>
  <c r="F46" i="3"/>
  <c r="AS46" i="3" s="1"/>
  <c r="I46" i="3"/>
  <c r="AV46" i="3" s="1"/>
  <c r="J46" i="3"/>
  <c r="AW46" i="3" s="1"/>
  <c r="B47" i="3"/>
  <c r="AN47" i="3" s="1"/>
  <c r="C47" i="3"/>
  <c r="AO47" i="3" s="1"/>
  <c r="D47" i="3"/>
  <c r="AP47" i="3" s="1"/>
  <c r="E47" i="3"/>
  <c r="AR47" i="3" s="1"/>
  <c r="F47" i="3"/>
  <c r="AS47" i="3" s="1"/>
  <c r="I47" i="3"/>
  <c r="AV47" i="3" s="1"/>
  <c r="J47" i="3"/>
  <c r="AW47" i="3" s="1"/>
  <c r="B48" i="3"/>
  <c r="AN48" i="3" s="1"/>
  <c r="C48" i="3"/>
  <c r="AO48" i="3" s="1"/>
  <c r="D48" i="3"/>
  <c r="AP48" i="3" s="1"/>
  <c r="E48" i="3"/>
  <c r="AR48" i="3" s="1"/>
  <c r="F48" i="3"/>
  <c r="AS48" i="3" s="1"/>
  <c r="I48" i="3"/>
  <c r="AV48" i="3" s="1"/>
  <c r="J48" i="3"/>
  <c r="AW48" i="3" s="1"/>
  <c r="B49" i="3"/>
  <c r="AN49" i="3" s="1"/>
  <c r="C49" i="3"/>
  <c r="AO49" i="3" s="1"/>
  <c r="D49" i="3"/>
  <c r="AP49" i="3" s="1"/>
  <c r="E49" i="3"/>
  <c r="AR49" i="3" s="1"/>
  <c r="F49" i="3"/>
  <c r="AS49" i="3" s="1"/>
  <c r="I49" i="3"/>
  <c r="AV49" i="3" s="1"/>
  <c r="J49" i="3"/>
  <c r="AW49" i="3" s="1"/>
  <c r="B50" i="3"/>
  <c r="AN50" i="3" s="1"/>
  <c r="C50" i="3"/>
  <c r="AO50" i="3" s="1"/>
  <c r="D50" i="3"/>
  <c r="AP50" i="3" s="1"/>
  <c r="E50" i="3"/>
  <c r="AR50" i="3" s="1"/>
  <c r="F50" i="3"/>
  <c r="AS50" i="3" s="1"/>
  <c r="I50" i="3"/>
  <c r="AV50" i="3" s="1"/>
  <c r="J50" i="3"/>
  <c r="AW50" i="3" s="1"/>
  <c r="B51" i="3"/>
  <c r="AN51" i="3" s="1"/>
  <c r="C51" i="3"/>
  <c r="AO51" i="3" s="1"/>
  <c r="D51" i="3"/>
  <c r="AP51" i="3" s="1"/>
  <c r="E51" i="3"/>
  <c r="AR51" i="3" s="1"/>
  <c r="F51" i="3"/>
  <c r="AS51" i="3" s="1"/>
  <c r="I51" i="3"/>
  <c r="AV51" i="3" s="1"/>
  <c r="J51" i="3"/>
  <c r="AW51" i="3" s="1"/>
  <c r="B52" i="3"/>
  <c r="AN52" i="3" s="1"/>
  <c r="C52" i="3"/>
  <c r="AO52" i="3" s="1"/>
  <c r="D52" i="3"/>
  <c r="AP52" i="3" s="1"/>
  <c r="E52" i="3"/>
  <c r="AR52" i="3" s="1"/>
  <c r="F52" i="3"/>
  <c r="AS52" i="3" s="1"/>
  <c r="I52" i="3"/>
  <c r="AV52" i="3" s="1"/>
  <c r="J52" i="3"/>
  <c r="AW52" i="3" s="1"/>
  <c r="B53" i="3"/>
  <c r="AN53" i="3" s="1"/>
  <c r="C53" i="3"/>
  <c r="AO53" i="3" s="1"/>
  <c r="D53" i="3"/>
  <c r="AP53" i="3" s="1"/>
  <c r="E53" i="3"/>
  <c r="AR53" i="3" s="1"/>
  <c r="F53" i="3"/>
  <c r="AS53" i="3" s="1"/>
  <c r="I53" i="3"/>
  <c r="AV53" i="3" s="1"/>
  <c r="J53" i="3"/>
  <c r="AW53" i="3" s="1"/>
  <c r="B54" i="3"/>
  <c r="AN54" i="3" s="1"/>
  <c r="C54" i="3"/>
  <c r="AO54" i="3" s="1"/>
  <c r="D54" i="3"/>
  <c r="AP54" i="3" s="1"/>
  <c r="E54" i="3"/>
  <c r="AR54" i="3" s="1"/>
  <c r="F54" i="3"/>
  <c r="AS54" i="3" s="1"/>
  <c r="I54" i="3"/>
  <c r="AV54" i="3" s="1"/>
  <c r="J54" i="3"/>
  <c r="AW54" i="3" s="1"/>
  <c r="B55" i="3"/>
  <c r="AN55" i="3" s="1"/>
  <c r="C55" i="3"/>
  <c r="AO55" i="3" s="1"/>
  <c r="D55" i="3"/>
  <c r="AP55" i="3" s="1"/>
  <c r="E55" i="3"/>
  <c r="AR55" i="3" s="1"/>
  <c r="F55" i="3"/>
  <c r="AS55" i="3" s="1"/>
  <c r="I55" i="3"/>
  <c r="AV55" i="3" s="1"/>
  <c r="J55" i="3"/>
  <c r="AW55" i="3" s="1"/>
  <c r="B56" i="3"/>
  <c r="AN56" i="3" s="1"/>
  <c r="C56" i="3"/>
  <c r="AO56" i="3" s="1"/>
  <c r="D56" i="3"/>
  <c r="AP56" i="3" s="1"/>
  <c r="E56" i="3"/>
  <c r="AR56" i="3" s="1"/>
  <c r="F56" i="3"/>
  <c r="AS56" i="3" s="1"/>
  <c r="I56" i="3"/>
  <c r="AV56" i="3" s="1"/>
  <c r="J56" i="3"/>
  <c r="AW56" i="3" s="1"/>
  <c r="B57" i="3"/>
  <c r="AN57" i="3" s="1"/>
  <c r="C57" i="3"/>
  <c r="AO57" i="3" s="1"/>
  <c r="D57" i="3"/>
  <c r="AP57" i="3" s="1"/>
  <c r="E57" i="3"/>
  <c r="AR57" i="3" s="1"/>
  <c r="F57" i="3"/>
  <c r="AS57" i="3" s="1"/>
  <c r="I57" i="3"/>
  <c r="AV57" i="3" s="1"/>
  <c r="J57" i="3"/>
  <c r="AW57" i="3" s="1"/>
  <c r="B58" i="3"/>
  <c r="AN58" i="3" s="1"/>
  <c r="C58" i="3"/>
  <c r="AO58" i="3" s="1"/>
  <c r="D58" i="3"/>
  <c r="AP58" i="3" s="1"/>
  <c r="E58" i="3"/>
  <c r="AR58" i="3" s="1"/>
  <c r="F58" i="3"/>
  <c r="AS58" i="3" s="1"/>
  <c r="I58" i="3"/>
  <c r="AV58" i="3" s="1"/>
  <c r="J58" i="3"/>
  <c r="AW58" i="3" s="1"/>
  <c r="B59" i="3"/>
  <c r="AN59" i="3" s="1"/>
  <c r="C59" i="3"/>
  <c r="AO59" i="3" s="1"/>
  <c r="D59" i="3"/>
  <c r="AP59" i="3" s="1"/>
  <c r="E59" i="3"/>
  <c r="AR59" i="3" s="1"/>
  <c r="F59" i="3"/>
  <c r="AS59" i="3" s="1"/>
  <c r="I59" i="3"/>
  <c r="AV59" i="3" s="1"/>
  <c r="J59" i="3"/>
  <c r="AW59" i="3" s="1"/>
  <c r="B60" i="3"/>
  <c r="AN60" i="3" s="1"/>
  <c r="C60" i="3"/>
  <c r="AO60" i="3" s="1"/>
  <c r="D60" i="3"/>
  <c r="AP60" i="3" s="1"/>
  <c r="E60" i="3"/>
  <c r="AR60" i="3" s="1"/>
  <c r="F60" i="3"/>
  <c r="AS60" i="3" s="1"/>
  <c r="I60" i="3"/>
  <c r="AV60" i="3" s="1"/>
  <c r="J60" i="3"/>
  <c r="AW60" i="3" s="1"/>
  <c r="B61" i="3"/>
  <c r="AN61" i="3" s="1"/>
  <c r="C61" i="3"/>
  <c r="AO61" i="3" s="1"/>
  <c r="D61" i="3"/>
  <c r="AP61" i="3" s="1"/>
  <c r="E61" i="3"/>
  <c r="AR61" i="3" s="1"/>
  <c r="F61" i="3"/>
  <c r="AS61" i="3" s="1"/>
  <c r="I61" i="3"/>
  <c r="AV61" i="3" s="1"/>
  <c r="J61" i="3"/>
  <c r="AW61" i="3" s="1"/>
  <c r="B62" i="3"/>
  <c r="AN62" i="3" s="1"/>
  <c r="C62" i="3"/>
  <c r="AO62" i="3" s="1"/>
  <c r="D62" i="3"/>
  <c r="AP62" i="3" s="1"/>
  <c r="E62" i="3"/>
  <c r="AR62" i="3" s="1"/>
  <c r="F62" i="3"/>
  <c r="AS62" i="3" s="1"/>
  <c r="I62" i="3"/>
  <c r="AV62" i="3" s="1"/>
  <c r="J62" i="3"/>
  <c r="AW62" i="3" s="1"/>
  <c r="B63" i="3"/>
  <c r="AN63" i="3" s="1"/>
  <c r="C63" i="3"/>
  <c r="AO63" i="3" s="1"/>
  <c r="D63" i="3"/>
  <c r="AP63" i="3" s="1"/>
  <c r="E63" i="3"/>
  <c r="AR63" i="3" s="1"/>
  <c r="F63" i="3"/>
  <c r="AS63" i="3" s="1"/>
  <c r="I63" i="3"/>
  <c r="AV63" i="3" s="1"/>
  <c r="J63" i="3"/>
  <c r="AW63" i="3" s="1"/>
  <c r="B64" i="3"/>
  <c r="AN64" i="3" s="1"/>
  <c r="C64" i="3"/>
  <c r="AO64" i="3" s="1"/>
  <c r="D64" i="3"/>
  <c r="AP64" i="3" s="1"/>
  <c r="E64" i="3"/>
  <c r="AR64" i="3" s="1"/>
  <c r="F64" i="3"/>
  <c r="AS64" i="3" s="1"/>
  <c r="I64" i="3"/>
  <c r="AV64" i="3" s="1"/>
  <c r="J64" i="3"/>
  <c r="AW64" i="3" s="1"/>
  <c r="B65" i="3"/>
  <c r="AN65" i="3" s="1"/>
  <c r="C65" i="3"/>
  <c r="AO65" i="3" s="1"/>
  <c r="D65" i="3"/>
  <c r="AP65" i="3" s="1"/>
  <c r="E65" i="3"/>
  <c r="AR65" i="3" s="1"/>
  <c r="F65" i="3"/>
  <c r="AS65" i="3" s="1"/>
  <c r="I65" i="3"/>
  <c r="AV65" i="3" s="1"/>
  <c r="J65" i="3"/>
  <c r="AW65" i="3" s="1"/>
  <c r="B66" i="3"/>
  <c r="AN66" i="3" s="1"/>
  <c r="C66" i="3"/>
  <c r="AO66" i="3" s="1"/>
  <c r="D66" i="3"/>
  <c r="AP66" i="3" s="1"/>
  <c r="E66" i="3"/>
  <c r="AR66" i="3" s="1"/>
  <c r="F66" i="3"/>
  <c r="AS66" i="3" s="1"/>
  <c r="I66" i="3"/>
  <c r="AV66" i="3" s="1"/>
  <c r="J66" i="3"/>
  <c r="AW66" i="3" s="1"/>
  <c r="B67" i="3"/>
  <c r="AN67" i="3" s="1"/>
  <c r="C67" i="3"/>
  <c r="AO67" i="3" s="1"/>
  <c r="D67" i="3"/>
  <c r="AP67" i="3" s="1"/>
  <c r="E67" i="3"/>
  <c r="AR67" i="3" s="1"/>
  <c r="F67" i="3"/>
  <c r="AS67" i="3" s="1"/>
  <c r="I67" i="3"/>
  <c r="AV67" i="3" s="1"/>
  <c r="J67" i="3"/>
  <c r="AW67" i="3" s="1"/>
  <c r="B68" i="3"/>
  <c r="AN68" i="3" s="1"/>
  <c r="C68" i="3"/>
  <c r="AO68" i="3" s="1"/>
  <c r="D68" i="3"/>
  <c r="AP68" i="3" s="1"/>
  <c r="E68" i="3"/>
  <c r="AR68" i="3" s="1"/>
  <c r="F68" i="3"/>
  <c r="AS68" i="3" s="1"/>
  <c r="I68" i="3"/>
  <c r="AV68" i="3" s="1"/>
  <c r="J68" i="3"/>
  <c r="AW68" i="3" s="1"/>
  <c r="B69" i="3"/>
  <c r="AN69" i="3" s="1"/>
  <c r="C69" i="3"/>
  <c r="AO69" i="3" s="1"/>
  <c r="D69" i="3"/>
  <c r="AP69" i="3" s="1"/>
  <c r="E69" i="3"/>
  <c r="AR69" i="3" s="1"/>
  <c r="F69" i="3"/>
  <c r="AS69" i="3" s="1"/>
  <c r="I69" i="3"/>
  <c r="AV69" i="3" s="1"/>
  <c r="J69" i="3"/>
  <c r="AW69" i="3" s="1"/>
  <c r="B70" i="3"/>
  <c r="AN70" i="3" s="1"/>
  <c r="C70" i="3"/>
  <c r="AO70" i="3" s="1"/>
  <c r="D70" i="3"/>
  <c r="AP70" i="3" s="1"/>
  <c r="E70" i="3"/>
  <c r="AR70" i="3" s="1"/>
  <c r="F70" i="3"/>
  <c r="AS70" i="3" s="1"/>
  <c r="I70" i="3"/>
  <c r="AV70" i="3" s="1"/>
  <c r="J70" i="3"/>
  <c r="AW70" i="3" s="1"/>
  <c r="B71" i="3"/>
  <c r="AN71" i="3" s="1"/>
  <c r="C71" i="3"/>
  <c r="AO71" i="3" s="1"/>
  <c r="D71" i="3"/>
  <c r="AP71" i="3" s="1"/>
  <c r="E71" i="3"/>
  <c r="AR71" i="3" s="1"/>
  <c r="F71" i="3"/>
  <c r="AS71" i="3" s="1"/>
  <c r="I71" i="3"/>
  <c r="AV71" i="3" s="1"/>
  <c r="J71" i="3"/>
  <c r="AW71" i="3" s="1"/>
  <c r="B72" i="3"/>
  <c r="AN72" i="3" s="1"/>
  <c r="C72" i="3"/>
  <c r="AO72" i="3" s="1"/>
  <c r="D72" i="3"/>
  <c r="AP72" i="3" s="1"/>
  <c r="E72" i="3"/>
  <c r="AR72" i="3" s="1"/>
  <c r="F72" i="3"/>
  <c r="AS72" i="3" s="1"/>
  <c r="I72" i="3"/>
  <c r="AV72" i="3" s="1"/>
  <c r="J72" i="3"/>
  <c r="AW72" i="3" s="1"/>
  <c r="B73" i="3"/>
  <c r="AN73" i="3" s="1"/>
  <c r="C73" i="3"/>
  <c r="AO73" i="3" s="1"/>
  <c r="D73" i="3"/>
  <c r="AP73" i="3" s="1"/>
  <c r="E73" i="3"/>
  <c r="AR73" i="3" s="1"/>
  <c r="F73" i="3"/>
  <c r="AS73" i="3" s="1"/>
  <c r="I73" i="3"/>
  <c r="AV73" i="3" s="1"/>
  <c r="J73" i="3"/>
  <c r="AW73" i="3" s="1"/>
  <c r="B74" i="3"/>
  <c r="AN74" i="3" s="1"/>
  <c r="C74" i="3"/>
  <c r="AO74" i="3" s="1"/>
  <c r="D74" i="3"/>
  <c r="AP74" i="3" s="1"/>
  <c r="E74" i="3"/>
  <c r="AR74" i="3" s="1"/>
  <c r="F74" i="3"/>
  <c r="AS74" i="3" s="1"/>
  <c r="I74" i="3"/>
  <c r="AV74" i="3" s="1"/>
  <c r="J74" i="3"/>
  <c r="AW74" i="3" s="1"/>
  <c r="B75" i="3"/>
  <c r="AN75" i="3" s="1"/>
  <c r="C75" i="3"/>
  <c r="AO75" i="3" s="1"/>
  <c r="D75" i="3"/>
  <c r="AP75" i="3" s="1"/>
  <c r="E75" i="3"/>
  <c r="AR75" i="3" s="1"/>
  <c r="F75" i="3"/>
  <c r="AS75" i="3" s="1"/>
  <c r="I75" i="3"/>
  <c r="AV75" i="3" s="1"/>
  <c r="J75" i="3"/>
  <c r="AW75" i="3" s="1"/>
  <c r="B76" i="3"/>
  <c r="AN76" i="3" s="1"/>
  <c r="C76" i="3"/>
  <c r="AO76" i="3" s="1"/>
  <c r="D76" i="3"/>
  <c r="AP76" i="3" s="1"/>
  <c r="E76" i="3"/>
  <c r="AR76" i="3" s="1"/>
  <c r="F76" i="3"/>
  <c r="AS76" i="3" s="1"/>
  <c r="I76" i="3"/>
  <c r="AV76" i="3" s="1"/>
  <c r="J76" i="3"/>
  <c r="AW76" i="3" s="1"/>
  <c r="B77" i="3"/>
  <c r="AN77" i="3" s="1"/>
  <c r="C77" i="3"/>
  <c r="AO77" i="3" s="1"/>
  <c r="D77" i="3"/>
  <c r="AP77" i="3" s="1"/>
  <c r="E77" i="3"/>
  <c r="AR77" i="3" s="1"/>
  <c r="F77" i="3"/>
  <c r="AS77" i="3" s="1"/>
  <c r="I77" i="3"/>
  <c r="AV77" i="3" s="1"/>
  <c r="J77" i="3"/>
  <c r="AW77" i="3" s="1"/>
  <c r="B78" i="3"/>
  <c r="AN78" i="3" s="1"/>
  <c r="C78" i="3"/>
  <c r="AO78" i="3" s="1"/>
  <c r="D78" i="3"/>
  <c r="AP78" i="3" s="1"/>
  <c r="E78" i="3"/>
  <c r="AR78" i="3" s="1"/>
  <c r="F78" i="3"/>
  <c r="AS78" i="3" s="1"/>
  <c r="I78" i="3"/>
  <c r="AV78" i="3" s="1"/>
  <c r="J78" i="3"/>
  <c r="AW78" i="3" s="1"/>
  <c r="B79" i="3"/>
  <c r="AN79" i="3" s="1"/>
  <c r="C79" i="3"/>
  <c r="AO79" i="3" s="1"/>
  <c r="D79" i="3"/>
  <c r="AP79" i="3" s="1"/>
  <c r="E79" i="3"/>
  <c r="AR79" i="3" s="1"/>
  <c r="F79" i="3"/>
  <c r="AS79" i="3" s="1"/>
  <c r="I79" i="3"/>
  <c r="AV79" i="3" s="1"/>
  <c r="J79" i="3"/>
  <c r="AW79" i="3" s="1"/>
  <c r="B80" i="3"/>
  <c r="AN80" i="3" s="1"/>
  <c r="C80" i="3"/>
  <c r="AO80" i="3" s="1"/>
  <c r="D80" i="3"/>
  <c r="AP80" i="3" s="1"/>
  <c r="E80" i="3"/>
  <c r="AR80" i="3" s="1"/>
  <c r="F80" i="3"/>
  <c r="AS80" i="3" s="1"/>
  <c r="I80" i="3"/>
  <c r="AV80" i="3" s="1"/>
  <c r="J80" i="3"/>
  <c r="AW80" i="3" s="1"/>
  <c r="B81" i="3"/>
  <c r="AN81" i="3" s="1"/>
  <c r="C81" i="3"/>
  <c r="AO81" i="3" s="1"/>
  <c r="D81" i="3"/>
  <c r="AP81" i="3" s="1"/>
  <c r="E81" i="3"/>
  <c r="AR81" i="3" s="1"/>
  <c r="F81" i="3"/>
  <c r="AS81" i="3" s="1"/>
  <c r="I81" i="3"/>
  <c r="AV81" i="3" s="1"/>
  <c r="J81" i="3"/>
  <c r="AW81" i="3" s="1"/>
  <c r="B82" i="3"/>
  <c r="AN82" i="3" s="1"/>
  <c r="C82" i="3"/>
  <c r="AO82" i="3" s="1"/>
  <c r="D82" i="3"/>
  <c r="AP82" i="3" s="1"/>
  <c r="E82" i="3"/>
  <c r="AR82" i="3" s="1"/>
  <c r="F82" i="3"/>
  <c r="AS82" i="3" s="1"/>
  <c r="I82" i="3"/>
  <c r="AV82" i="3" s="1"/>
  <c r="J82" i="3"/>
  <c r="AW82" i="3" s="1"/>
  <c r="B83" i="3"/>
  <c r="AN83" i="3" s="1"/>
  <c r="C83" i="3"/>
  <c r="AO83" i="3" s="1"/>
  <c r="D83" i="3"/>
  <c r="AP83" i="3" s="1"/>
  <c r="E83" i="3"/>
  <c r="AR83" i="3" s="1"/>
  <c r="F83" i="3"/>
  <c r="AS83" i="3" s="1"/>
  <c r="I83" i="3"/>
  <c r="AV83" i="3" s="1"/>
  <c r="J83" i="3"/>
  <c r="AW83" i="3" s="1"/>
  <c r="B84" i="3"/>
  <c r="AN84" i="3" s="1"/>
  <c r="C84" i="3"/>
  <c r="AO84" i="3" s="1"/>
  <c r="D84" i="3"/>
  <c r="AP84" i="3" s="1"/>
  <c r="E84" i="3"/>
  <c r="AR84" i="3" s="1"/>
  <c r="F84" i="3"/>
  <c r="AS84" i="3" s="1"/>
  <c r="I84" i="3"/>
  <c r="AV84" i="3" s="1"/>
  <c r="J84" i="3"/>
  <c r="AW84" i="3" s="1"/>
  <c r="B85" i="3"/>
  <c r="AN85" i="3" s="1"/>
  <c r="C85" i="3"/>
  <c r="AO85" i="3" s="1"/>
  <c r="D85" i="3"/>
  <c r="AP85" i="3" s="1"/>
  <c r="E85" i="3"/>
  <c r="AR85" i="3" s="1"/>
  <c r="F85" i="3"/>
  <c r="AS85" i="3" s="1"/>
  <c r="I85" i="3"/>
  <c r="AV85" i="3" s="1"/>
  <c r="J85" i="3"/>
  <c r="AW85" i="3" s="1"/>
  <c r="B86" i="3"/>
  <c r="AN86" i="3" s="1"/>
  <c r="C86" i="3"/>
  <c r="AO86" i="3" s="1"/>
  <c r="D86" i="3"/>
  <c r="AP86" i="3" s="1"/>
  <c r="E86" i="3"/>
  <c r="AR86" i="3" s="1"/>
  <c r="F86" i="3"/>
  <c r="AS86" i="3" s="1"/>
  <c r="I86" i="3"/>
  <c r="AV86" i="3" s="1"/>
  <c r="J86" i="3"/>
  <c r="AW86" i="3" s="1"/>
  <c r="B87" i="3"/>
  <c r="AN87" i="3" s="1"/>
  <c r="C87" i="3"/>
  <c r="AO87" i="3" s="1"/>
  <c r="D87" i="3"/>
  <c r="AP87" i="3" s="1"/>
  <c r="E87" i="3"/>
  <c r="AR87" i="3" s="1"/>
  <c r="F87" i="3"/>
  <c r="AS87" i="3" s="1"/>
  <c r="I87" i="3"/>
  <c r="AV87" i="3" s="1"/>
  <c r="J87" i="3"/>
  <c r="AW87" i="3" s="1"/>
  <c r="B88" i="3"/>
  <c r="AN88" i="3" s="1"/>
  <c r="C88" i="3"/>
  <c r="AO88" i="3" s="1"/>
  <c r="D88" i="3"/>
  <c r="AP88" i="3" s="1"/>
  <c r="E88" i="3"/>
  <c r="AR88" i="3" s="1"/>
  <c r="F88" i="3"/>
  <c r="AS88" i="3" s="1"/>
  <c r="I88" i="3"/>
  <c r="AV88" i="3" s="1"/>
  <c r="J88" i="3"/>
  <c r="AW88" i="3" s="1"/>
  <c r="B89" i="3"/>
  <c r="AN89" i="3" s="1"/>
  <c r="C89" i="3"/>
  <c r="AO89" i="3" s="1"/>
  <c r="D89" i="3"/>
  <c r="AP89" i="3" s="1"/>
  <c r="E89" i="3"/>
  <c r="AR89" i="3" s="1"/>
  <c r="F89" i="3"/>
  <c r="AS89" i="3" s="1"/>
  <c r="I89" i="3"/>
  <c r="AV89" i="3" s="1"/>
  <c r="J89" i="3"/>
  <c r="AW89" i="3" s="1"/>
  <c r="B90" i="3"/>
  <c r="AN90" i="3" s="1"/>
  <c r="C90" i="3"/>
  <c r="AO90" i="3" s="1"/>
  <c r="D90" i="3"/>
  <c r="AP90" i="3" s="1"/>
  <c r="E90" i="3"/>
  <c r="AR90" i="3" s="1"/>
  <c r="F90" i="3"/>
  <c r="AS90" i="3" s="1"/>
  <c r="I90" i="3"/>
  <c r="AV90" i="3" s="1"/>
  <c r="J90" i="3"/>
  <c r="AW90" i="3" s="1"/>
  <c r="B91" i="3"/>
  <c r="AN91" i="3" s="1"/>
  <c r="C91" i="3"/>
  <c r="AO91" i="3" s="1"/>
  <c r="D91" i="3"/>
  <c r="AP91" i="3" s="1"/>
  <c r="E91" i="3"/>
  <c r="AR91" i="3" s="1"/>
  <c r="F91" i="3"/>
  <c r="AS91" i="3" s="1"/>
  <c r="I91" i="3"/>
  <c r="AV91" i="3" s="1"/>
  <c r="J91" i="3"/>
  <c r="AW91" i="3" s="1"/>
  <c r="B92" i="3"/>
  <c r="AN92" i="3" s="1"/>
  <c r="C92" i="3"/>
  <c r="AO92" i="3" s="1"/>
  <c r="D92" i="3"/>
  <c r="AP92" i="3" s="1"/>
  <c r="E92" i="3"/>
  <c r="AR92" i="3" s="1"/>
  <c r="F92" i="3"/>
  <c r="AS92" i="3" s="1"/>
  <c r="I92" i="3"/>
  <c r="AV92" i="3" s="1"/>
  <c r="J92" i="3"/>
  <c r="AW92" i="3" s="1"/>
  <c r="B93" i="3"/>
  <c r="AN93" i="3" s="1"/>
  <c r="C93" i="3"/>
  <c r="AO93" i="3" s="1"/>
  <c r="D93" i="3"/>
  <c r="AP93" i="3" s="1"/>
  <c r="E93" i="3"/>
  <c r="AR93" i="3" s="1"/>
  <c r="F93" i="3"/>
  <c r="AS93" i="3" s="1"/>
  <c r="I93" i="3"/>
  <c r="AV93" i="3" s="1"/>
  <c r="J93" i="3"/>
  <c r="AW93" i="3" s="1"/>
  <c r="B94" i="3"/>
  <c r="AN94" i="3" s="1"/>
  <c r="C94" i="3"/>
  <c r="AO94" i="3" s="1"/>
  <c r="D94" i="3"/>
  <c r="AP94" i="3" s="1"/>
  <c r="E94" i="3"/>
  <c r="AR94" i="3" s="1"/>
  <c r="F94" i="3"/>
  <c r="AS94" i="3" s="1"/>
  <c r="I94" i="3"/>
  <c r="AV94" i="3" s="1"/>
  <c r="J94" i="3"/>
  <c r="AW94" i="3" s="1"/>
  <c r="B95" i="3"/>
  <c r="AN95" i="3" s="1"/>
  <c r="C95" i="3"/>
  <c r="AO95" i="3" s="1"/>
  <c r="D95" i="3"/>
  <c r="AP95" i="3" s="1"/>
  <c r="E95" i="3"/>
  <c r="AR95" i="3" s="1"/>
  <c r="F95" i="3"/>
  <c r="AS95" i="3" s="1"/>
  <c r="I95" i="3"/>
  <c r="AV95" i="3" s="1"/>
  <c r="J95" i="3"/>
  <c r="AW95" i="3" s="1"/>
  <c r="B96" i="3"/>
  <c r="AN96" i="3" s="1"/>
  <c r="C96" i="3"/>
  <c r="AO96" i="3" s="1"/>
  <c r="D96" i="3"/>
  <c r="AP96" i="3" s="1"/>
  <c r="E96" i="3"/>
  <c r="AR96" i="3" s="1"/>
  <c r="F96" i="3"/>
  <c r="AS96" i="3" s="1"/>
  <c r="I96" i="3"/>
  <c r="AV96" i="3" s="1"/>
  <c r="J96" i="3"/>
  <c r="AW96" i="3" s="1"/>
  <c r="B97" i="3"/>
  <c r="AN97" i="3" s="1"/>
  <c r="C97" i="3"/>
  <c r="AO97" i="3" s="1"/>
  <c r="D97" i="3"/>
  <c r="AP97" i="3" s="1"/>
  <c r="E97" i="3"/>
  <c r="AR97" i="3" s="1"/>
  <c r="F97" i="3"/>
  <c r="AS97" i="3" s="1"/>
  <c r="I97" i="3"/>
  <c r="AV97" i="3" s="1"/>
  <c r="J97" i="3"/>
  <c r="AW97" i="3" s="1"/>
  <c r="B98" i="3"/>
  <c r="AN98" i="3" s="1"/>
  <c r="C98" i="3"/>
  <c r="AO98" i="3" s="1"/>
  <c r="D98" i="3"/>
  <c r="AP98" i="3" s="1"/>
  <c r="E98" i="3"/>
  <c r="AR98" i="3" s="1"/>
  <c r="F98" i="3"/>
  <c r="AS98" i="3" s="1"/>
  <c r="I98" i="3"/>
  <c r="AV98" i="3" s="1"/>
  <c r="J98" i="3"/>
  <c r="AW98" i="3" s="1"/>
  <c r="B99" i="3"/>
  <c r="AN99" i="3" s="1"/>
  <c r="C99" i="3"/>
  <c r="AO99" i="3" s="1"/>
  <c r="D99" i="3"/>
  <c r="AP99" i="3" s="1"/>
  <c r="E99" i="3"/>
  <c r="AR99" i="3" s="1"/>
  <c r="F99" i="3"/>
  <c r="AS99" i="3" s="1"/>
  <c r="I99" i="3"/>
  <c r="AV99" i="3" s="1"/>
  <c r="J99" i="3"/>
  <c r="AW99" i="3" s="1"/>
  <c r="B100" i="3"/>
  <c r="AN100" i="3" s="1"/>
  <c r="C100" i="3"/>
  <c r="AO100" i="3" s="1"/>
  <c r="D100" i="3"/>
  <c r="AP100" i="3" s="1"/>
  <c r="E100" i="3"/>
  <c r="AR100" i="3" s="1"/>
  <c r="F100" i="3"/>
  <c r="AS100" i="3" s="1"/>
  <c r="I100" i="3"/>
  <c r="AV100" i="3" s="1"/>
  <c r="J100" i="3"/>
  <c r="AW100" i="3" s="1"/>
  <c r="B101" i="3"/>
  <c r="AN101" i="3" s="1"/>
  <c r="C101" i="3"/>
  <c r="AO101" i="3" s="1"/>
  <c r="D101" i="3"/>
  <c r="AP101" i="3" s="1"/>
  <c r="E101" i="3"/>
  <c r="AR101" i="3" s="1"/>
  <c r="F101" i="3"/>
  <c r="AS101" i="3" s="1"/>
  <c r="I101" i="3"/>
  <c r="AV101" i="3" s="1"/>
  <c r="J101" i="3"/>
  <c r="AW101" i="3" s="1"/>
  <c r="B102" i="3"/>
  <c r="AN102" i="3" s="1"/>
  <c r="C102" i="3"/>
  <c r="AO102" i="3" s="1"/>
  <c r="D102" i="3"/>
  <c r="AP102" i="3" s="1"/>
  <c r="E102" i="3"/>
  <c r="AR102" i="3" s="1"/>
  <c r="F102" i="3"/>
  <c r="AS102" i="3" s="1"/>
  <c r="I102" i="3"/>
  <c r="AV102" i="3" s="1"/>
  <c r="J102" i="3"/>
  <c r="AW102" i="3" s="1"/>
  <c r="B103" i="3"/>
  <c r="AN103" i="3" s="1"/>
  <c r="C103" i="3"/>
  <c r="AO103" i="3" s="1"/>
  <c r="D103" i="3"/>
  <c r="AP103" i="3" s="1"/>
  <c r="E103" i="3"/>
  <c r="AR103" i="3" s="1"/>
  <c r="F103" i="3"/>
  <c r="AS103" i="3" s="1"/>
  <c r="I103" i="3"/>
  <c r="AV103" i="3" s="1"/>
  <c r="J103" i="3"/>
  <c r="AW103" i="3" s="1"/>
  <c r="B104" i="3"/>
  <c r="AN104" i="3" s="1"/>
  <c r="C104" i="3"/>
  <c r="AO104" i="3" s="1"/>
  <c r="D104" i="3"/>
  <c r="AP104" i="3" s="1"/>
  <c r="E104" i="3"/>
  <c r="AR104" i="3" s="1"/>
  <c r="F104" i="3"/>
  <c r="AS104" i="3" s="1"/>
  <c r="I104" i="3"/>
  <c r="AV104" i="3" s="1"/>
  <c r="J104" i="3"/>
  <c r="AW104" i="3" s="1"/>
  <c r="B105" i="3"/>
  <c r="AN105" i="3" s="1"/>
  <c r="C105" i="3"/>
  <c r="AO105" i="3" s="1"/>
  <c r="D105" i="3"/>
  <c r="AP105" i="3" s="1"/>
  <c r="E105" i="3"/>
  <c r="AR105" i="3" s="1"/>
  <c r="F105" i="3"/>
  <c r="AS105" i="3" s="1"/>
  <c r="I105" i="3"/>
  <c r="AV105" i="3" s="1"/>
  <c r="J105" i="3"/>
  <c r="AW105" i="3" s="1"/>
  <c r="B106" i="3"/>
  <c r="AN106" i="3" s="1"/>
  <c r="C106" i="3"/>
  <c r="AO106" i="3" s="1"/>
  <c r="D106" i="3"/>
  <c r="AP106" i="3" s="1"/>
  <c r="E106" i="3"/>
  <c r="AR106" i="3" s="1"/>
  <c r="F106" i="3"/>
  <c r="AS106" i="3" s="1"/>
  <c r="I106" i="3"/>
  <c r="AV106" i="3" s="1"/>
  <c r="J106" i="3"/>
  <c r="AW106" i="3" s="1"/>
  <c r="B107" i="3"/>
  <c r="AN107" i="3" s="1"/>
  <c r="C107" i="3"/>
  <c r="AO107" i="3" s="1"/>
  <c r="D107" i="3"/>
  <c r="AP107" i="3" s="1"/>
  <c r="E107" i="3"/>
  <c r="AR107" i="3" s="1"/>
  <c r="F107" i="3"/>
  <c r="AS107" i="3" s="1"/>
  <c r="I107" i="3"/>
  <c r="AV107" i="3" s="1"/>
  <c r="J107" i="3"/>
  <c r="AW107" i="3" s="1"/>
  <c r="B108" i="3"/>
  <c r="AN108" i="3" s="1"/>
  <c r="C108" i="3"/>
  <c r="AO108" i="3" s="1"/>
  <c r="D108" i="3"/>
  <c r="AP108" i="3" s="1"/>
  <c r="E108" i="3"/>
  <c r="AR108" i="3" s="1"/>
  <c r="F108" i="3"/>
  <c r="AS108" i="3" s="1"/>
  <c r="I108" i="3"/>
  <c r="AV108" i="3" s="1"/>
  <c r="J108" i="3"/>
  <c r="AW108" i="3" s="1"/>
  <c r="B109" i="3"/>
  <c r="AN109" i="3" s="1"/>
  <c r="C109" i="3"/>
  <c r="AO109" i="3" s="1"/>
  <c r="D109" i="3"/>
  <c r="AP109" i="3" s="1"/>
  <c r="E109" i="3"/>
  <c r="AR109" i="3" s="1"/>
  <c r="F109" i="3"/>
  <c r="AS109" i="3" s="1"/>
  <c r="I109" i="3"/>
  <c r="AV109" i="3" s="1"/>
  <c r="J109" i="3"/>
  <c r="AW109" i="3" s="1"/>
  <c r="B110" i="3"/>
  <c r="AN110" i="3" s="1"/>
  <c r="C110" i="3"/>
  <c r="AO110" i="3" s="1"/>
  <c r="D110" i="3"/>
  <c r="AP110" i="3" s="1"/>
  <c r="E110" i="3"/>
  <c r="AR110" i="3" s="1"/>
  <c r="F110" i="3"/>
  <c r="AS110" i="3" s="1"/>
  <c r="I110" i="3"/>
  <c r="AV110" i="3" s="1"/>
  <c r="J110" i="3"/>
  <c r="AW110" i="3" s="1"/>
  <c r="B111" i="3"/>
  <c r="AN111" i="3" s="1"/>
  <c r="C111" i="3"/>
  <c r="AO111" i="3" s="1"/>
  <c r="D111" i="3"/>
  <c r="AP111" i="3" s="1"/>
  <c r="E111" i="3"/>
  <c r="AR111" i="3" s="1"/>
  <c r="F111" i="3"/>
  <c r="AS111" i="3" s="1"/>
  <c r="I111" i="3"/>
  <c r="AV111" i="3" s="1"/>
  <c r="J111" i="3"/>
  <c r="AW111" i="3" s="1"/>
  <c r="B112" i="3"/>
  <c r="AN112" i="3" s="1"/>
  <c r="C112" i="3"/>
  <c r="AO112" i="3" s="1"/>
  <c r="D112" i="3"/>
  <c r="AP112" i="3" s="1"/>
  <c r="E112" i="3"/>
  <c r="AR112" i="3" s="1"/>
  <c r="F112" i="3"/>
  <c r="AS112" i="3" s="1"/>
  <c r="I112" i="3"/>
  <c r="AV112" i="3" s="1"/>
  <c r="J112" i="3"/>
  <c r="AW112" i="3" s="1"/>
  <c r="B113" i="3"/>
  <c r="AN113" i="3" s="1"/>
  <c r="C113" i="3"/>
  <c r="AO113" i="3" s="1"/>
  <c r="D113" i="3"/>
  <c r="AP113" i="3" s="1"/>
  <c r="E113" i="3"/>
  <c r="AR113" i="3" s="1"/>
  <c r="F113" i="3"/>
  <c r="AS113" i="3" s="1"/>
  <c r="I113" i="3"/>
  <c r="AV113" i="3" s="1"/>
  <c r="J113" i="3"/>
  <c r="AW113" i="3" s="1"/>
  <c r="B114" i="3"/>
  <c r="AN114" i="3" s="1"/>
  <c r="C114" i="3"/>
  <c r="AO114" i="3" s="1"/>
  <c r="D114" i="3"/>
  <c r="AP114" i="3" s="1"/>
  <c r="E114" i="3"/>
  <c r="AR114" i="3" s="1"/>
  <c r="F114" i="3"/>
  <c r="AS114" i="3" s="1"/>
  <c r="I114" i="3"/>
  <c r="AV114" i="3" s="1"/>
  <c r="J114" i="3"/>
  <c r="AW114" i="3" s="1"/>
  <c r="B115" i="3"/>
  <c r="AN115" i="3" s="1"/>
  <c r="C115" i="3"/>
  <c r="AO115" i="3" s="1"/>
  <c r="D115" i="3"/>
  <c r="AP115" i="3" s="1"/>
  <c r="E115" i="3"/>
  <c r="AR115" i="3" s="1"/>
  <c r="F115" i="3"/>
  <c r="AS115" i="3" s="1"/>
  <c r="I115" i="3"/>
  <c r="AV115" i="3" s="1"/>
  <c r="J115" i="3"/>
  <c r="AW115" i="3" s="1"/>
  <c r="B116" i="3"/>
  <c r="AN116" i="3" s="1"/>
  <c r="C116" i="3"/>
  <c r="AO116" i="3" s="1"/>
  <c r="D116" i="3"/>
  <c r="AP116" i="3" s="1"/>
  <c r="E116" i="3"/>
  <c r="AR116" i="3" s="1"/>
  <c r="F116" i="3"/>
  <c r="AS116" i="3" s="1"/>
  <c r="I116" i="3"/>
  <c r="AV116" i="3" s="1"/>
  <c r="J116" i="3"/>
  <c r="AW116" i="3" s="1"/>
  <c r="B117" i="3"/>
  <c r="AN117" i="3" s="1"/>
  <c r="C117" i="3"/>
  <c r="AO117" i="3" s="1"/>
  <c r="D117" i="3"/>
  <c r="AP117" i="3" s="1"/>
  <c r="E117" i="3"/>
  <c r="AR117" i="3" s="1"/>
  <c r="F117" i="3"/>
  <c r="AS117" i="3" s="1"/>
  <c r="I117" i="3"/>
  <c r="AV117" i="3" s="1"/>
  <c r="J117" i="3"/>
  <c r="AW117" i="3" s="1"/>
  <c r="B118" i="3"/>
  <c r="AN118" i="3" s="1"/>
  <c r="C118" i="3"/>
  <c r="AO118" i="3" s="1"/>
  <c r="D118" i="3"/>
  <c r="AP118" i="3" s="1"/>
  <c r="E118" i="3"/>
  <c r="AR118" i="3" s="1"/>
  <c r="F118" i="3"/>
  <c r="AS118" i="3" s="1"/>
  <c r="I118" i="3"/>
  <c r="AV118" i="3" s="1"/>
  <c r="J118" i="3"/>
  <c r="AW118" i="3" s="1"/>
  <c r="B119" i="3"/>
  <c r="AN119" i="3" s="1"/>
  <c r="C119" i="3"/>
  <c r="AO119" i="3" s="1"/>
  <c r="D119" i="3"/>
  <c r="AP119" i="3" s="1"/>
  <c r="E119" i="3"/>
  <c r="AR119" i="3" s="1"/>
  <c r="F119" i="3"/>
  <c r="AS119" i="3" s="1"/>
  <c r="I119" i="3"/>
  <c r="AV119" i="3" s="1"/>
  <c r="J119" i="3"/>
  <c r="AW119" i="3" s="1"/>
  <c r="B120" i="3"/>
  <c r="AN120" i="3" s="1"/>
  <c r="C120" i="3"/>
  <c r="AO120" i="3" s="1"/>
  <c r="D120" i="3"/>
  <c r="AP120" i="3" s="1"/>
  <c r="E120" i="3"/>
  <c r="AR120" i="3" s="1"/>
  <c r="F120" i="3"/>
  <c r="AS120" i="3" s="1"/>
  <c r="I120" i="3"/>
  <c r="AV120" i="3" s="1"/>
  <c r="J120" i="3"/>
  <c r="AW120" i="3" s="1"/>
  <c r="B121" i="3"/>
  <c r="AN121" i="3" s="1"/>
  <c r="C121" i="3"/>
  <c r="AO121" i="3" s="1"/>
  <c r="D121" i="3"/>
  <c r="AP121" i="3" s="1"/>
  <c r="E121" i="3"/>
  <c r="AR121" i="3" s="1"/>
  <c r="F121" i="3"/>
  <c r="AS121" i="3" s="1"/>
  <c r="I121" i="3"/>
  <c r="AV121" i="3" s="1"/>
  <c r="J121" i="3"/>
  <c r="AW121" i="3" s="1"/>
  <c r="B122" i="3"/>
  <c r="AN122" i="3" s="1"/>
  <c r="C122" i="3"/>
  <c r="AO122" i="3" s="1"/>
  <c r="D122" i="3"/>
  <c r="AP122" i="3" s="1"/>
  <c r="E122" i="3"/>
  <c r="AR122" i="3" s="1"/>
  <c r="F122" i="3"/>
  <c r="AS122" i="3" s="1"/>
  <c r="I122" i="3"/>
  <c r="AV122" i="3" s="1"/>
  <c r="J122" i="3"/>
  <c r="AW122" i="3" s="1"/>
  <c r="B123" i="3"/>
  <c r="AN123" i="3" s="1"/>
  <c r="C123" i="3"/>
  <c r="AO123" i="3" s="1"/>
  <c r="D123" i="3"/>
  <c r="AP123" i="3" s="1"/>
  <c r="E123" i="3"/>
  <c r="AR123" i="3" s="1"/>
  <c r="F123" i="3"/>
  <c r="AS123" i="3" s="1"/>
  <c r="I123" i="3"/>
  <c r="AV123" i="3" s="1"/>
  <c r="J123" i="3"/>
  <c r="AW123" i="3" s="1"/>
  <c r="B124" i="3"/>
  <c r="AN124" i="3" s="1"/>
  <c r="C124" i="3"/>
  <c r="AO124" i="3" s="1"/>
  <c r="D124" i="3"/>
  <c r="AP124" i="3" s="1"/>
  <c r="E124" i="3"/>
  <c r="AR124" i="3" s="1"/>
  <c r="F124" i="3"/>
  <c r="AS124" i="3" s="1"/>
  <c r="I124" i="3"/>
  <c r="AV124" i="3" s="1"/>
  <c r="J124" i="3"/>
  <c r="AW124" i="3" s="1"/>
  <c r="B125" i="3"/>
  <c r="AN125" i="3" s="1"/>
  <c r="C125" i="3"/>
  <c r="AO125" i="3" s="1"/>
  <c r="D125" i="3"/>
  <c r="AP125" i="3" s="1"/>
  <c r="E125" i="3"/>
  <c r="AR125" i="3" s="1"/>
  <c r="F125" i="3"/>
  <c r="AS125" i="3" s="1"/>
  <c r="I125" i="3"/>
  <c r="AV125" i="3" s="1"/>
  <c r="J125" i="3"/>
  <c r="AW125" i="3" s="1"/>
  <c r="B126" i="3"/>
  <c r="AN126" i="3" s="1"/>
  <c r="C126" i="3"/>
  <c r="AO126" i="3" s="1"/>
  <c r="D126" i="3"/>
  <c r="AP126" i="3" s="1"/>
  <c r="E126" i="3"/>
  <c r="AR126" i="3" s="1"/>
  <c r="F126" i="3"/>
  <c r="AS126" i="3" s="1"/>
  <c r="I126" i="3"/>
  <c r="AV126" i="3" s="1"/>
  <c r="J126" i="3"/>
  <c r="AW126" i="3" s="1"/>
  <c r="B127" i="3"/>
  <c r="AN127" i="3" s="1"/>
  <c r="C127" i="3"/>
  <c r="AO127" i="3" s="1"/>
  <c r="D127" i="3"/>
  <c r="AP127" i="3" s="1"/>
  <c r="E127" i="3"/>
  <c r="AR127" i="3" s="1"/>
  <c r="F127" i="3"/>
  <c r="AS127" i="3" s="1"/>
  <c r="I127" i="3"/>
  <c r="AV127" i="3" s="1"/>
  <c r="J127" i="3"/>
  <c r="AW127" i="3" s="1"/>
  <c r="B128" i="3"/>
  <c r="AN128" i="3" s="1"/>
  <c r="C128" i="3"/>
  <c r="AO128" i="3" s="1"/>
  <c r="D128" i="3"/>
  <c r="AP128" i="3" s="1"/>
  <c r="E128" i="3"/>
  <c r="AR128" i="3" s="1"/>
  <c r="F128" i="3"/>
  <c r="AS128" i="3" s="1"/>
  <c r="I128" i="3"/>
  <c r="AV128" i="3" s="1"/>
  <c r="J128" i="3"/>
  <c r="AW128" i="3" s="1"/>
  <c r="B129" i="3"/>
  <c r="AN129" i="3" s="1"/>
  <c r="C129" i="3"/>
  <c r="AO129" i="3" s="1"/>
  <c r="D129" i="3"/>
  <c r="AP129" i="3" s="1"/>
  <c r="E129" i="3"/>
  <c r="AR129" i="3" s="1"/>
  <c r="F129" i="3"/>
  <c r="AS129" i="3" s="1"/>
  <c r="I129" i="3"/>
  <c r="AV129" i="3" s="1"/>
  <c r="J129" i="3"/>
  <c r="AW129" i="3" s="1"/>
  <c r="B130" i="3"/>
  <c r="AN130" i="3" s="1"/>
  <c r="C130" i="3"/>
  <c r="AO130" i="3" s="1"/>
  <c r="D130" i="3"/>
  <c r="AP130" i="3" s="1"/>
  <c r="E130" i="3"/>
  <c r="AR130" i="3" s="1"/>
  <c r="F130" i="3"/>
  <c r="AS130" i="3" s="1"/>
  <c r="I130" i="3"/>
  <c r="AV130" i="3" s="1"/>
  <c r="J130" i="3"/>
  <c r="AW130" i="3" s="1"/>
  <c r="B131" i="3"/>
  <c r="AN131" i="3" s="1"/>
  <c r="C131" i="3"/>
  <c r="AO131" i="3" s="1"/>
  <c r="D131" i="3"/>
  <c r="AP131" i="3" s="1"/>
  <c r="E131" i="3"/>
  <c r="AR131" i="3" s="1"/>
  <c r="F131" i="3"/>
  <c r="AS131" i="3" s="1"/>
  <c r="I131" i="3"/>
  <c r="AV131" i="3" s="1"/>
  <c r="J131" i="3"/>
  <c r="AW131" i="3" s="1"/>
  <c r="B132" i="3"/>
  <c r="AN132" i="3" s="1"/>
  <c r="C132" i="3"/>
  <c r="AO132" i="3" s="1"/>
  <c r="D132" i="3"/>
  <c r="AP132" i="3" s="1"/>
  <c r="E132" i="3"/>
  <c r="AR132" i="3" s="1"/>
  <c r="F132" i="3"/>
  <c r="AS132" i="3" s="1"/>
  <c r="I132" i="3"/>
  <c r="AV132" i="3" s="1"/>
  <c r="J132" i="3"/>
  <c r="AW132" i="3" s="1"/>
  <c r="B133" i="3"/>
  <c r="AN133" i="3" s="1"/>
  <c r="C133" i="3"/>
  <c r="AO133" i="3" s="1"/>
  <c r="D133" i="3"/>
  <c r="AP133" i="3" s="1"/>
  <c r="E133" i="3"/>
  <c r="AR133" i="3" s="1"/>
  <c r="F133" i="3"/>
  <c r="AS133" i="3" s="1"/>
  <c r="I133" i="3"/>
  <c r="AV133" i="3" s="1"/>
  <c r="J133" i="3"/>
  <c r="AW133" i="3" s="1"/>
  <c r="B134" i="3"/>
  <c r="AN134" i="3" s="1"/>
  <c r="C134" i="3"/>
  <c r="AO134" i="3" s="1"/>
  <c r="D134" i="3"/>
  <c r="AP134" i="3" s="1"/>
  <c r="E134" i="3"/>
  <c r="AR134" i="3" s="1"/>
  <c r="F134" i="3"/>
  <c r="AS134" i="3" s="1"/>
  <c r="I134" i="3"/>
  <c r="AV134" i="3" s="1"/>
  <c r="J134" i="3"/>
  <c r="AW134" i="3" s="1"/>
  <c r="B135" i="3"/>
  <c r="AN135" i="3" s="1"/>
  <c r="C135" i="3"/>
  <c r="AO135" i="3" s="1"/>
  <c r="D135" i="3"/>
  <c r="AP135" i="3" s="1"/>
  <c r="E135" i="3"/>
  <c r="AR135" i="3" s="1"/>
  <c r="F135" i="3"/>
  <c r="AS135" i="3" s="1"/>
  <c r="I135" i="3"/>
  <c r="AV135" i="3" s="1"/>
  <c r="J135" i="3"/>
  <c r="AW135" i="3" s="1"/>
  <c r="J5" i="3"/>
  <c r="I5" i="3"/>
  <c r="G5" i="3"/>
  <c r="H5" i="3"/>
  <c r="B5" i="3"/>
  <c r="C5" i="3"/>
  <c r="D5" i="3"/>
  <c r="E5" i="3"/>
  <c r="F5" i="3"/>
  <c r="A5" i="3"/>
  <c r="Q463" i="3" l="1"/>
  <c r="Q459" i="3"/>
  <c r="Q455" i="3"/>
  <c r="Q451" i="3"/>
  <c r="O446" i="3"/>
  <c r="W446" i="3" s="1"/>
  <c r="L441" i="3"/>
  <c r="T441" i="3" s="1"/>
  <c r="L435" i="3"/>
  <c r="M426" i="3"/>
  <c r="U426" i="3" s="1"/>
  <c r="L414" i="3"/>
  <c r="T414" i="3" s="1"/>
  <c r="K402" i="3"/>
  <c r="K463" i="3"/>
  <c r="K459" i="3"/>
  <c r="K455" i="3"/>
  <c r="R450" i="3"/>
  <c r="O445" i="3"/>
  <c r="W445" i="3" s="1"/>
  <c r="K440" i="3"/>
  <c r="K434" i="3"/>
  <c r="R424" i="3"/>
  <c r="P412" i="3"/>
  <c r="X412" i="3" s="1"/>
  <c r="N400" i="3"/>
  <c r="V400" i="3" s="1"/>
  <c r="Q439" i="3"/>
  <c r="K462" i="3"/>
  <c r="K458" i="3"/>
  <c r="K454" i="3"/>
  <c r="O449" i="3"/>
  <c r="W449" i="3" s="1"/>
  <c r="L444" i="3"/>
  <c r="T444" i="3" s="1"/>
  <c r="P438" i="3"/>
  <c r="N432" i="3"/>
  <c r="V432" i="3" s="1"/>
  <c r="Q421" i="3"/>
  <c r="P409" i="3"/>
  <c r="X409" i="3" s="1"/>
  <c r="N397" i="3"/>
  <c r="V397" i="3" s="1"/>
  <c r="L411" i="3"/>
  <c r="T411" i="3" s="1"/>
  <c r="Q465" i="3"/>
  <c r="Q461" i="3"/>
  <c r="Q457" i="3"/>
  <c r="Q453" i="3"/>
  <c r="L449" i="3"/>
  <c r="T449" i="3" s="1"/>
  <c r="R443" i="3"/>
  <c r="L438" i="3"/>
  <c r="T438" i="3" s="1"/>
  <c r="K432" i="3"/>
  <c r="M420" i="3"/>
  <c r="U420" i="3" s="1"/>
  <c r="K408" i="3"/>
  <c r="R395" i="3"/>
  <c r="Q462" i="3"/>
  <c r="Q458" i="3"/>
  <c r="Q454" i="3"/>
  <c r="O450" i="3"/>
  <c r="W450" i="3" s="1"/>
  <c r="L445" i="3"/>
  <c r="T445" i="3" s="1"/>
  <c r="P433" i="3"/>
  <c r="K465" i="3"/>
  <c r="K461" i="3"/>
  <c r="K457" i="3"/>
  <c r="K453" i="3"/>
  <c r="L448" i="3"/>
  <c r="T448" i="3" s="1"/>
  <c r="R442" i="3"/>
  <c r="K437" i="3"/>
  <c r="R430" i="3"/>
  <c r="Q418" i="3"/>
  <c r="P406" i="3"/>
  <c r="X406" i="3" s="1"/>
  <c r="M394" i="3"/>
  <c r="U394" i="3" s="1"/>
  <c r="M423" i="3"/>
  <c r="U423" i="3" s="1"/>
  <c r="Q464" i="3"/>
  <c r="Q460" i="3"/>
  <c r="Q456" i="3"/>
  <c r="Q452" i="3"/>
  <c r="R447" i="3"/>
  <c r="O442" i="3"/>
  <c r="W442" i="3" s="1"/>
  <c r="P436" i="3"/>
  <c r="X436" i="3" s="1"/>
  <c r="N429" i="3"/>
  <c r="V429" i="3" s="1"/>
  <c r="L417" i="3"/>
  <c r="T417" i="3" s="1"/>
  <c r="K405" i="3"/>
  <c r="R392" i="3"/>
  <c r="R398" i="3"/>
  <c r="K464" i="3"/>
  <c r="K460" i="3"/>
  <c r="K456" i="3"/>
  <c r="K452" i="3"/>
  <c r="R446" i="3"/>
  <c r="O441" i="3"/>
  <c r="W441" i="3" s="1"/>
  <c r="N435" i="3"/>
  <c r="V435" i="3" s="1"/>
  <c r="R427" i="3"/>
  <c r="Q415" i="3"/>
  <c r="N403" i="3"/>
  <c r="V403" i="3" s="1"/>
  <c r="M254" i="3"/>
  <c r="U254" i="3" s="1"/>
  <c r="M391" i="3"/>
  <c r="U391" i="3" s="1"/>
  <c r="Q388" i="3"/>
  <c r="Q385" i="3"/>
  <c r="Q381" i="3"/>
  <c r="M375" i="3"/>
  <c r="U375" i="3" s="1"/>
  <c r="Q369" i="3"/>
  <c r="M363" i="3"/>
  <c r="U363" i="3" s="1"/>
  <c r="P356" i="3"/>
  <c r="X356" i="3" s="1"/>
  <c r="P346" i="3"/>
  <c r="X346" i="3" s="1"/>
  <c r="Q333" i="3"/>
  <c r="P320" i="3"/>
  <c r="X320" i="3" s="1"/>
  <c r="Q307" i="3"/>
  <c r="M291" i="3"/>
  <c r="M258" i="3"/>
  <c r="M223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Q450" i="3"/>
  <c r="N449" i="3"/>
  <c r="V449" i="3" s="1"/>
  <c r="K448" i="3"/>
  <c r="Q446" i="3"/>
  <c r="N445" i="3"/>
  <c r="V445" i="3" s="1"/>
  <c r="K444" i="3"/>
  <c r="Q442" i="3"/>
  <c r="N441" i="3"/>
  <c r="V441" i="3" s="1"/>
  <c r="R439" i="3"/>
  <c r="N438" i="3"/>
  <c r="V438" i="3" s="1"/>
  <c r="R436" i="3"/>
  <c r="M435" i="3"/>
  <c r="U435" i="3" s="1"/>
  <c r="R433" i="3"/>
  <c r="M432" i="3"/>
  <c r="U432" i="3" s="1"/>
  <c r="Q430" i="3"/>
  <c r="M429" i="3"/>
  <c r="U429" i="3" s="1"/>
  <c r="Q427" i="3"/>
  <c r="L426" i="3"/>
  <c r="T426" i="3" s="1"/>
  <c r="Q424" i="3"/>
  <c r="L423" i="3"/>
  <c r="T423" i="3" s="1"/>
  <c r="P421" i="3"/>
  <c r="X421" i="3" s="1"/>
  <c r="L420" i="3"/>
  <c r="T420" i="3" s="1"/>
  <c r="P418" i="3"/>
  <c r="X418" i="3" s="1"/>
  <c r="K417" i="3"/>
  <c r="P415" i="3"/>
  <c r="K414" i="3"/>
  <c r="N412" i="3"/>
  <c r="V412" i="3" s="1"/>
  <c r="K411" i="3"/>
  <c r="N409" i="3"/>
  <c r="V409" i="3" s="1"/>
  <c r="R407" i="3"/>
  <c r="N406" i="3"/>
  <c r="R404" i="3"/>
  <c r="M403" i="3"/>
  <c r="U403" i="3" s="1"/>
  <c r="R401" i="3"/>
  <c r="M400" i="3"/>
  <c r="U400" i="3" s="1"/>
  <c r="Q398" i="3"/>
  <c r="M397" i="3"/>
  <c r="U397" i="3" s="1"/>
  <c r="Q395" i="3"/>
  <c r="L394" i="3"/>
  <c r="T394" i="3" s="1"/>
  <c r="Q392" i="3"/>
  <c r="L391" i="3"/>
  <c r="T391" i="3" s="1"/>
  <c r="O388" i="3"/>
  <c r="W388" i="3" s="1"/>
  <c r="O385" i="3"/>
  <c r="W385" i="3" s="1"/>
  <c r="M381" i="3"/>
  <c r="U381" i="3" s="1"/>
  <c r="Q374" i="3"/>
  <c r="M369" i="3"/>
  <c r="U369" i="3" s="1"/>
  <c r="Q362" i="3"/>
  <c r="M355" i="3"/>
  <c r="U355" i="3" s="1"/>
  <c r="M343" i="3"/>
  <c r="U343" i="3" s="1"/>
  <c r="P332" i="3"/>
  <c r="X332" i="3" s="1"/>
  <c r="Q319" i="3"/>
  <c r="Q303" i="3"/>
  <c r="M289" i="3"/>
  <c r="U289" i="3" s="1"/>
  <c r="M257" i="3"/>
  <c r="U257" i="3" s="1"/>
  <c r="M210" i="3"/>
  <c r="U210" i="3" s="1"/>
  <c r="M207" i="3"/>
  <c r="U207" i="3" s="1"/>
  <c r="P465" i="3"/>
  <c r="P464" i="3"/>
  <c r="X464" i="3" s="1"/>
  <c r="P463" i="3"/>
  <c r="X463" i="3" s="1"/>
  <c r="P462" i="3"/>
  <c r="X462" i="3" s="1"/>
  <c r="P461" i="3"/>
  <c r="X461" i="3" s="1"/>
  <c r="P460" i="3"/>
  <c r="X460" i="3" s="1"/>
  <c r="P459" i="3"/>
  <c r="X459" i="3" s="1"/>
  <c r="P458" i="3"/>
  <c r="X458" i="3" s="1"/>
  <c r="P457" i="3"/>
  <c r="X457" i="3" s="1"/>
  <c r="P456" i="3"/>
  <c r="X456" i="3" s="1"/>
  <c r="P455" i="3"/>
  <c r="X455" i="3" s="1"/>
  <c r="P454" i="3"/>
  <c r="X454" i="3" s="1"/>
  <c r="P453" i="3"/>
  <c r="X453" i="3" s="1"/>
  <c r="P452" i="3"/>
  <c r="X452" i="3" s="1"/>
  <c r="P451" i="3"/>
  <c r="X451" i="3" s="1"/>
  <c r="N450" i="3"/>
  <c r="V450" i="3" s="1"/>
  <c r="K449" i="3"/>
  <c r="Q447" i="3"/>
  <c r="N446" i="3"/>
  <c r="V446" i="3" s="1"/>
  <c r="K445" i="3"/>
  <c r="Q443" i="3"/>
  <c r="N442" i="3"/>
  <c r="V442" i="3" s="1"/>
  <c r="K441" i="3"/>
  <c r="P439" i="3"/>
  <c r="K438" i="3"/>
  <c r="N436" i="3"/>
  <c r="V436" i="3" s="1"/>
  <c r="K435" i="3"/>
  <c r="N433" i="3"/>
  <c r="V433" i="3" s="1"/>
  <c r="R431" i="3"/>
  <c r="N430" i="3"/>
  <c r="V430" i="3" s="1"/>
  <c r="R428" i="3"/>
  <c r="M427" i="3"/>
  <c r="U427" i="3" s="1"/>
  <c r="R425" i="3"/>
  <c r="M424" i="3"/>
  <c r="U424" i="3" s="1"/>
  <c r="Q422" i="3"/>
  <c r="M421" i="3"/>
  <c r="U421" i="3" s="1"/>
  <c r="Q419" i="3"/>
  <c r="L418" i="3"/>
  <c r="T418" i="3" s="1"/>
  <c r="Q416" i="3"/>
  <c r="L415" i="3"/>
  <c r="T415" i="3" s="1"/>
  <c r="P413" i="3"/>
  <c r="L412" i="3"/>
  <c r="T412" i="3" s="1"/>
  <c r="P410" i="3"/>
  <c r="X410" i="3" s="1"/>
  <c r="K409" i="3"/>
  <c r="P407" i="3"/>
  <c r="X407" i="3" s="1"/>
  <c r="K406" i="3"/>
  <c r="N404" i="3"/>
  <c r="V404" i="3" s="1"/>
  <c r="K403" i="3"/>
  <c r="N401" i="3"/>
  <c r="R399" i="3"/>
  <c r="N398" i="3"/>
  <c r="V398" i="3" s="1"/>
  <c r="R396" i="3"/>
  <c r="M395" i="3"/>
  <c r="U395" i="3" s="1"/>
  <c r="R393" i="3"/>
  <c r="M392" i="3"/>
  <c r="U392" i="3" s="1"/>
  <c r="Q390" i="3"/>
  <c r="Q387" i="3"/>
  <c r="Q384" i="3"/>
  <c r="M379" i="3"/>
  <c r="U379" i="3" s="1"/>
  <c r="Q373" i="3"/>
  <c r="M367" i="3"/>
  <c r="U367" i="3" s="1"/>
  <c r="M361" i="3"/>
  <c r="U361" i="3" s="1"/>
  <c r="P352" i="3"/>
  <c r="X352" i="3" s="1"/>
  <c r="Q341" i="3"/>
  <c r="M329" i="3"/>
  <c r="U329" i="3" s="1"/>
  <c r="Q315" i="3"/>
  <c r="Q301" i="3"/>
  <c r="M281" i="3"/>
  <c r="U281" i="3" s="1"/>
  <c r="M246" i="3"/>
  <c r="U246" i="3" s="1"/>
  <c r="M203" i="3"/>
  <c r="U203" i="3" s="1"/>
  <c r="O465" i="3"/>
  <c r="W465" i="3" s="1"/>
  <c r="O464" i="3"/>
  <c r="W464" i="3" s="1"/>
  <c r="O463" i="3"/>
  <c r="W463" i="3" s="1"/>
  <c r="O462" i="3"/>
  <c r="W462" i="3" s="1"/>
  <c r="O461" i="3"/>
  <c r="W461" i="3" s="1"/>
  <c r="O460" i="3"/>
  <c r="W460" i="3" s="1"/>
  <c r="O459" i="3"/>
  <c r="W459" i="3" s="1"/>
  <c r="O458" i="3"/>
  <c r="W458" i="3" s="1"/>
  <c r="O457" i="3"/>
  <c r="W457" i="3" s="1"/>
  <c r="O456" i="3"/>
  <c r="W456" i="3" s="1"/>
  <c r="O455" i="3"/>
  <c r="W455" i="3" s="1"/>
  <c r="O454" i="3"/>
  <c r="W454" i="3" s="1"/>
  <c r="O453" i="3"/>
  <c r="W453" i="3" s="1"/>
  <c r="O452" i="3"/>
  <c r="W452" i="3" s="1"/>
  <c r="O451" i="3"/>
  <c r="W451" i="3" s="1"/>
  <c r="L450" i="3"/>
  <c r="T450" i="3" s="1"/>
  <c r="R448" i="3"/>
  <c r="O447" i="3"/>
  <c r="W447" i="3" s="1"/>
  <c r="L446" i="3"/>
  <c r="T446" i="3" s="1"/>
  <c r="R444" i="3"/>
  <c r="O443" i="3"/>
  <c r="W443" i="3" s="1"/>
  <c r="L442" i="3"/>
  <c r="T442" i="3" s="1"/>
  <c r="R440" i="3"/>
  <c r="M439" i="3"/>
  <c r="U439" i="3" s="1"/>
  <c r="Q437" i="3"/>
  <c r="M436" i="3"/>
  <c r="U436" i="3" s="1"/>
  <c r="Q434" i="3"/>
  <c r="L433" i="3"/>
  <c r="T433" i="3" s="1"/>
  <c r="Q431" i="3"/>
  <c r="L430" i="3"/>
  <c r="T430" i="3" s="1"/>
  <c r="P428" i="3"/>
  <c r="X428" i="3" s="1"/>
  <c r="L427" i="3"/>
  <c r="T427" i="3" s="1"/>
  <c r="P425" i="3"/>
  <c r="X425" i="3" s="1"/>
  <c r="K424" i="3"/>
  <c r="P422" i="3"/>
  <c r="X422" i="3" s="1"/>
  <c r="K421" i="3"/>
  <c r="N419" i="3"/>
  <c r="V419" i="3" s="1"/>
  <c r="K418" i="3"/>
  <c r="N416" i="3"/>
  <c r="V416" i="3" s="1"/>
  <c r="R414" i="3"/>
  <c r="N413" i="3"/>
  <c r="V413" i="3" s="1"/>
  <c r="R411" i="3"/>
  <c r="M410" i="3"/>
  <c r="U410" i="3" s="1"/>
  <c r="R408" i="3"/>
  <c r="M407" i="3"/>
  <c r="U407" i="3" s="1"/>
  <c r="Q405" i="3"/>
  <c r="M404" i="3"/>
  <c r="U404" i="3" s="1"/>
  <c r="Q402" i="3"/>
  <c r="L401" i="3"/>
  <c r="Q399" i="3"/>
  <c r="L398" i="3"/>
  <c r="P396" i="3"/>
  <c r="X396" i="3" s="1"/>
  <c r="L395" i="3"/>
  <c r="P393" i="3"/>
  <c r="X393" i="3" s="1"/>
  <c r="K392" i="3"/>
  <c r="O390" i="3"/>
  <c r="W390" i="3" s="1"/>
  <c r="M387" i="3"/>
  <c r="U387" i="3" s="1"/>
  <c r="L384" i="3"/>
  <c r="T384" i="3" s="1"/>
  <c r="Q378" i="3"/>
  <c r="P372" i="3"/>
  <c r="X372" i="3" s="1"/>
  <c r="P366" i="3"/>
  <c r="X366" i="3" s="1"/>
  <c r="P360" i="3"/>
  <c r="X360" i="3" s="1"/>
  <c r="Q351" i="3"/>
  <c r="Q338" i="3"/>
  <c r="Q327" i="3"/>
  <c r="M315" i="3"/>
  <c r="U315" i="3" s="1"/>
  <c r="Q297" i="3"/>
  <c r="M278" i="3"/>
  <c r="U278" i="3" s="1"/>
  <c r="M245" i="3"/>
  <c r="U245" i="3" s="1"/>
  <c r="Q189" i="3"/>
  <c r="K429" i="3"/>
  <c r="N424" i="3"/>
  <c r="V424" i="3" s="1"/>
  <c r="R419" i="3"/>
  <c r="M415" i="3"/>
  <c r="U415" i="3" s="1"/>
  <c r="Q410" i="3"/>
  <c r="L406" i="3"/>
  <c r="T406" i="3" s="1"/>
  <c r="P401" i="3"/>
  <c r="X401" i="3" s="1"/>
  <c r="K394" i="3"/>
  <c r="Q379" i="3"/>
  <c r="M283" i="3"/>
  <c r="U283" i="3" s="1"/>
  <c r="N465" i="3"/>
  <c r="V465" i="3" s="1"/>
  <c r="N464" i="3"/>
  <c r="V464" i="3" s="1"/>
  <c r="N463" i="3"/>
  <c r="V463" i="3" s="1"/>
  <c r="N462" i="3"/>
  <c r="V462" i="3" s="1"/>
  <c r="N461" i="3"/>
  <c r="V461" i="3" s="1"/>
  <c r="N460" i="3"/>
  <c r="V460" i="3" s="1"/>
  <c r="N459" i="3"/>
  <c r="V459" i="3" s="1"/>
  <c r="N458" i="3"/>
  <c r="V458" i="3" s="1"/>
  <c r="N457" i="3"/>
  <c r="V457" i="3" s="1"/>
  <c r="N456" i="3"/>
  <c r="V456" i="3" s="1"/>
  <c r="N455" i="3"/>
  <c r="V455" i="3" s="1"/>
  <c r="N454" i="3"/>
  <c r="V454" i="3" s="1"/>
  <c r="N453" i="3"/>
  <c r="V453" i="3" s="1"/>
  <c r="N452" i="3"/>
  <c r="V452" i="3" s="1"/>
  <c r="N451" i="3"/>
  <c r="V451" i="3" s="1"/>
  <c r="K450" i="3"/>
  <c r="Q448" i="3"/>
  <c r="N447" i="3"/>
  <c r="K446" i="3"/>
  <c r="Q444" i="3"/>
  <c r="N443" i="3"/>
  <c r="V443" i="3" s="1"/>
  <c r="K442" i="3"/>
  <c r="Q440" i="3"/>
  <c r="L439" i="3"/>
  <c r="T439" i="3" s="1"/>
  <c r="P437" i="3"/>
  <c r="X437" i="3" s="1"/>
  <c r="L436" i="3"/>
  <c r="T436" i="3" s="1"/>
  <c r="P434" i="3"/>
  <c r="X434" i="3" s="1"/>
  <c r="K433" i="3"/>
  <c r="P431" i="3"/>
  <c r="X431" i="3" s="1"/>
  <c r="K430" i="3"/>
  <c r="N428" i="3"/>
  <c r="V428" i="3" s="1"/>
  <c r="K427" i="3"/>
  <c r="N425" i="3"/>
  <c r="R423" i="3"/>
  <c r="N422" i="3"/>
  <c r="V422" i="3" s="1"/>
  <c r="R420" i="3"/>
  <c r="M419" i="3"/>
  <c r="U419" i="3" s="1"/>
  <c r="R417" i="3"/>
  <c r="M416" i="3"/>
  <c r="U416" i="3" s="1"/>
  <c r="Q414" i="3"/>
  <c r="M413" i="3"/>
  <c r="U413" i="3" s="1"/>
  <c r="Q411" i="3"/>
  <c r="L410" i="3"/>
  <c r="Q408" i="3"/>
  <c r="L407" i="3"/>
  <c r="T407" i="3" s="1"/>
  <c r="P405" i="3"/>
  <c r="X405" i="3" s="1"/>
  <c r="L404" i="3"/>
  <c r="T404" i="3" s="1"/>
  <c r="P402" i="3"/>
  <c r="X402" i="3" s="1"/>
  <c r="K401" i="3"/>
  <c r="P399" i="3"/>
  <c r="X399" i="3" s="1"/>
  <c r="K398" i="3"/>
  <c r="N396" i="3"/>
  <c r="V396" i="3" s="1"/>
  <c r="K395" i="3"/>
  <c r="N393" i="3"/>
  <c r="V393" i="3" s="1"/>
  <c r="R391" i="3"/>
  <c r="L390" i="3"/>
  <c r="T390" i="3" s="1"/>
  <c r="L387" i="3"/>
  <c r="T387" i="3" s="1"/>
  <c r="Q383" i="3"/>
  <c r="P378" i="3"/>
  <c r="X378" i="3" s="1"/>
  <c r="Q371" i="3"/>
  <c r="Q365" i="3"/>
  <c r="Q359" i="3"/>
  <c r="Q350" i="3"/>
  <c r="P338" i="3"/>
  <c r="X338" i="3" s="1"/>
  <c r="M325" i="3"/>
  <c r="Q313" i="3"/>
  <c r="M297" i="3"/>
  <c r="M270" i="3"/>
  <c r="U270" i="3" s="1"/>
  <c r="M242" i="3"/>
  <c r="U242" i="3" s="1"/>
  <c r="Q185" i="3"/>
  <c r="P430" i="3"/>
  <c r="X430" i="3" s="1"/>
  <c r="N427" i="3"/>
  <c r="V427" i="3" s="1"/>
  <c r="R422" i="3"/>
  <c r="R416" i="3"/>
  <c r="M412" i="3"/>
  <c r="U412" i="3" s="1"/>
  <c r="Q407" i="3"/>
  <c r="P404" i="3"/>
  <c r="X404" i="3" s="1"/>
  <c r="K400" i="3"/>
  <c r="N395" i="3"/>
  <c r="V395" i="3" s="1"/>
  <c r="R390" i="3"/>
  <c r="L388" i="3"/>
  <c r="P374" i="3"/>
  <c r="X374" i="3" s="1"/>
  <c r="Q361" i="3"/>
  <c r="Q342" i="3"/>
  <c r="Q329" i="3"/>
  <c r="Q318" i="3"/>
  <c r="M465" i="3"/>
  <c r="U465" i="3" s="1"/>
  <c r="M464" i="3"/>
  <c r="U464" i="3" s="1"/>
  <c r="M463" i="3"/>
  <c r="U463" i="3" s="1"/>
  <c r="M462" i="3"/>
  <c r="U462" i="3" s="1"/>
  <c r="M461" i="3"/>
  <c r="U461" i="3" s="1"/>
  <c r="M460" i="3"/>
  <c r="U460" i="3" s="1"/>
  <c r="M459" i="3"/>
  <c r="U459" i="3" s="1"/>
  <c r="M458" i="3"/>
  <c r="U458" i="3" s="1"/>
  <c r="M457" i="3"/>
  <c r="U457" i="3" s="1"/>
  <c r="M456" i="3"/>
  <c r="U456" i="3" s="1"/>
  <c r="M455" i="3"/>
  <c r="U455" i="3" s="1"/>
  <c r="M454" i="3"/>
  <c r="U454" i="3" s="1"/>
  <c r="M453" i="3"/>
  <c r="U453" i="3" s="1"/>
  <c r="M452" i="3"/>
  <c r="U452" i="3" s="1"/>
  <c r="L451" i="3"/>
  <c r="T451" i="3" s="1"/>
  <c r="R449" i="3"/>
  <c r="O448" i="3"/>
  <c r="W448" i="3" s="1"/>
  <c r="L447" i="3"/>
  <c r="T447" i="3" s="1"/>
  <c r="R445" i="3"/>
  <c r="O444" i="3"/>
  <c r="W444" i="3" s="1"/>
  <c r="L443" i="3"/>
  <c r="T443" i="3" s="1"/>
  <c r="R441" i="3"/>
  <c r="N440" i="3"/>
  <c r="V440" i="3" s="1"/>
  <c r="R438" i="3"/>
  <c r="N437" i="3"/>
  <c r="V437" i="3" s="1"/>
  <c r="R435" i="3"/>
  <c r="M434" i="3"/>
  <c r="U434" i="3" s="1"/>
  <c r="R432" i="3"/>
  <c r="M431" i="3"/>
  <c r="U431" i="3" s="1"/>
  <c r="Q429" i="3"/>
  <c r="M428" i="3"/>
  <c r="U428" i="3" s="1"/>
  <c r="Q426" i="3"/>
  <c r="L425" i="3"/>
  <c r="Q423" i="3"/>
  <c r="L422" i="3"/>
  <c r="T422" i="3" s="1"/>
  <c r="P420" i="3"/>
  <c r="X420" i="3" s="1"/>
  <c r="L419" i="3"/>
  <c r="T419" i="3" s="1"/>
  <c r="P417" i="3"/>
  <c r="X417" i="3" s="1"/>
  <c r="K416" i="3"/>
  <c r="P414" i="3"/>
  <c r="X414" i="3" s="1"/>
  <c r="K413" i="3"/>
  <c r="N411" i="3"/>
  <c r="V411" i="3" s="1"/>
  <c r="K410" i="3"/>
  <c r="N408" i="3"/>
  <c r="V408" i="3" s="1"/>
  <c r="R406" i="3"/>
  <c r="N405" i="3"/>
  <c r="V405" i="3" s="1"/>
  <c r="R403" i="3"/>
  <c r="M402" i="3"/>
  <c r="U402" i="3" s="1"/>
  <c r="R400" i="3"/>
  <c r="M399" i="3"/>
  <c r="U399" i="3" s="1"/>
  <c r="Q397" i="3"/>
  <c r="M396" i="3"/>
  <c r="U396" i="3" s="1"/>
  <c r="Q394" i="3"/>
  <c r="L393" i="3"/>
  <c r="T393" i="3" s="1"/>
  <c r="Q391" i="3"/>
  <c r="O389" i="3"/>
  <c r="W389" i="3" s="1"/>
  <c r="O386" i="3"/>
  <c r="W386" i="3" s="1"/>
  <c r="M383" i="3"/>
  <c r="U383" i="3" s="1"/>
  <c r="M377" i="3"/>
  <c r="U377" i="3" s="1"/>
  <c r="Q370" i="3"/>
  <c r="M365" i="3"/>
  <c r="U365" i="3" s="1"/>
  <c r="Q358" i="3"/>
  <c r="Q347" i="3"/>
  <c r="M337" i="3"/>
  <c r="U337" i="3" s="1"/>
  <c r="P324" i="3"/>
  <c r="X324" i="3" s="1"/>
  <c r="Q309" i="3"/>
  <c r="M295" i="3"/>
  <c r="U295" i="3" s="1"/>
  <c r="M269" i="3"/>
  <c r="U269" i="3" s="1"/>
  <c r="M233" i="3"/>
  <c r="U233" i="3" s="1"/>
  <c r="Q177" i="3"/>
  <c r="K426" i="3"/>
  <c r="N421" i="3"/>
  <c r="V421" i="3" s="1"/>
  <c r="M418" i="3"/>
  <c r="U418" i="3" s="1"/>
  <c r="Q413" i="3"/>
  <c r="L409" i="3"/>
  <c r="L403" i="3"/>
  <c r="P398" i="3"/>
  <c r="K397" i="3"/>
  <c r="N392" i="3"/>
  <c r="V392" i="3" s="1"/>
  <c r="L385" i="3"/>
  <c r="T385" i="3" s="1"/>
  <c r="Q367" i="3"/>
  <c r="P354" i="3"/>
  <c r="X354" i="3" s="1"/>
  <c r="M303" i="3"/>
  <c r="U303" i="3" s="1"/>
  <c r="L465" i="3"/>
  <c r="T465" i="3" s="1"/>
  <c r="L464" i="3"/>
  <c r="T464" i="3" s="1"/>
  <c r="L463" i="3"/>
  <c r="T463" i="3" s="1"/>
  <c r="L462" i="3"/>
  <c r="T462" i="3" s="1"/>
  <c r="L461" i="3"/>
  <c r="T461" i="3" s="1"/>
  <c r="L460" i="3"/>
  <c r="L459" i="3"/>
  <c r="T459" i="3" s="1"/>
  <c r="L458" i="3"/>
  <c r="T458" i="3" s="1"/>
  <c r="L457" i="3"/>
  <c r="T457" i="3" s="1"/>
  <c r="L456" i="3"/>
  <c r="T456" i="3" s="1"/>
  <c r="L455" i="3"/>
  <c r="T455" i="3" s="1"/>
  <c r="L454" i="3"/>
  <c r="T454" i="3" s="1"/>
  <c r="L453" i="3"/>
  <c r="T453" i="3" s="1"/>
  <c r="L452" i="3"/>
  <c r="T452" i="3" s="1"/>
  <c r="K451" i="3"/>
  <c r="Q449" i="3"/>
  <c r="N448" i="3"/>
  <c r="V448" i="3" s="1"/>
  <c r="K447" i="3"/>
  <c r="Q445" i="3"/>
  <c r="N444" i="3"/>
  <c r="V444" i="3" s="1"/>
  <c r="K443" i="3"/>
  <c r="Q441" i="3"/>
  <c r="M440" i="3"/>
  <c r="U440" i="3" s="1"/>
  <c r="Q438" i="3"/>
  <c r="M437" i="3"/>
  <c r="U437" i="3" s="1"/>
  <c r="Q435" i="3"/>
  <c r="L434" i="3"/>
  <c r="T434" i="3" s="1"/>
  <c r="Q432" i="3"/>
  <c r="L431" i="3"/>
  <c r="T431" i="3" s="1"/>
  <c r="P429" i="3"/>
  <c r="L428" i="3"/>
  <c r="T428" i="3" s="1"/>
  <c r="P426" i="3"/>
  <c r="X426" i="3" s="1"/>
  <c r="K425" i="3"/>
  <c r="P423" i="3"/>
  <c r="X423" i="3" s="1"/>
  <c r="K422" i="3"/>
  <c r="N420" i="3"/>
  <c r="V420" i="3" s="1"/>
  <c r="K419" i="3"/>
  <c r="N417" i="3"/>
  <c r="V417" i="3" s="1"/>
  <c r="R415" i="3"/>
  <c r="N414" i="3"/>
  <c r="V414" i="3" s="1"/>
  <c r="R412" i="3"/>
  <c r="M411" i="3"/>
  <c r="R409" i="3"/>
  <c r="M408" i="3"/>
  <c r="U408" i="3" s="1"/>
  <c r="Q406" i="3"/>
  <c r="M405" i="3"/>
  <c r="U405" i="3" s="1"/>
  <c r="Q403" i="3"/>
  <c r="L402" i="3"/>
  <c r="T402" i="3" s="1"/>
  <c r="Q400" i="3"/>
  <c r="L399" i="3"/>
  <c r="T399" i="3" s="1"/>
  <c r="P397" i="3"/>
  <c r="X397" i="3" s="1"/>
  <c r="L396" i="3"/>
  <c r="T396" i="3" s="1"/>
  <c r="P394" i="3"/>
  <c r="X394" i="3" s="1"/>
  <c r="K393" i="3"/>
  <c r="P391" i="3"/>
  <c r="X391" i="3" s="1"/>
  <c r="M389" i="3"/>
  <c r="U389" i="3" s="1"/>
  <c r="L386" i="3"/>
  <c r="T386" i="3" s="1"/>
  <c r="Q382" i="3"/>
  <c r="P376" i="3"/>
  <c r="X376" i="3" s="1"/>
  <c r="P370" i="3"/>
  <c r="X370" i="3" s="1"/>
  <c r="P364" i="3"/>
  <c r="X364" i="3" s="1"/>
  <c r="M357" i="3"/>
  <c r="U357" i="3" s="1"/>
  <c r="M347" i="3"/>
  <c r="U347" i="3" s="1"/>
  <c r="P334" i="3"/>
  <c r="X334" i="3" s="1"/>
  <c r="M323" i="3"/>
  <c r="U323" i="3" s="1"/>
  <c r="M309" i="3"/>
  <c r="U309" i="3" s="1"/>
  <c r="Q291" i="3"/>
  <c r="M266" i="3"/>
  <c r="U266" i="3" s="1"/>
  <c r="M231" i="3"/>
  <c r="U231" i="3" s="1"/>
  <c r="R12" i="3"/>
  <c r="Q169" i="3"/>
  <c r="M195" i="3"/>
  <c r="U195" i="3" s="1"/>
  <c r="M211" i="3"/>
  <c r="U211" i="3" s="1"/>
  <c r="M227" i="3"/>
  <c r="U227" i="3" s="1"/>
  <c r="M239" i="3"/>
  <c r="U239" i="3" s="1"/>
  <c r="M250" i="3"/>
  <c r="U250" i="3" s="1"/>
  <c r="M261" i="3"/>
  <c r="U261" i="3" s="1"/>
  <c r="M271" i="3"/>
  <c r="U271" i="3" s="1"/>
  <c r="M282" i="3"/>
  <c r="U282" i="3" s="1"/>
  <c r="Q290" i="3"/>
  <c r="Q295" i="3"/>
  <c r="M301" i="3"/>
  <c r="U301" i="3" s="1"/>
  <c r="Q306" i="3"/>
  <c r="Q311" i="3"/>
  <c r="Q316" i="3"/>
  <c r="Q320" i="3"/>
  <c r="Q324" i="3"/>
  <c r="Q328" i="3"/>
  <c r="Q332" i="3"/>
  <c r="Q336" i="3"/>
  <c r="Q340" i="3"/>
  <c r="Q344" i="3"/>
  <c r="Q348" i="3"/>
  <c r="Q352" i="3"/>
  <c r="Q356" i="3"/>
  <c r="Q360" i="3"/>
  <c r="Q364" i="3"/>
  <c r="Q368" i="3"/>
  <c r="Q372" i="3"/>
  <c r="Q376" i="3"/>
  <c r="Q380" i="3"/>
  <c r="M384" i="3"/>
  <c r="U384" i="3" s="1"/>
  <c r="M386" i="3"/>
  <c r="U386" i="3" s="1"/>
  <c r="M388" i="3"/>
  <c r="U388" i="3" s="1"/>
  <c r="M390" i="3"/>
  <c r="U390" i="3" s="1"/>
  <c r="O391" i="3"/>
  <c r="W391" i="3" s="1"/>
  <c r="O392" i="3"/>
  <c r="W392" i="3" s="1"/>
  <c r="O393" i="3"/>
  <c r="W393" i="3" s="1"/>
  <c r="O394" i="3"/>
  <c r="W394" i="3" s="1"/>
  <c r="O395" i="3"/>
  <c r="W395" i="3" s="1"/>
  <c r="O396" i="3"/>
  <c r="W396" i="3" s="1"/>
  <c r="O397" i="3"/>
  <c r="W397" i="3" s="1"/>
  <c r="O398" i="3"/>
  <c r="W398" i="3" s="1"/>
  <c r="O399" i="3"/>
  <c r="W399" i="3" s="1"/>
  <c r="O400" i="3"/>
  <c r="W400" i="3" s="1"/>
  <c r="O401" i="3"/>
  <c r="W401" i="3" s="1"/>
  <c r="O402" i="3"/>
  <c r="W402" i="3" s="1"/>
  <c r="O403" i="3"/>
  <c r="W403" i="3" s="1"/>
  <c r="O404" i="3"/>
  <c r="W404" i="3" s="1"/>
  <c r="O405" i="3"/>
  <c r="W405" i="3" s="1"/>
  <c r="O406" i="3"/>
  <c r="W406" i="3" s="1"/>
  <c r="O407" i="3"/>
  <c r="W407" i="3" s="1"/>
  <c r="O408" i="3"/>
  <c r="W408" i="3" s="1"/>
  <c r="O409" i="3"/>
  <c r="W409" i="3" s="1"/>
  <c r="O410" i="3"/>
  <c r="W410" i="3" s="1"/>
  <c r="O411" i="3"/>
  <c r="W411" i="3" s="1"/>
  <c r="O412" i="3"/>
  <c r="W412" i="3" s="1"/>
  <c r="O413" i="3"/>
  <c r="W413" i="3" s="1"/>
  <c r="O414" i="3"/>
  <c r="W414" i="3" s="1"/>
  <c r="O415" i="3"/>
  <c r="W415" i="3" s="1"/>
  <c r="O416" i="3"/>
  <c r="W416" i="3" s="1"/>
  <c r="O417" i="3"/>
  <c r="W417" i="3" s="1"/>
  <c r="O418" i="3"/>
  <c r="W418" i="3" s="1"/>
  <c r="O419" i="3"/>
  <c r="W419" i="3" s="1"/>
  <c r="O420" i="3"/>
  <c r="W420" i="3" s="1"/>
  <c r="O421" i="3"/>
  <c r="W421" i="3" s="1"/>
  <c r="O422" i="3"/>
  <c r="W422" i="3" s="1"/>
  <c r="O423" i="3"/>
  <c r="W423" i="3" s="1"/>
  <c r="O424" i="3"/>
  <c r="W424" i="3" s="1"/>
  <c r="O425" i="3"/>
  <c r="W425" i="3" s="1"/>
  <c r="O426" i="3"/>
  <c r="W426" i="3" s="1"/>
  <c r="O427" i="3"/>
  <c r="W427" i="3" s="1"/>
  <c r="O428" i="3"/>
  <c r="W428" i="3" s="1"/>
  <c r="O429" i="3"/>
  <c r="W429" i="3" s="1"/>
  <c r="O430" i="3"/>
  <c r="W430" i="3" s="1"/>
  <c r="O431" i="3"/>
  <c r="W431" i="3" s="1"/>
  <c r="O432" i="3"/>
  <c r="W432" i="3" s="1"/>
  <c r="O433" i="3"/>
  <c r="W433" i="3" s="1"/>
  <c r="O434" i="3"/>
  <c r="W434" i="3" s="1"/>
  <c r="O435" i="3"/>
  <c r="W435" i="3" s="1"/>
  <c r="O436" i="3"/>
  <c r="W436" i="3" s="1"/>
  <c r="O437" i="3"/>
  <c r="W437" i="3" s="1"/>
  <c r="O438" i="3"/>
  <c r="O439" i="3"/>
  <c r="W439" i="3" s="1"/>
  <c r="O440" i="3"/>
  <c r="W440" i="3" s="1"/>
  <c r="Q175" i="3"/>
  <c r="M198" i="3"/>
  <c r="U198" i="3" s="1"/>
  <c r="M214" i="3"/>
  <c r="U214" i="3" s="1"/>
  <c r="M230" i="3"/>
  <c r="U230" i="3" s="1"/>
  <c r="M241" i="3"/>
  <c r="U241" i="3" s="1"/>
  <c r="L122" i="3"/>
  <c r="T122" i="3" s="1"/>
  <c r="M191" i="3"/>
  <c r="U191" i="3" s="1"/>
  <c r="M215" i="3"/>
  <c r="U215" i="3" s="1"/>
  <c r="M234" i="3"/>
  <c r="U234" i="3" s="1"/>
  <c r="M247" i="3"/>
  <c r="U247" i="3" s="1"/>
  <c r="M259" i="3"/>
  <c r="U259" i="3" s="1"/>
  <c r="M273" i="3"/>
  <c r="U273" i="3" s="1"/>
  <c r="M285" i="3"/>
  <c r="U285" i="3" s="1"/>
  <c r="Q292" i="3"/>
  <c r="Q298" i="3"/>
  <c r="Q304" i="3"/>
  <c r="Q310" i="3"/>
  <c r="P316" i="3"/>
  <c r="X316" i="3" s="1"/>
  <c r="M321" i="3"/>
  <c r="U321" i="3" s="1"/>
  <c r="Q325" i="3"/>
  <c r="P330" i="3"/>
  <c r="X330" i="3" s="1"/>
  <c r="Q334" i="3"/>
  <c r="M339" i="3"/>
  <c r="U339" i="3" s="1"/>
  <c r="Q343" i="3"/>
  <c r="P348" i="3"/>
  <c r="X348" i="3" s="1"/>
  <c r="M353" i="3"/>
  <c r="U353" i="3" s="1"/>
  <c r="Q357" i="3"/>
  <c r="P362" i="3"/>
  <c r="X362" i="3" s="1"/>
  <c r="Q366" i="3"/>
  <c r="M371" i="3"/>
  <c r="Q375" i="3"/>
  <c r="P380" i="3"/>
  <c r="X380" i="3" s="1"/>
  <c r="O384" i="3"/>
  <c r="W384" i="3" s="1"/>
  <c r="Q386" i="3"/>
  <c r="L389" i="3"/>
  <c r="T389" i="3" s="1"/>
  <c r="K391" i="3"/>
  <c r="L392" i="3"/>
  <c r="T392" i="3" s="1"/>
  <c r="M393" i="3"/>
  <c r="U393" i="3" s="1"/>
  <c r="N394" i="3"/>
  <c r="V394" i="3" s="1"/>
  <c r="P395" i="3"/>
  <c r="X395" i="3" s="1"/>
  <c r="Q396" i="3"/>
  <c r="R397" i="3"/>
  <c r="K399" i="3"/>
  <c r="L400" i="3"/>
  <c r="T400" i="3" s="1"/>
  <c r="M401" i="3"/>
  <c r="U401" i="3" s="1"/>
  <c r="N402" i="3"/>
  <c r="V402" i="3" s="1"/>
  <c r="P403" i="3"/>
  <c r="X403" i="3" s="1"/>
  <c r="Q404" i="3"/>
  <c r="R405" i="3"/>
  <c r="K407" i="3"/>
  <c r="L408" i="3"/>
  <c r="T408" i="3" s="1"/>
  <c r="M409" i="3"/>
  <c r="U409" i="3" s="1"/>
  <c r="N410" i="3"/>
  <c r="V410" i="3" s="1"/>
  <c r="P411" i="3"/>
  <c r="X411" i="3" s="1"/>
  <c r="Q412" i="3"/>
  <c r="R413" i="3"/>
  <c r="K415" i="3"/>
  <c r="L416" i="3"/>
  <c r="T416" i="3" s="1"/>
  <c r="M417" i="3"/>
  <c r="U417" i="3" s="1"/>
  <c r="N418" i="3"/>
  <c r="V418" i="3" s="1"/>
  <c r="P419" i="3"/>
  <c r="X419" i="3" s="1"/>
  <c r="Q420" i="3"/>
  <c r="R421" i="3"/>
  <c r="K423" i="3"/>
  <c r="L424" i="3"/>
  <c r="T424" i="3" s="1"/>
  <c r="M425" i="3"/>
  <c r="U425" i="3" s="1"/>
  <c r="N426" i="3"/>
  <c r="V426" i="3" s="1"/>
  <c r="P427" i="3"/>
  <c r="X427" i="3" s="1"/>
  <c r="Q428" i="3"/>
  <c r="R429" i="3"/>
  <c r="K431" i="3"/>
  <c r="L432" i="3"/>
  <c r="T432" i="3" s="1"/>
  <c r="M433" i="3"/>
  <c r="U433" i="3" s="1"/>
  <c r="N434" i="3"/>
  <c r="V434" i="3" s="1"/>
  <c r="P435" i="3"/>
  <c r="X435" i="3" s="1"/>
  <c r="Q436" i="3"/>
  <c r="R437" i="3"/>
  <c r="K439" i="3"/>
  <c r="L440" i="3"/>
  <c r="M441" i="3"/>
  <c r="U441" i="3" s="1"/>
  <c r="M442" i="3"/>
  <c r="U442" i="3" s="1"/>
  <c r="M443" i="3"/>
  <c r="U443" i="3" s="1"/>
  <c r="M444" i="3"/>
  <c r="U444" i="3" s="1"/>
  <c r="M445" i="3"/>
  <c r="U445" i="3" s="1"/>
  <c r="M446" i="3"/>
  <c r="U446" i="3" s="1"/>
  <c r="M447" i="3"/>
  <c r="U447" i="3" s="1"/>
  <c r="M448" i="3"/>
  <c r="U448" i="3" s="1"/>
  <c r="M449" i="3"/>
  <c r="U449" i="3" s="1"/>
  <c r="M450" i="3"/>
  <c r="U450" i="3" s="1"/>
  <c r="M451" i="3"/>
  <c r="U451" i="3" s="1"/>
  <c r="L146" i="3"/>
  <c r="T146" i="3" s="1"/>
  <c r="M194" i="3"/>
  <c r="U194" i="3" s="1"/>
  <c r="M218" i="3"/>
  <c r="U218" i="3" s="1"/>
  <c r="M235" i="3"/>
  <c r="U235" i="3" s="1"/>
  <c r="M249" i="3"/>
  <c r="U249" i="3" s="1"/>
  <c r="M262" i="3"/>
  <c r="U262" i="3" s="1"/>
  <c r="M274" i="3"/>
  <c r="U274" i="3" s="1"/>
  <c r="M286" i="3"/>
  <c r="U286" i="3" s="1"/>
  <c r="M293" i="3"/>
  <c r="U293" i="3" s="1"/>
  <c r="M299" i="3"/>
  <c r="U299" i="3" s="1"/>
  <c r="M305" i="3"/>
  <c r="U305" i="3" s="1"/>
  <c r="M311" i="3"/>
  <c r="U311" i="3" s="1"/>
  <c r="M317" i="3"/>
  <c r="U317" i="3" s="1"/>
  <c r="Q321" i="3"/>
  <c r="P326" i="3"/>
  <c r="X326" i="3" s="1"/>
  <c r="Q330" i="3"/>
  <c r="M335" i="3"/>
  <c r="U335" i="3" s="1"/>
  <c r="Q339" i="3"/>
  <c r="P344" i="3"/>
  <c r="X344" i="3" s="1"/>
  <c r="M349" i="3"/>
  <c r="U349" i="3" s="1"/>
  <c r="Q353" i="3"/>
  <c r="P358" i="3"/>
  <c r="X358" i="3" s="1"/>
  <c r="L154" i="3"/>
  <c r="T154" i="3" s="1"/>
  <c r="M199" i="3"/>
  <c r="U199" i="3" s="1"/>
  <c r="M219" i="3"/>
  <c r="U219" i="3" s="1"/>
  <c r="M237" i="3"/>
  <c r="U237" i="3" s="1"/>
  <c r="M251" i="3"/>
  <c r="U251" i="3" s="1"/>
  <c r="M263" i="3"/>
  <c r="U263" i="3" s="1"/>
  <c r="M275" i="3"/>
  <c r="U275" i="3" s="1"/>
  <c r="M287" i="3"/>
  <c r="U287" i="3" s="1"/>
  <c r="Q293" i="3"/>
  <c r="Q299" i="3"/>
  <c r="Q305" i="3"/>
  <c r="Q312" i="3"/>
  <c r="Q317" i="3"/>
  <c r="P322" i="3"/>
  <c r="Q326" i="3"/>
  <c r="M331" i="3"/>
  <c r="U331" i="3" s="1"/>
  <c r="Q335" i="3"/>
  <c r="P340" i="3"/>
  <c r="X340" i="3" s="1"/>
  <c r="M345" i="3"/>
  <c r="U345" i="3" s="1"/>
  <c r="Q349" i="3"/>
  <c r="Q167" i="3"/>
  <c r="M202" i="3"/>
  <c r="U202" i="3" s="1"/>
  <c r="M222" i="3"/>
  <c r="U222" i="3" s="1"/>
  <c r="M238" i="3"/>
  <c r="U238" i="3" s="1"/>
  <c r="M253" i="3"/>
  <c r="U253" i="3" s="1"/>
  <c r="M265" i="3"/>
  <c r="U265" i="3" s="1"/>
  <c r="M277" i="3"/>
  <c r="U277" i="3" s="1"/>
  <c r="Q288" i="3"/>
  <c r="Q294" i="3"/>
  <c r="Q300" i="3"/>
  <c r="M307" i="3"/>
  <c r="U307" i="3" s="1"/>
  <c r="M313" i="3"/>
  <c r="U313" i="3" s="1"/>
  <c r="P318" i="3"/>
  <c r="X318" i="3" s="1"/>
  <c r="Q322" i="3"/>
  <c r="M327" i="3"/>
  <c r="U327" i="3" s="1"/>
  <c r="Q331" i="3"/>
  <c r="P336" i="3"/>
  <c r="X336" i="3" s="1"/>
  <c r="M341" i="3"/>
  <c r="U341" i="3" s="1"/>
  <c r="Q345" i="3"/>
  <c r="P350" i="3"/>
  <c r="X350" i="3" s="1"/>
  <c r="Q354" i="3"/>
  <c r="M359" i="3"/>
  <c r="U359" i="3" s="1"/>
  <c r="Q363" i="3"/>
  <c r="P368" i="3"/>
  <c r="X368" i="3" s="1"/>
  <c r="M373" i="3"/>
  <c r="U373" i="3" s="1"/>
  <c r="Q377" i="3"/>
  <c r="P382" i="3"/>
  <c r="X382" i="3" s="1"/>
  <c r="M385" i="3"/>
  <c r="U385" i="3" s="1"/>
  <c r="O387" i="3"/>
  <c r="W387" i="3" s="1"/>
  <c r="Q389" i="3"/>
  <c r="N391" i="3"/>
  <c r="V391" i="3" s="1"/>
  <c r="P392" i="3"/>
  <c r="X392" i="3" s="1"/>
  <c r="Q393" i="3"/>
  <c r="R394" i="3"/>
  <c r="K396" i="3"/>
  <c r="L397" i="3"/>
  <c r="T397" i="3" s="1"/>
  <c r="M398" i="3"/>
  <c r="U398" i="3" s="1"/>
  <c r="N399" i="3"/>
  <c r="V399" i="3" s="1"/>
  <c r="P400" i="3"/>
  <c r="X400" i="3" s="1"/>
  <c r="Q401" i="3"/>
  <c r="R402" i="3"/>
  <c r="K404" i="3"/>
  <c r="L405" i="3"/>
  <c r="T405" i="3" s="1"/>
  <c r="M406" i="3"/>
  <c r="U406" i="3" s="1"/>
  <c r="N407" i="3"/>
  <c r="V407" i="3" s="1"/>
  <c r="P408" i="3"/>
  <c r="X408" i="3" s="1"/>
  <c r="Q409" i="3"/>
  <c r="R410" i="3"/>
  <c r="K412" i="3"/>
  <c r="L413" i="3"/>
  <c r="T413" i="3" s="1"/>
  <c r="M414" i="3"/>
  <c r="U414" i="3" s="1"/>
  <c r="N415" i="3"/>
  <c r="V415" i="3" s="1"/>
  <c r="P416" i="3"/>
  <c r="X416" i="3" s="1"/>
  <c r="Q417" i="3"/>
  <c r="R418" i="3"/>
  <c r="K420" i="3"/>
  <c r="L421" i="3"/>
  <c r="M422" i="3"/>
  <c r="U422" i="3" s="1"/>
  <c r="N423" i="3"/>
  <c r="V423" i="3" s="1"/>
  <c r="P424" i="3"/>
  <c r="X424" i="3" s="1"/>
  <c r="Q425" i="3"/>
  <c r="R426" i="3"/>
  <c r="K428" i="3"/>
  <c r="L429" i="3"/>
  <c r="T429" i="3" s="1"/>
  <c r="M430" i="3"/>
  <c r="U430" i="3" s="1"/>
  <c r="N431" i="3"/>
  <c r="V431" i="3" s="1"/>
  <c r="P432" i="3"/>
  <c r="X432" i="3" s="1"/>
  <c r="Q433" i="3"/>
  <c r="R434" i="3"/>
  <c r="K436" i="3"/>
  <c r="L437" i="3"/>
  <c r="T437" i="3" s="1"/>
  <c r="M438" i="3"/>
  <c r="U438" i="3" s="1"/>
  <c r="N439" i="3"/>
  <c r="V439" i="3" s="1"/>
  <c r="P440" i="3"/>
  <c r="X440" i="3" s="1"/>
  <c r="P441" i="3"/>
  <c r="X441" i="3" s="1"/>
  <c r="P442" i="3"/>
  <c r="X442" i="3" s="1"/>
  <c r="P443" i="3"/>
  <c r="X443" i="3" s="1"/>
  <c r="P444" i="3"/>
  <c r="X444" i="3" s="1"/>
  <c r="P445" i="3"/>
  <c r="X445" i="3" s="1"/>
  <c r="P446" i="3"/>
  <c r="X446" i="3" s="1"/>
  <c r="P447" i="3"/>
  <c r="X447" i="3" s="1"/>
  <c r="P448" i="3"/>
  <c r="X448" i="3" s="1"/>
  <c r="P449" i="3"/>
  <c r="X449" i="3" s="1"/>
  <c r="P450" i="3"/>
  <c r="X450" i="3" s="1"/>
  <c r="Q183" i="3"/>
  <c r="M206" i="3"/>
  <c r="U206" i="3" s="1"/>
  <c r="M226" i="3"/>
  <c r="U226" i="3" s="1"/>
  <c r="M243" i="3"/>
  <c r="U243" i="3" s="1"/>
  <c r="M255" i="3"/>
  <c r="M267" i="3"/>
  <c r="M279" i="3"/>
  <c r="Q289" i="3"/>
  <c r="Q296" i="3"/>
  <c r="Q302" i="3"/>
  <c r="Q308" i="3"/>
  <c r="Q314" i="3"/>
  <c r="M319" i="3"/>
  <c r="U319" i="3" s="1"/>
  <c r="Q323" i="3"/>
  <c r="P328" i="3"/>
  <c r="X328" i="3" s="1"/>
  <c r="M333" i="3"/>
  <c r="U333" i="3" s="1"/>
  <c r="Q337" i="3"/>
  <c r="P342" i="3"/>
  <c r="X342" i="3" s="1"/>
  <c r="Q346" i="3"/>
  <c r="M351" i="3"/>
  <c r="U351" i="3" s="1"/>
  <c r="Q355" i="3"/>
  <c r="P390" i="3"/>
  <c r="X390" i="3" s="1"/>
  <c r="P389" i="3"/>
  <c r="X389" i="3" s="1"/>
  <c r="P388" i="3"/>
  <c r="X388" i="3" s="1"/>
  <c r="P387" i="3"/>
  <c r="X387" i="3" s="1"/>
  <c r="P386" i="3"/>
  <c r="X386" i="3" s="1"/>
  <c r="P385" i="3"/>
  <c r="X385" i="3" s="1"/>
  <c r="P384" i="3"/>
  <c r="X384" i="3" s="1"/>
  <c r="P383" i="3"/>
  <c r="X383" i="3" s="1"/>
  <c r="P381" i="3"/>
  <c r="X381" i="3" s="1"/>
  <c r="P379" i="3"/>
  <c r="X379" i="3" s="1"/>
  <c r="P377" i="3"/>
  <c r="X377" i="3" s="1"/>
  <c r="P375" i="3"/>
  <c r="X375" i="3" s="1"/>
  <c r="P373" i="3"/>
  <c r="X373" i="3" s="1"/>
  <c r="P371" i="3"/>
  <c r="X371" i="3" s="1"/>
  <c r="P369" i="3"/>
  <c r="X369" i="3" s="1"/>
  <c r="P367" i="3"/>
  <c r="X367" i="3" s="1"/>
  <c r="P365" i="3"/>
  <c r="X365" i="3" s="1"/>
  <c r="P363" i="3"/>
  <c r="X363" i="3" s="1"/>
  <c r="P361" i="3"/>
  <c r="X361" i="3" s="1"/>
  <c r="P359" i="3"/>
  <c r="X359" i="3" s="1"/>
  <c r="P357" i="3"/>
  <c r="X357" i="3" s="1"/>
  <c r="P355" i="3"/>
  <c r="X355" i="3" s="1"/>
  <c r="P353" i="3"/>
  <c r="X353" i="3" s="1"/>
  <c r="P351" i="3"/>
  <c r="X351" i="3" s="1"/>
  <c r="P349" i="3"/>
  <c r="X349" i="3" s="1"/>
  <c r="P347" i="3"/>
  <c r="X347" i="3" s="1"/>
  <c r="P345" i="3"/>
  <c r="X345" i="3" s="1"/>
  <c r="P343" i="3"/>
  <c r="X343" i="3" s="1"/>
  <c r="P341" i="3"/>
  <c r="X341" i="3" s="1"/>
  <c r="P339" i="3"/>
  <c r="X339" i="3" s="1"/>
  <c r="P337" i="3"/>
  <c r="X337" i="3" s="1"/>
  <c r="P335" i="3"/>
  <c r="X335" i="3" s="1"/>
  <c r="P333" i="3"/>
  <c r="P331" i="3"/>
  <c r="X331" i="3" s="1"/>
  <c r="P329" i="3"/>
  <c r="X329" i="3" s="1"/>
  <c r="P327" i="3"/>
  <c r="X327" i="3" s="1"/>
  <c r="P325" i="3"/>
  <c r="X325" i="3" s="1"/>
  <c r="P323" i="3"/>
  <c r="X323" i="3" s="1"/>
  <c r="P321" i="3"/>
  <c r="X321" i="3" s="1"/>
  <c r="P319" i="3"/>
  <c r="X319" i="3" s="1"/>
  <c r="P317" i="3"/>
  <c r="X317" i="3" s="1"/>
  <c r="P315" i="3"/>
  <c r="X315" i="3" s="1"/>
  <c r="P313" i="3"/>
  <c r="X313" i="3" s="1"/>
  <c r="P311" i="3"/>
  <c r="X311" i="3" s="1"/>
  <c r="P309" i="3"/>
  <c r="X309" i="3" s="1"/>
  <c r="P307" i="3"/>
  <c r="X307" i="3" s="1"/>
  <c r="P305" i="3"/>
  <c r="X305" i="3" s="1"/>
  <c r="P303" i="3"/>
  <c r="X303" i="3" s="1"/>
  <c r="P301" i="3"/>
  <c r="X301" i="3" s="1"/>
  <c r="P299" i="3"/>
  <c r="X299" i="3" s="1"/>
  <c r="P297" i="3"/>
  <c r="X297" i="3" s="1"/>
  <c r="P295" i="3"/>
  <c r="X295" i="3" s="1"/>
  <c r="P293" i="3"/>
  <c r="X293" i="3" s="1"/>
  <c r="P291" i="3"/>
  <c r="X291" i="3" s="1"/>
  <c r="P289" i="3"/>
  <c r="X289" i="3" s="1"/>
  <c r="K287" i="3"/>
  <c r="K283" i="3"/>
  <c r="K279" i="3"/>
  <c r="K275" i="3"/>
  <c r="K271" i="3"/>
  <c r="K267" i="3"/>
  <c r="K263" i="3"/>
  <c r="K259" i="3"/>
  <c r="K255" i="3"/>
  <c r="K251" i="3"/>
  <c r="K247" i="3"/>
  <c r="K243" i="3"/>
  <c r="K239" i="3"/>
  <c r="K235" i="3"/>
  <c r="K231" i="3"/>
  <c r="K227" i="3"/>
  <c r="K223" i="3"/>
  <c r="K219" i="3"/>
  <c r="K215" i="3"/>
  <c r="K211" i="3"/>
  <c r="K207" i="3"/>
  <c r="K203" i="3"/>
  <c r="K199" i="3"/>
  <c r="K195" i="3"/>
  <c r="K191" i="3"/>
  <c r="K185" i="3"/>
  <c r="K177" i="3"/>
  <c r="K169" i="3"/>
  <c r="L151" i="3"/>
  <c r="T151" i="3" s="1"/>
  <c r="L119" i="3"/>
  <c r="T119" i="3" s="1"/>
  <c r="N390" i="3"/>
  <c r="N389" i="3"/>
  <c r="V389" i="3" s="1"/>
  <c r="N388" i="3"/>
  <c r="V388" i="3" s="1"/>
  <c r="N387" i="3"/>
  <c r="V387" i="3" s="1"/>
  <c r="N386" i="3"/>
  <c r="V386" i="3" s="1"/>
  <c r="N385" i="3"/>
  <c r="V385" i="3" s="1"/>
  <c r="N384" i="3"/>
  <c r="V384" i="3" s="1"/>
  <c r="K383" i="3"/>
  <c r="K381" i="3"/>
  <c r="K379" i="3"/>
  <c r="K377" i="3"/>
  <c r="K375" i="3"/>
  <c r="K373" i="3"/>
  <c r="K371" i="3"/>
  <c r="K369" i="3"/>
  <c r="K367" i="3"/>
  <c r="K365" i="3"/>
  <c r="K363" i="3"/>
  <c r="K361" i="3"/>
  <c r="K359" i="3"/>
  <c r="K357" i="3"/>
  <c r="K355" i="3"/>
  <c r="K353" i="3"/>
  <c r="K351" i="3"/>
  <c r="K349" i="3"/>
  <c r="K347" i="3"/>
  <c r="K345" i="3"/>
  <c r="K343" i="3"/>
  <c r="K341" i="3"/>
  <c r="K339" i="3"/>
  <c r="K337" i="3"/>
  <c r="K335" i="3"/>
  <c r="K333" i="3"/>
  <c r="K331" i="3"/>
  <c r="K329" i="3"/>
  <c r="K327" i="3"/>
  <c r="K325" i="3"/>
  <c r="K323" i="3"/>
  <c r="K321" i="3"/>
  <c r="K319" i="3"/>
  <c r="K317" i="3"/>
  <c r="K315" i="3"/>
  <c r="K313" i="3"/>
  <c r="K311" i="3"/>
  <c r="K309" i="3"/>
  <c r="K307" i="3"/>
  <c r="K305" i="3"/>
  <c r="K303" i="3"/>
  <c r="K301" i="3"/>
  <c r="K299" i="3"/>
  <c r="K297" i="3"/>
  <c r="K295" i="3"/>
  <c r="K293" i="3"/>
  <c r="K291" i="3"/>
  <c r="K289" i="3"/>
  <c r="Q285" i="3"/>
  <c r="Q281" i="3"/>
  <c r="Q277" i="3"/>
  <c r="Q273" i="3"/>
  <c r="Q269" i="3"/>
  <c r="Q265" i="3"/>
  <c r="Q261" i="3"/>
  <c r="Q257" i="3"/>
  <c r="Q253" i="3"/>
  <c r="Q249" i="3"/>
  <c r="Q245" i="3"/>
  <c r="Q241" i="3"/>
  <c r="Q237" i="3"/>
  <c r="Q233" i="3"/>
  <c r="Q229" i="3"/>
  <c r="Q225" i="3"/>
  <c r="Q221" i="3"/>
  <c r="Q217" i="3"/>
  <c r="Q213" i="3"/>
  <c r="Q209" i="3"/>
  <c r="Q205" i="3"/>
  <c r="Q201" i="3"/>
  <c r="Q197" i="3"/>
  <c r="Q193" i="3"/>
  <c r="M189" i="3"/>
  <c r="U189" i="3" s="1"/>
  <c r="K183" i="3"/>
  <c r="K175" i="3"/>
  <c r="K167" i="3"/>
  <c r="L143" i="3"/>
  <c r="T143" i="3" s="1"/>
  <c r="L103" i="3"/>
  <c r="T103" i="3" s="1"/>
  <c r="M229" i="3"/>
  <c r="U229" i="3" s="1"/>
  <c r="M225" i="3"/>
  <c r="U225" i="3" s="1"/>
  <c r="M221" i="3"/>
  <c r="U221" i="3" s="1"/>
  <c r="M217" i="3"/>
  <c r="U217" i="3" s="1"/>
  <c r="M213" i="3"/>
  <c r="U213" i="3" s="1"/>
  <c r="M209" i="3"/>
  <c r="U209" i="3" s="1"/>
  <c r="M205" i="3"/>
  <c r="M201" i="3"/>
  <c r="M197" i="3"/>
  <c r="U197" i="3" s="1"/>
  <c r="M193" i="3"/>
  <c r="U193" i="3" s="1"/>
  <c r="K189" i="3"/>
  <c r="Q181" i="3"/>
  <c r="Q173" i="3"/>
  <c r="M165" i="3"/>
  <c r="U165" i="3" s="1"/>
  <c r="L138" i="3"/>
  <c r="R93" i="3"/>
  <c r="P314" i="3"/>
  <c r="X314" i="3" s="1"/>
  <c r="P312" i="3"/>
  <c r="X312" i="3" s="1"/>
  <c r="P310" i="3"/>
  <c r="X310" i="3" s="1"/>
  <c r="P308" i="3"/>
  <c r="X308" i="3" s="1"/>
  <c r="P306" i="3"/>
  <c r="X306" i="3" s="1"/>
  <c r="P304" i="3"/>
  <c r="X304" i="3" s="1"/>
  <c r="P302" i="3"/>
  <c r="X302" i="3" s="1"/>
  <c r="P300" i="3"/>
  <c r="X300" i="3" s="1"/>
  <c r="P298" i="3"/>
  <c r="X298" i="3" s="1"/>
  <c r="P296" i="3"/>
  <c r="X296" i="3" s="1"/>
  <c r="P294" i="3"/>
  <c r="X294" i="3" s="1"/>
  <c r="P292" i="3"/>
  <c r="X292" i="3" s="1"/>
  <c r="P290" i="3"/>
  <c r="X290" i="3" s="1"/>
  <c r="P288" i="3"/>
  <c r="X288" i="3" s="1"/>
  <c r="K285" i="3"/>
  <c r="K281" i="3"/>
  <c r="K277" i="3"/>
  <c r="K273" i="3"/>
  <c r="K269" i="3"/>
  <c r="K265" i="3"/>
  <c r="K261" i="3"/>
  <c r="K257" i="3"/>
  <c r="K253" i="3"/>
  <c r="K249" i="3"/>
  <c r="K245" i="3"/>
  <c r="K241" i="3"/>
  <c r="K237" i="3"/>
  <c r="K233" i="3"/>
  <c r="K229" i="3"/>
  <c r="K225" i="3"/>
  <c r="K221" i="3"/>
  <c r="K217" i="3"/>
  <c r="K213" i="3"/>
  <c r="K209" i="3"/>
  <c r="K205" i="3"/>
  <c r="K201" i="3"/>
  <c r="K197" i="3"/>
  <c r="K193" i="3"/>
  <c r="Q187" i="3"/>
  <c r="K181" i="3"/>
  <c r="K173" i="3"/>
  <c r="Q163" i="3"/>
  <c r="L135" i="3"/>
  <c r="T135" i="3" s="1"/>
  <c r="R77" i="3"/>
  <c r="K390" i="3"/>
  <c r="K389" i="3"/>
  <c r="K388" i="3"/>
  <c r="K387" i="3"/>
  <c r="K386" i="3"/>
  <c r="K385" i="3"/>
  <c r="K384" i="3"/>
  <c r="M382" i="3"/>
  <c r="U382" i="3" s="1"/>
  <c r="M380" i="3"/>
  <c r="U380" i="3" s="1"/>
  <c r="M378" i="3"/>
  <c r="U378" i="3" s="1"/>
  <c r="M376" i="3"/>
  <c r="U376" i="3" s="1"/>
  <c r="M374" i="3"/>
  <c r="U374" i="3" s="1"/>
  <c r="M372" i="3"/>
  <c r="U372" i="3" s="1"/>
  <c r="M370" i="3"/>
  <c r="U370" i="3" s="1"/>
  <c r="M368" i="3"/>
  <c r="U368" i="3" s="1"/>
  <c r="M366" i="3"/>
  <c r="U366" i="3" s="1"/>
  <c r="M364" i="3"/>
  <c r="U364" i="3" s="1"/>
  <c r="M362" i="3"/>
  <c r="U362" i="3" s="1"/>
  <c r="M360" i="3"/>
  <c r="U360" i="3" s="1"/>
  <c r="M358" i="3"/>
  <c r="U358" i="3" s="1"/>
  <c r="M356" i="3"/>
  <c r="U356" i="3" s="1"/>
  <c r="M354" i="3"/>
  <c r="U354" i="3" s="1"/>
  <c r="M352" i="3"/>
  <c r="U352" i="3" s="1"/>
  <c r="M350" i="3"/>
  <c r="U350" i="3" s="1"/>
  <c r="M348" i="3"/>
  <c r="U348" i="3" s="1"/>
  <c r="M346" i="3"/>
  <c r="U346" i="3" s="1"/>
  <c r="M344" i="3"/>
  <c r="U344" i="3" s="1"/>
  <c r="M342" i="3"/>
  <c r="U342" i="3" s="1"/>
  <c r="M340" i="3"/>
  <c r="U340" i="3" s="1"/>
  <c r="M338" i="3"/>
  <c r="U338" i="3" s="1"/>
  <c r="M336" i="3"/>
  <c r="U336" i="3" s="1"/>
  <c r="M334" i="3"/>
  <c r="U334" i="3" s="1"/>
  <c r="M332" i="3"/>
  <c r="U332" i="3" s="1"/>
  <c r="M330" i="3"/>
  <c r="U330" i="3" s="1"/>
  <c r="M328" i="3"/>
  <c r="U328" i="3" s="1"/>
  <c r="M326" i="3"/>
  <c r="U326" i="3" s="1"/>
  <c r="M324" i="3"/>
  <c r="U324" i="3" s="1"/>
  <c r="M322" i="3"/>
  <c r="U322" i="3" s="1"/>
  <c r="M320" i="3"/>
  <c r="U320" i="3" s="1"/>
  <c r="M318" i="3"/>
  <c r="U318" i="3" s="1"/>
  <c r="M316" i="3"/>
  <c r="U316" i="3" s="1"/>
  <c r="M314" i="3"/>
  <c r="U314" i="3" s="1"/>
  <c r="M312" i="3"/>
  <c r="M310" i="3"/>
  <c r="M308" i="3"/>
  <c r="U308" i="3" s="1"/>
  <c r="M306" i="3"/>
  <c r="U306" i="3" s="1"/>
  <c r="M304" i="3"/>
  <c r="U304" i="3" s="1"/>
  <c r="M302" i="3"/>
  <c r="U302" i="3" s="1"/>
  <c r="M300" i="3"/>
  <c r="U300" i="3" s="1"/>
  <c r="M298" i="3"/>
  <c r="U298" i="3" s="1"/>
  <c r="M296" i="3"/>
  <c r="U296" i="3" s="1"/>
  <c r="M294" i="3"/>
  <c r="M292" i="3"/>
  <c r="U292" i="3" s="1"/>
  <c r="M290" i="3"/>
  <c r="U290" i="3" s="1"/>
  <c r="M288" i="3"/>
  <c r="U288" i="3" s="1"/>
  <c r="M284" i="3"/>
  <c r="U284" i="3" s="1"/>
  <c r="M280" i="3"/>
  <c r="U280" i="3" s="1"/>
  <c r="M276" i="3"/>
  <c r="U276" i="3" s="1"/>
  <c r="M272" i="3"/>
  <c r="U272" i="3" s="1"/>
  <c r="M268" i="3"/>
  <c r="U268" i="3" s="1"/>
  <c r="M264" i="3"/>
  <c r="U264" i="3" s="1"/>
  <c r="M260" i="3"/>
  <c r="U260" i="3" s="1"/>
  <c r="M256" i="3"/>
  <c r="U256" i="3" s="1"/>
  <c r="M252" i="3"/>
  <c r="U252" i="3" s="1"/>
  <c r="M248" i="3"/>
  <c r="U248" i="3" s="1"/>
  <c r="M244" i="3"/>
  <c r="U244" i="3" s="1"/>
  <c r="M240" i="3"/>
  <c r="U240" i="3" s="1"/>
  <c r="M236" i="3"/>
  <c r="U236" i="3" s="1"/>
  <c r="M232" i="3"/>
  <c r="U232" i="3" s="1"/>
  <c r="M228" i="3"/>
  <c r="U228" i="3" s="1"/>
  <c r="M224" i="3"/>
  <c r="U224" i="3" s="1"/>
  <c r="M220" i="3"/>
  <c r="U220" i="3" s="1"/>
  <c r="M216" i="3"/>
  <c r="U216" i="3" s="1"/>
  <c r="M212" i="3"/>
  <c r="U212" i="3" s="1"/>
  <c r="M208" i="3"/>
  <c r="U208" i="3" s="1"/>
  <c r="M204" i="3"/>
  <c r="U204" i="3" s="1"/>
  <c r="M200" i="3"/>
  <c r="U200" i="3" s="1"/>
  <c r="M196" i="3"/>
  <c r="U196" i="3" s="1"/>
  <c r="M192" i="3"/>
  <c r="U192" i="3" s="1"/>
  <c r="M187" i="3"/>
  <c r="U187" i="3" s="1"/>
  <c r="Q179" i="3"/>
  <c r="Q171" i="3"/>
  <c r="M161" i="3"/>
  <c r="U161" i="3" s="1"/>
  <c r="L130" i="3"/>
  <c r="T130" i="3" s="1"/>
  <c r="R69" i="3"/>
  <c r="R389" i="3"/>
  <c r="R388" i="3"/>
  <c r="R387" i="3"/>
  <c r="R386" i="3"/>
  <c r="R385" i="3"/>
  <c r="R384" i="3"/>
  <c r="R383" i="3"/>
  <c r="K382" i="3"/>
  <c r="K380" i="3"/>
  <c r="K378" i="3"/>
  <c r="K376" i="3"/>
  <c r="K374" i="3"/>
  <c r="K372" i="3"/>
  <c r="K370" i="3"/>
  <c r="K368" i="3"/>
  <c r="K366" i="3"/>
  <c r="K364" i="3"/>
  <c r="K362" i="3"/>
  <c r="K360" i="3"/>
  <c r="K358" i="3"/>
  <c r="K356" i="3"/>
  <c r="K354" i="3"/>
  <c r="K352" i="3"/>
  <c r="K350" i="3"/>
  <c r="K348" i="3"/>
  <c r="K346" i="3"/>
  <c r="K344" i="3"/>
  <c r="K342" i="3"/>
  <c r="K340" i="3"/>
  <c r="K338" i="3"/>
  <c r="K336" i="3"/>
  <c r="K334" i="3"/>
  <c r="K332" i="3"/>
  <c r="K330" i="3"/>
  <c r="K328" i="3"/>
  <c r="K326" i="3"/>
  <c r="K324" i="3"/>
  <c r="K322" i="3"/>
  <c r="K320" i="3"/>
  <c r="K318" i="3"/>
  <c r="K316" i="3"/>
  <c r="K314" i="3"/>
  <c r="K312" i="3"/>
  <c r="K310" i="3"/>
  <c r="K308" i="3"/>
  <c r="K306" i="3"/>
  <c r="K304" i="3"/>
  <c r="K302" i="3"/>
  <c r="K300" i="3"/>
  <c r="K298" i="3"/>
  <c r="K296" i="3"/>
  <c r="K294" i="3"/>
  <c r="K292" i="3"/>
  <c r="K290" i="3"/>
  <c r="Q287" i="3"/>
  <c r="Q283" i="3"/>
  <c r="Q279" i="3"/>
  <c r="Q275" i="3"/>
  <c r="Q271" i="3"/>
  <c r="Q267" i="3"/>
  <c r="Q263" i="3"/>
  <c r="Q259" i="3"/>
  <c r="Q255" i="3"/>
  <c r="Q251" i="3"/>
  <c r="Q247" i="3"/>
  <c r="Q243" i="3"/>
  <c r="Q239" i="3"/>
  <c r="Q235" i="3"/>
  <c r="Q231" i="3"/>
  <c r="Q227" i="3"/>
  <c r="Q223" i="3"/>
  <c r="Q219" i="3"/>
  <c r="Q215" i="3"/>
  <c r="Q211" i="3"/>
  <c r="Q207" i="3"/>
  <c r="Q203" i="3"/>
  <c r="Q199" i="3"/>
  <c r="Q195" i="3"/>
  <c r="Q191" i="3"/>
  <c r="K187" i="3"/>
  <c r="K179" i="3"/>
  <c r="K171" i="3"/>
  <c r="L159" i="3"/>
  <c r="T159" i="3" s="1"/>
  <c r="L127" i="3"/>
  <c r="T127" i="3" s="1"/>
  <c r="M59" i="3"/>
  <c r="U59" i="3" s="1"/>
  <c r="X465" i="3"/>
  <c r="X439" i="3"/>
  <c r="X438" i="3"/>
  <c r="X433" i="3"/>
  <c r="X429" i="3"/>
  <c r="X415" i="3"/>
  <c r="X413" i="3"/>
  <c r="X398" i="3"/>
  <c r="X333" i="3"/>
  <c r="W438" i="3"/>
  <c r="U371" i="3"/>
  <c r="U325" i="3"/>
  <c r="U297" i="3"/>
  <c r="U291" i="3"/>
  <c r="U258" i="3"/>
  <c r="T111" i="3"/>
  <c r="V447" i="3"/>
  <c r="V425" i="3"/>
  <c r="V390" i="3"/>
  <c r="U411" i="3"/>
  <c r="U205" i="3"/>
  <c r="U201" i="3"/>
  <c r="T138" i="3"/>
  <c r="T460" i="3"/>
  <c r="T440" i="3"/>
  <c r="T435" i="3"/>
  <c r="T425" i="3"/>
  <c r="T421" i="3"/>
  <c r="T410" i="3"/>
  <c r="T409" i="3"/>
  <c r="T403" i="3"/>
  <c r="T401" i="3"/>
  <c r="T398" i="3"/>
  <c r="T395" i="3"/>
  <c r="T388" i="3"/>
  <c r="X322" i="3"/>
  <c r="U312" i="3"/>
  <c r="U310" i="3"/>
  <c r="U294" i="3"/>
  <c r="U279" i="3"/>
  <c r="U267" i="3"/>
  <c r="U255" i="3"/>
  <c r="U223" i="3"/>
  <c r="O383" i="3"/>
  <c r="W383" i="3" s="1"/>
  <c r="O382" i="3"/>
  <c r="W382" i="3" s="1"/>
  <c r="O381" i="3"/>
  <c r="W381" i="3" s="1"/>
  <c r="O380" i="3"/>
  <c r="W380" i="3" s="1"/>
  <c r="O379" i="3"/>
  <c r="W379" i="3" s="1"/>
  <c r="O378" i="3"/>
  <c r="W378" i="3" s="1"/>
  <c r="O377" i="3"/>
  <c r="W377" i="3" s="1"/>
  <c r="O376" i="3"/>
  <c r="W376" i="3" s="1"/>
  <c r="O375" i="3"/>
  <c r="W375" i="3" s="1"/>
  <c r="O374" i="3"/>
  <c r="W374" i="3" s="1"/>
  <c r="O373" i="3"/>
  <c r="W373" i="3" s="1"/>
  <c r="O372" i="3"/>
  <c r="W372" i="3" s="1"/>
  <c r="O371" i="3"/>
  <c r="W371" i="3" s="1"/>
  <c r="O370" i="3"/>
  <c r="W370" i="3" s="1"/>
  <c r="O369" i="3"/>
  <c r="W369" i="3" s="1"/>
  <c r="O368" i="3"/>
  <c r="W368" i="3" s="1"/>
  <c r="O367" i="3"/>
  <c r="W367" i="3" s="1"/>
  <c r="O366" i="3"/>
  <c r="W366" i="3" s="1"/>
  <c r="O365" i="3"/>
  <c r="W365" i="3" s="1"/>
  <c r="O364" i="3"/>
  <c r="W364" i="3" s="1"/>
  <c r="O363" i="3"/>
  <c r="W363" i="3" s="1"/>
  <c r="O362" i="3"/>
  <c r="W362" i="3" s="1"/>
  <c r="O361" i="3"/>
  <c r="W361" i="3" s="1"/>
  <c r="O360" i="3"/>
  <c r="W360" i="3" s="1"/>
  <c r="O359" i="3"/>
  <c r="W359" i="3" s="1"/>
  <c r="O358" i="3"/>
  <c r="W358" i="3" s="1"/>
  <c r="O357" i="3"/>
  <c r="W357" i="3" s="1"/>
  <c r="O356" i="3"/>
  <c r="W356" i="3" s="1"/>
  <c r="O355" i="3"/>
  <c r="W355" i="3" s="1"/>
  <c r="O354" i="3"/>
  <c r="W354" i="3" s="1"/>
  <c r="O353" i="3"/>
  <c r="W353" i="3" s="1"/>
  <c r="O352" i="3"/>
  <c r="W352" i="3" s="1"/>
  <c r="O351" i="3"/>
  <c r="W351" i="3" s="1"/>
  <c r="O350" i="3"/>
  <c r="W350" i="3" s="1"/>
  <c r="O349" i="3"/>
  <c r="W349" i="3" s="1"/>
  <c r="O348" i="3"/>
  <c r="W348" i="3" s="1"/>
  <c r="O347" i="3"/>
  <c r="W347" i="3" s="1"/>
  <c r="O346" i="3"/>
  <c r="W346" i="3" s="1"/>
  <c r="O345" i="3"/>
  <c r="W345" i="3" s="1"/>
  <c r="O344" i="3"/>
  <c r="W344" i="3" s="1"/>
  <c r="O343" i="3"/>
  <c r="W343" i="3" s="1"/>
  <c r="O342" i="3"/>
  <c r="W342" i="3" s="1"/>
  <c r="O341" i="3"/>
  <c r="W341" i="3" s="1"/>
  <c r="O340" i="3"/>
  <c r="W340" i="3" s="1"/>
  <c r="O339" i="3"/>
  <c r="W339" i="3" s="1"/>
  <c r="O338" i="3"/>
  <c r="W338" i="3" s="1"/>
  <c r="O337" i="3"/>
  <c r="W337" i="3" s="1"/>
  <c r="O336" i="3"/>
  <c r="W336" i="3" s="1"/>
  <c r="O335" i="3"/>
  <c r="W335" i="3" s="1"/>
  <c r="O334" i="3"/>
  <c r="W334" i="3" s="1"/>
  <c r="O333" i="3"/>
  <c r="W333" i="3" s="1"/>
  <c r="O332" i="3"/>
  <c r="W332" i="3" s="1"/>
  <c r="O331" i="3"/>
  <c r="W331" i="3" s="1"/>
  <c r="O330" i="3"/>
  <c r="W330" i="3" s="1"/>
  <c r="O329" i="3"/>
  <c r="W329" i="3" s="1"/>
  <c r="O328" i="3"/>
  <c r="W328" i="3" s="1"/>
  <c r="O327" i="3"/>
  <c r="W327" i="3" s="1"/>
  <c r="O326" i="3"/>
  <c r="W326" i="3" s="1"/>
  <c r="O325" i="3"/>
  <c r="W325" i="3" s="1"/>
  <c r="O324" i="3"/>
  <c r="W324" i="3" s="1"/>
  <c r="O323" i="3"/>
  <c r="W323" i="3" s="1"/>
  <c r="O322" i="3"/>
  <c r="W322" i="3" s="1"/>
  <c r="O321" i="3"/>
  <c r="W321" i="3" s="1"/>
  <c r="O320" i="3"/>
  <c r="W320" i="3" s="1"/>
  <c r="O319" i="3"/>
  <c r="W319" i="3" s="1"/>
  <c r="O318" i="3"/>
  <c r="W318" i="3" s="1"/>
  <c r="O317" i="3"/>
  <c r="W317" i="3" s="1"/>
  <c r="O316" i="3"/>
  <c r="W316" i="3" s="1"/>
  <c r="O315" i="3"/>
  <c r="W315" i="3" s="1"/>
  <c r="O314" i="3"/>
  <c r="W314" i="3" s="1"/>
  <c r="O313" i="3"/>
  <c r="W313" i="3" s="1"/>
  <c r="O312" i="3"/>
  <c r="W312" i="3" s="1"/>
  <c r="O311" i="3"/>
  <c r="W311" i="3" s="1"/>
  <c r="O310" i="3"/>
  <c r="W310" i="3" s="1"/>
  <c r="O309" i="3"/>
  <c r="W309" i="3" s="1"/>
  <c r="O308" i="3"/>
  <c r="W308" i="3" s="1"/>
  <c r="O307" i="3"/>
  <c r="W307" i="3" s="1"/>
  <c r="O306" i="3"/>
  <c r="W306" i="3" s="1"/>
  <c r="O305" i="3"/>
  <c r="W305" i="3" s="1"/>
  <c r="O304" i="3"/>
  <c r="W304" i="3" s="1"/>
  <c r="O303" i="3"/>
  <c r="W303" i="3" s="1"/>
  <c r="O302" i="3"/>
  <c r="W302" i="3" s="1"/>
  <c r="O301" i="3"/>
  <c r="W301" i="3" s="1"/>
  <c r="O300" i="3"/>
  <c r="W300" i="3" s="1"/>
  <c r="O299" i="3"/>
  <c r="W299" i="3" s="1"/>
  <c r="O298" i="3"/>
  <c r="W298" i="3" s="1"/>
  <c r="O297" i="3"/>
  <c r="W297" i="3" s="1"/>
  <c r="O296" i="3"/>
  <c r="W296" i="3" s="1"/>
  <c r="O295" i="3"/>
  <c r="W295" i="3" s="1"/>
  <c r="O294" i="3"/>
  <c r="W294" i="3" s="1"/>
  <c r="O293" i="3"/>
  <c r="W293" i="3" s="1"/>
  <c r="O292" i="3"/>
  <c r="W292" i="3" s="1"/>
  <c r="O291" i="3"/>
  <c r="W291" i="3" s="1"/>
  <c r="O290" i="3"/>
  <c r="W290" i="3" s="1"/>
  <c r="O289" i="3"/>
  <c r="W289" i="3" s="1"/>
  <c r="O288" i="3"/>
  <c r="W288" i="3" s="1"/>
  <c r="Q286" i="3"/>
  <c r="Q284" i="3"/>
  <c r="Q282" i="3"/>
  <c r="Q280" i="3"/>
  <c r="Q278" i="3"/>
  <c r="Q276" i="3"/>
  <c r="Q274" i="3"/>
  <c r="Q272" i="3"/>
  <c r="Q270" i="3"/>
  <c r="Q268" i="3"/>
  <c r="Q266" i="3"/>
  <c r="Q264" i="3"/>
  <c r="Q262" i="3"/>
  <c r="Q260" i="3"/>
  <c r="Q258" i="3"/>
  <c r="Q256" i="3"/>
  <c r="Q254" i="3"/>
  <c r="Q252" i="3"/>
  <c r="Q250" i="3"/>
  <c r="Q248" i="3"/>
  <c r="Q246" i="3"/>
  <c r="Q244" i="3"/>
  <c r="Q242" i="3"/>
  <c r="Q240" i="3"/>
  <c r="Q238" i="3"/>
  <c r="Q236" i="3"/>
  <c r="Q234" i="3"/>
  <c r="Q232" i="3"/>
  <c r="Q230" i="3"/>
  <c r="Q228" i="3"/>
  <c r="Q226" i="3"/>
  <c r="Q224" i="3"/>
  <c r="Q222" i="3"/>
  <c r="Q220" i="3"/>
  <c r="Q218" i="3"/>
  <c r="Q216" i="3"/>
  <c r="Q214" i="3"/>
  <c r="Q212" i="3"/>
  <c r="Q210" i="3"/>
  <c r="Q208" i="3"/>
  <c r="Q206" i="3"/>
  <c r="Q204" i="3"/>
  <c r="Q202" i="3"/>
  <c r="Q200" i="3"/>
  <c r="Q198" i="3"/>
  <c r="Q196" i="3"/>
  <c r="Q194" i="3"/>
  <c r="Q192" i="3"/>
  <c r="Q190" i="3"/>
  <c r="Q188" i="3"/>
  <c r="Q186" i="3"/>
  <c r="Q184" i="3"/>
  <c r="Q182" i="3"/>
  <c r="Q180" i="3"/>
  <c r="Q178" i="3"/>
  <c r="Q176" i="3"/>
  <c r="Q174" i="3"/>
  <c r="Q172" i="3"/>
  <c r="Q170" i="3"/>
  <c r="Q168" i="3"/>
  <c r="Q166" i="3"/>
  <c r="M163" i="3"/>
  <c r="U163" i="3" s="1"/>
  <c r="L158" i="3"/>
  <c r="T158" i="3" s="1"/>
  <c r="L150" i="3"/>
  <c r="T150" i="3" s="1"/>
  <c r="L142" i="3"/>
  <c r="T142" i="3" s="1"/>
  <c r="L134" i="3"/>
  <c r="T134" i="3" s="1"/>
  <c r="L126" i="3"/>
  <c r="T126" i="3" s="1"/>
  <c r="L118" i="3"/>
  <c r="T118" i="3" s="1"/>
  <c r="L110" i="3"/>
  <c r="T110" i="3" s="1"/>
  <c r="L102" i="3"/>
  <c r="T102" i="3" s="1"/>
  <c r="R91" i="3"/>
  <c r="R76" i="3"/>
  <c r="R68" i="3"/>
  <c r="M57" i="3"/>
  <c r="U57" i="3" s="1"/>
  <c r="N383" i="3"/>
  <c r="V383" i="3" s="1"/>
  <c r="N382" i="3"/>
  <c r="V382" i="3" s="1"/>
  <c r="N381" i="3"/>
  <c r="V381" i="3" s="1"/>
  <c r="N380" i="3"/>
  <c r="V380" i="3" s="1"/>
  <c r="N379" i="3"/>
  <c r="V379" i="3" s="1"/>
  <c r="N378" i="3"/>
  <c r="V378" i="3" s="1"/>
  <c r="N377" i="3"/>
  <c r="V377" i="3" s="1"/>
  <c r="N376" i="3"/>
  <c r="V376" i="3" s="1"/>
  <c r="N375" i="3"/>
  <c r="V375" i="3" s="1"/>
  <c r="N374" i="3"/>
  <c r="V374" i="3" s="1"/>
  <c r="N373" i="3"/>
  <c r="V373" i="3" s="1"/>
  <c r="N372" i="3"/>
  <c r="V372" i="3" s="1"/>
  <c r="N371" i="3"/>
  <c r="V371" i="3" s="1"/>
  <c r="N370" i="3"/>
  <c r="V370" i="3" s="1"/>
  <c r="N369" i="3"/>
  <c r="V369" i="3" s="1"/>
  <c r="N368" i="3"/>
  <c r="V368" i="3" s="1"/>
  <c r="N367" i="3"/>
  <c r="V367" i="3" s="1"/>
  <c r="N366" i="3"/>
  <c r="V366" i="3" s="1"/>
  <c r="N365" i="3"/>
  <c r="V365" i="3" s="1"/>
  <c r="N364" i="3"/>
  <c r="V364" i="3" s="1"/>
  <c r="N363" i="3"/>
  <c r="V363" i="3" s="1"/>
  <c r="N362" i="3"/>
  <c r="V362" i="3" s="1"/>
  <c r="N361" i="3"/>
  <c r="V361" i="3" s="1"/>
  <c r="N360" i="3"/>
  <c r="V360" i="3" s="1"/>
  <c r="N359" i="3"/>
  <c r="V359" i="3" s="1"/>
  <c r="N358" i="3"/>
  <c r="V358" i="3" s="1"/>
  <c r="N357" i="3"/>
  <c r="V357" i="3" s="1"/>
  <c r="N356" i="3"/>
  <c r="V356" i="3" s="1"/>
  <c r="N355" i="3"/>
  <c r="V355" i="3" s="1"/>
  <c r="N354" i="3"/>
  <c r="V354" i="3" s="1"/>
  <c r="N353" i="3"/>
  <c r="V353" i="3" s="1"/>
  <c r="N352" i="3"/>
  <c r="V352" i="3" s="1"/>
  <c r="N351" i="3"/>
  <c r="V351" i="3" s="1"/>
  <c r="N350" i="3"/>
  <c r="V350" i="3" s="1"/>
  <c r="N349" i="3"/>
  <c r="V349" i="3" s="1"/>
  <c r="N348" i="3"/>
  <c r="V348" i="3" s="1"/>
  <c r="N347" i="3"/>
  <c r="V347" i="3" s="1"/>
  <c r="N346" i="3"/>
  <c r="V346" i="3" s="1"/>
  <c r="N345" i="3"/>
  <c r="V345" i="3" s="1"/>
  <c r="N344" i="3"/>
  <c r="V344" i="3" s="1"/>
  <c r="N343" i="3"/>
  <c r="V343" i="3" s="1"/>
  <c r="N342" i="3"/>
  <c r="V342" i="3" s="1"/>
  <c r="N341" i="3"/>
  <c r="V341" i="3" s="1"/>
  <c r="N340" i="3"/>
  <c r="V340" i="3" s="1"/>
  <c r="N339" i="3"/>
  <c r="V339" i="3" s="1"/>
  <c r="N338" i="3"/>
  <c r="V338" i="3" s="1"/>
  <c r="N337" i="3"/>
  <c r="V337" i="3" s="1"/>
  <c r="N336" i="3"/>
  <c r="V336" i="3" s="1"/>
  <c r="N335" i="3"/>
  <c r="V335" i="3" s="1"/>
  <c r="N334" i="3"/>
  <c r="V334" i="3" s="1"/>
  <c r="N333" i="3"/>
  <c r="V333" i="3" s="1"/>
  <c r="N332" i="3"/>
  <c r="V332" i="3" s="1"/>
  <c r="N331" i="3"/>
  <c r="V331" i="3" s="1"/>
  <c r="N330" i="3"/>
  <c r="V330" i="3" s="1"/>
  <c r="N329" i="3"/>
  <c r="V329" i="3" s="1"/>
  <c r="N328" i="3"/>
  <c r="V328" i="3" s="1"/>
  <c r="N327" i="3"/>
  <c r="V327" i="3" s="1"/>
  <c r="N326" i="3"/>
  <c r="V326" i="3" s="1"/>
  <c r="N325" i="3"/>
  <c r="V325" i="3" s="1"/>
  <c r="N324" i="3"/>
  <c r="V324" i="3" s="1"/>
  <c r="N323" i="3"/>
  <c r="V323" i="3" s="1"/>
  <c r="N322" i="3"/>
  <c r="V322" i="3" s="1"/>
  <c r="N321" i="3"/>
  <c r="V321" i="3" s="1"/>
  <c r="N320" i="3"/>
  <c r="V320" i="3" s="1"/>
  <c r="N319" i="3"/>
  <c r="V319" i="3" s="1"/>
  <c r="N318" i="3"/>
  <c r="V318" i="3" s="1"/>
  <c r="N317" i="3"/>
  <c r="V317" i="3" s="1"/>
  <c r="N316" i="3"/>
  <c r="V316" i="3" s="1"/>
  <c r="N315" i="3"/>
  <c r="V315" i="3" s="1"/>
  <c r="N314" i="3"/>
  <c r="V314" i="3" s="1"/>
  <c r="N313" i="3"/>
  <c r="V313" i="3" s="1"/>
  <c r="N312" i="3"/>
  <c r="V312" i="3" s="1"/>
  <c r="N311" i="3"/>
  <c r="V311" i="3" s="1"/>
  <c r="N310" i="3"/>
  <c r="V310" i="3" s="1"/>
  <c r="N309" i="3"/>
  <c r="V309" i="3" s="1"/>
  <c r="N308" i="3"/>
  <c r="V308" i="3" s="1"/>
  <c r="N307" i="3"/>
  <c r="V307" i="3" s="1"/>
  <c r="N306" i="3"/>
  <c r="V306" i="3" s="1"/>
  <c r="N305" i="3"/>
  <c r="V305" i="3" s="1"/>
  <c r="N304" i="3"/>
  <c r="V304" i="3" s="1"/>
  <c r="N303" i="3"/>
  <c r="V303" i="3" s="1"/>
  <c r="N302" i="3"/>
  <c r="V302" i="3" s="1"/>
  <c r="N301" i="3"/>
  <c r="V301" i="3" s="1"/>
  <c r="N300" i="3"/>
  <c r="V300" i="3" s="1"/>
  <c r="N299" i="3"/>
  <c r="V299" i="3" s="1"/>
  <c r="N298" i="3"/>
  <c r="V298" i="3" s="1"/>
  <c r="N297" i="3"/>
  <c r="V297" i="3" s="1"/>
  <c r="N296" i="3"/>
  <c r="V296" i="3" s="1"/>
  <c r="N295" i="3"/>
  <c r="V295" i="3" s="1"/>
  <c r="N294" i="3"/>
  <c r="V294" i="3" s="1"/>
  <c r="N293" i="3"/>
  <c r="V293" i="3" s="1"/>
  <c r="N292" i="3"/>
  <c r="V292" i="3" s="1"/>
  <c r="N291" i="3"/>
  <c r="V291" i="3" s="1"/>
  <c r="N290" i="3"/>
  <c r="V290" i="3" s="1"/>
  <c r="N289" i="3"/>
  <c r="V289" i="3" s="1"/>
  <c r="N288" i="3"/>
  <c r="V288" i="3" s="1"/>
  <c r="O286" i="3"/>
  <c r="W286" i="3" s="1"/>
  <c r="O284" i="3"/>
  <c r="W284" i="3" s="1"/>
  <c r="O282" i="3"/>
  <c r="W282" i="3" s="1"/>
  <c r="O280" i="3"/>
  <c r="W280" i="3" s="1"/>
  <c r="O278" i="3"/>
  <c r="W278" i="3" s="1"/>
  <c r="O276" i="3"/>
  <c r="W276" i="3" s="1"/>
  <c r="O274" i="3"/>
  <c r="W274" i="3" s="1"/>
  <c r="O272" i="3"/>
  <c r="W272" i="3" s="1"/>
  <c r="O270" i="3"/>
  <c r="W270" i="3" s="1"/>
  <c r="O268" i="3"/>
  <c r="W268" i="3" s="1"/>
  <c r="O266" i="3"/>
  <c r="W266" i="3" s="1"/>
  <c r="O264" i="3"/>
  <c r="W264" i="3" s="1"/>
  <c r="O262" i="3"/>
  <c r="W262" i="3" s="1"/>
  <c r="O260" i="3"/>
  <c r="W260" i="3" s="1"/>
  <c r="O258" i="3"/>
  <c r="W258" i="3" s="1"/>
  <c r="O256" i="3"/>
  <c r="W256" i="3" s="1"/>
  <c r="O254" i="3"/>
  <c r="W254" i="3" s="1"/>
  <c r="O252" i="3"/>
  <c r="W252" i="3" s="1"/>
  <c r="O250" i="3"/>
  <c r="W250" i="3" s="1"/>
  <c r="O248" i="3"/>
  <c r="W248" i="3" s="1"/>
  <c r="O246" i="3"/>
  <c r="W246" i="3" s="1"/>
  <c r="O244" i="3"/>
  <c r="W244" i="3" s="1"/>
  <c r="O242" i="3"/>
  <c r="W242" i="3" s="1"/>
  <c r="O240" i="3"/>
  <c r="W240" i="3" s="1"/>
  <c r="O238" i="3"/>
  <c r="W238" i="3" s="1"/>
  <c r="O236" i="3"/>
  <c r="W236" i="3" s="1"/>
  <c r="O234" i="3"/>
  <c r="W234" i="3" s="1"/>
  <c r="O232" i="3"/>
  <c r="W232" i="3" s="1"/>
  <c r="O230" i="3"/>
  <c r="W230" i="3" s="1"/>
  <c r="O228" i="3"/>
  <c r="W228" i="3" s="1"/>
  <c r="O226" i="3"/>
  <c r="W226" i="3" s="1"/>
  <c r="O224" i="3"/>
  <c r="W224" i="3" s="1"/>
  <c r="O222" i="3"/>
  <c r="W222" i="3" s="1"/>
  <c r="O220" i="3"/>
  <c r="W220" i="3" s="1"/>
  <c r="O218" i="3"/>
  <c r="W218" i="3" s="1"/>
  <c r="O216" i="3"/>
  <c r="W216" i="3" s="1"/>
  <c r="O214" i="3"/>
  <c r="W214" i="3" s="1"/>
  <c r="O212" i="3"/>
  <c r="W212" i="3" s="1"/>
  <c r="O210" i="3"/>
  <c r="W210" i="3" s="1"/>
  <c r="O208" i="3"/>
  <c r="W208" i="3" s="1"/>
  <c r="O206" i="3"/>
  <c r="W206" i="3" s="1"/>
  <c r="O204" i="3"/>
  <c r="W204" i="3" s="1"/>
  <c r="O202" i="3"/>
  <c r="W202" i="3" s="1"/>
  <c r="O200" i="3"/>
  <c r="W200" i="3" s="1"/>
  <c r="O198" i="3"/>
  <c r="W198" i="3" s="1"/>
  <c r="O196" i="3"/>
  <c r="W196" i="3" s="1"/>
  <c r="O194" i="3"/>
  <c r="W194" i="3" s="1"/>
  <c r="O192" i="3"/>
  <c r="W192" i="3" s="1"/>
  <c r="O190" i="3"/>
  <c r="W190" i="3" s="1"/>
  <c r="O188" i="3"/>
  <c r="W188" i="3" s="1"/>
  <c r="O186" i="3"/>
  <c r="W186" i="3" s="1"/>
  <c r="O184" i="3"/>
  <c r="W184" i="3" s="1"/>
  <c r="O182" i="3"/>
  <c r="W182" i="3" s="1"/>
  <c r="O180" i="3"/>
  <c r="W180" i="3" s="1"/>
  <c r="O178" i="3"/>
  <c r="W178" i="3" s="1"/>
  <c r="O176" i="3"/>
  <c r="W176" i="3" s="1"/>
  <c r="O174" i="3"/>
  <c r="W174" i="3" s="1"/>
  <c r="O172" i="3"/>
  <c r="W172" i="3" s="1"/>
  <c r="O170" i="3"/>
  <c r="W170" i="3" s="1"/>
  <c r="O168" i="3"/>
  <c r="W168" i="3" s="1"/>
  <c r="O166" i="3"/>
  <c r="W166" i="3" s="1"/>
  <c r="Q162" i="3"/>
  <c r="L157" i="3"/>
  <c r="T157" i="3" s="1"/>
  <c r="L149" i="3"/>
  <c r="T149" i="3" s="1"/>
  <c r="L141" i="3"/>
  <c r="T141" i="3" s="1"/>
  <c r="L133" i="3"/>
  <c r="T133" i="3" s="1"/>
  <c r="L125" i="3"/>
  <c r="T125" i="3" s="1"/>
  <c r="L117" i="3"/>
  <c r="T117" i="3" s="1"/>
  <c r="L109" i="3"/>
  <c r="T109" i="3" s="1"/>
  <c r="L101" i="3"/>
  <c r="T101" i="3" s="1"/>
  <c r="R89" i="3"/>
  <c r="R75" i="3"/>
  <c r="R67" i="3"/>
  <c r="M55" i="3"/>
  <c r="U55" i="3" s="1"/>
  <c r="M190" i="3"/>
  <c r="U190" i="3" s="1"/>
  <c r="M188" i="3"/>
  <c r="U188" i="3" s="1"/>
  <c r="M186" i="3"/>
  <c r="U186" i="3" s="1"/>
  <c r="M184" i="3"/>
  <c r="U184" i="3" s="1"/>
  <c r="M182" i="3"/>
  <c r="U182" i="3" s="1"/>
  <c r="M180" i="3"/>
  <c r="U180" i="3" s="1"/>
  <c r="M178" i="3"/>
  <c r="U178" i="3" s="1"/>
  <c r="M176" i="3"/>
  <c r="U176" i="3" s="1"/>
  <c r="M174" i="3"/>
  <c r="U174" i="3" s="1"/>
  <c r="M172" i="3"/>
  <c r="U172" i="3" s="1"/>
  <c r="M170" i="3"/>
  <c r="U170" i="3" s="1"/>
  <c r="M168" i="3"/>
  <c r="U168" i="3" s="1"/>
  <c r="M166" i="3"/>
  <c r="U166" i="3" s="1"/>
  <c r="M162" i="3"/>
  <c r="U162" i="3" s="1"/>
  <c r="L156" i="3"/>
  <c r="T156" i="3" s="1"/>
  <c r="L148" i="3"/>
  <c r="T148" i="3" s="1"/>
  <c r="L140" i="3"/>
  <c r="T140" i="3" s="1"/>
  <c r="L132" i="3"/>
  <c r="T132" i="3" s="1"/>
  <c r="L124" i="3"/>
  <c r="T124" i="3" s="1"/>
  <c r="L116" i="3"/>
  <c r="T116" i="3" s="1"/>
  <c r="L108" i="3"/>
  <c r="T108" i="3" s="1"/>
  <c r="L100" i="3"/>
  <c r="T100" i="3" s="1"/>
  <c r="R87" i="3"/>
  <c r="R74" i="3"/>
  <c r="R66" i="3"/>
  <c r="P52" i="3"/>
  <c r="X52" i="3" s="1"/>
  <c r="L383" i="3"/>
  <c r="T383" i="3" s="1"/>
  <c r="L382" i="3"/>
  <c r="T382" i="3" s="1"/>
  <c r="L381" i="3"/>
  <c r="T381" i="3" s="1"/>
  <c r="L380" i="3"/>
  <c r="T380" i="3" s="1"/>
  <c r="L379" i="3"/>
  <c r="T379" i="3" s="1"/>
  <c r="L378" i="3"/>
  <c r="T378" i="3" s="1"/>
  <c r="L377" i="3"/>
  <c r="T377" i="3" s="1"/>
  <c r="L376" i="3"/>
  <c r="T376" i="3" s="1"/>
  <c r="L375" i="3"/>
  <c r="T375" i="3" s="1"/>
  <c r="L374" i="3"/>
  <c r="T374" i="3" s="1"/>
  <c r="L373" i="3"/>
  <c r="T373" i="3" s="1"/>
  <c r="L372" i="3"/>
  <c r="T372" i="3" s="1"/>
  <c r="L371" i="3"/>
  <c r="T371" i="3" s="1"/>
  <c r="L370" i="3"/>
  <c r="T370" i="3" s="1"/>
  <c r="L369" i="3"/>
  <c r="T369" i="3" s="1"/>
  <c r="L368" i="3"/>
  <c r="T368" i="3" s="1"/>
  <c r="L367" i="3"/>
  <c r="T367" i="3" s="1"/>
  <c r="L366" i="3"/>
  <c r="T366" i="3" s="1"/>
  <c r="L365" i="3"/>
  <c r="T365" i="3" s="1"/>
  <c r="L364" i="3"/>
  <c r="T364" i="3" s="1"/>
  <c r="L363" i="3"/>
  <c r="T363" i="3" s="1"/>
  <c r="L362" i="3"/>
  <c r="T362" i="3" s="1"/>
  <c r="L361" i="3"/>
  <c r="T361" i="3" s="1"/>
  <c r="L360" i="3"/>
  <c r="T360" i="3" s="1"/>
  <c r="L359" i="3"/>
  <c r="T359" i="3" s="1"/>
  <c r="L358" i="3"/>
  <c r="T358" i="3" s="1"/>
  <c r="L357" i="3"/>
  <c r="T357" i="3" s="1"/>
  <c r="L356" i="3"/>
  <c r="T356" i="3" s="1"/>
  <c r="L355" i="3"/>
  <c r="T355" i="3" s="1"/>
  <c r="L354" i="3"/>
  <c r="T354" i="3" s="1"/>
  <c r="L353" i="3"/>
  <c r="T353" i="3" s="1"/>
  <c r="L352" i="3"/>
  <c r="T352" i="3" s="1"/>
  <c r="L351" i="3"/>
  <c r="T351" i="3" s="1"/>
  <c r="L350" i="3"/>
  <c r="T350" i="3" s="1"/>
  <c r="L349" i="3"/>
  <c r="T349" i="3" s="1"/>
  <c r="L348" i="3"/>
  <c r="T348" i="3" s="1"/>
  <c r="L347" i="3"/>
  <c r="T347" i="3" s="1"/>
  <c r="L346" i="3"/>
  <c r="T346" i="3" s="1"/>
  <c r="L345" i="3"/>
  <c r="T345" i="3" s="1"/>
  <c r="L344" i="3"/>
  <c r="T344" i="3" s="1"/>
  <c r="L343" i="3"/>
  <c r="T343" i="3" s="1"/>
  <c r="L342" i="3"/>
  <c r="T342" i="3" s="1"/>
  <c r="L341" i="3"/>
  <c r="T341" i="3" s="1"/>
  <c r="L340" i="3"/>
  <c r="T340" i="3" s="1"/>
  <c r="L339" i="3"/>
  <c r="T339" i="3" s="1"/>
  <c r="L338" i="3"/>
  <c r="T338" i="3" s="1"/>
  <c r="L337" i="3"/>
  <c r="T337" i="3" s="1"/>
  <c r="L336" i="3"/>
  <c r="T336" i="3" s="1"/>
  <c r="L335" i="3"/>
  <c r="T335" i="3" s="1"/>
  <c r="L334" i="3"/>
  <c r="T334" i="3" s="1"/>
  <c r="L333" i="3"/>
  <c r="T333" i="3" s="1"/>
  <c r="L332" i="3"/>
  <c r="T332" i="3" s="1"/>
  <c r="L331" i="3"/>
  <c r="T331" i="3" s="1"/>
  <c r="L330" i="3"/>
  <c r="T330" i="3" s="1"/>
  <c r="L329" i="3"/>
  <c r="T329" i="3" s="1"/>
  <c r="L328" i="3"/>
  <c r="T328" i="3" s="1"/>
  <c r="L327" i="3"/>
  <c r="T327" i="3" s="1"/>
  <c r="L326" i="3"/>
  <c r="T326" i="3" s="1"/>
  <c r="L325" i="3"/>
  <c r="T325" i="3" s="1"/>
  <c r="L324" i="3"/>
  <c r="T324" i="3" s="1"/>
  <c r="L323" i="3"/>
  <c r="T323" i="3" s="1"/>
  <c r="L322" i="3"/>
  <c r="T322" i="3" s="1"/>
  <c r="L321" i="3"/>
  <c r="T321" i="3" s="1"/>
  <c r="L320" i="3"/>
  <c r="T320" i="3" s="1"/>
  <c r="L319" i="3"/>
  <c r="T319" i="3" s="1"/>
  <c r="L318" i="3"/>
  <c r="T318" i="3" s="1"/>
  <c r="L317" i="3"/>
  <c r="T317" i="3" s="1"/>
  <c r="L316" i="3"/>
  <c r="T316" i="3" s="1"/>
  <c r="L315" i="3"/>
  <c r="T315" i="3" s="1"/>
  <c r="L314" i="3"/>
  <c r="T314" i="3" s="1"/>
  <c r="L313" i="3"/>
  <c r="T313" i="3" s="1"/>
  <c r="L312" i="3"/>
  <c r="T312" i="3" s="1"/>
  <c r="L311" i="3"/>
  <c r="T311" i="3" s="1"/>
  <c r="L310" i="3"/>
  <c r="T310" i="3" s="1"/>
  <c r="L309" i="3"/>
  <c r="T309" i="3" s="1"/>
  <c r="L308" i="3"/>
  <c r="T308" i="3" s="1"/>
  <c r="L307" i="3"/>
  <c r="T307" i="3" s="1"/>
  <c r="L306" i="3"/>
  <c r="T306" i="3" s="1"/>
  <c r="L305" i="3"/>
  <c r="T305" i="3" s="1"/>
  <c r="L304" i="3"/>
  <c r="T304" i="3" s="1"/>
  <c r="L303" i="3"/>
  <c r="T303" i="3" s="1"/>
  <c r="L302" i="3"/>
  <c r="T302" i="3" s="1"/>
  <c r="L301" i="3"/>
  <c r="T301" i="3" s="1"/>
  <c r="L300" i="3"/>
  <c r="T300" i="3" s="1"/>
  <c r="L299" i="3"/>
  <c r="T299" i="3" s="1"/>
  <c r="L298" i="3"/>
  <c r="T298" i="3" s="1"/>
  <c r="L297" i="3"/>
  <c r="T297" i="3" s="1"/>
  <c r="L296" i="3"/>
  <c r="T296" i="3" s="1"/>
  <c r="L295" i="3"/>
  <c r="T295" i="3" s="1"/>
  <c r="L294" i="3"/>
  <c r="T294" i="3" s="1"/>
  <c r="L293" i="3"/>
  <c r="T293" i="3" s="1"/>
  <c r="L292" i="3"/>
  <c r="T292" i="3" s="1"/>
  <c r="L291" i="3"/>
  <c r="T291" i="3" s="1"/>
  <c r="L290" i="3"/>
  <c r="T290" i="3" s="1"/>
  <c r="L289" i="3"/>
  <c r="T289" i="3" s="1"/>
  <c r="K288" i="3"/>
  <c r="K286" i="3"/>
  <c r="K284" i="3"/>
  <c r="K282" i="3"/>
  <c r="K280" i="3"/>
  <c r="K278" i="3"/>
  <c r="K276" i="3"/>
  <c r="K274" i="3"/>
  <c r="K272" i="3"/>
  <c r="K270" i="3"/>
  <c r="K268" i="3"/>
  <c r="K266" i="3"/>
  <c r="K264" i="3"/>
  <c r="K262" i="3"/>
  <c r="K260" i="3"/>
  <c r="K258" i="3"/>
  <c r="K256" i="3"/>
  <c r="K254" i="3"/>
  <c r="K252" i="3"/>
  <c r="K250" i="3"/>
  <c r="K248" i="3"/>
  <c r="K246" i="3"/>
  <c r="K244" i="3"/>
  <c r="K242" i="3"/>
  <c r="K240" i="3"/>
  <c r="K238" i="3"/>
  <c r="K236" i="3"/>
  <c r="K234" i="3"/>
  <c r="K232" i="3"/>
  <c r="K230" i="3"/>
  <c r="K228" i="3"/>
  <c r="K226" i="3"/>
  <c r="K224" i="3"/>
  <c r="K222" i="3"/>
  <c r="K220" i="3"/>
  <c r="K218" i="3"/>
  <c r="K216" i="3"/>
  <c r="K214" i="3"/>
  <c r="K212" i="3"/>
  <c r="K210" i="3"/>
  <c r="K208" i="3"/>
  <c r="K206" i="3"/>
  <c r="K204" i="3"/>
  <c r="K202" i="3"/>
  <c r="K200" i="3"/>
  <c r="K198" i="3"/>
  <c r="K196" i="3"/>
  <c r="K194" i="3"/>
  <c r="K192" i="3"/>
  <c r="K190" i="3"/>
  <c r="K188" i="3"/>
  <c r="K186" i="3"/>
  <c r="K184" i="3"/>
  <c r="K182" i="3"/>
  <c r="K180" i="3"/>
  <c r="K178" i="3"/>
  <c r="K176" i="3"/>
  <c r="K174" i="3"/>
  <c r="K172" i="3"/>
  <c r="K170" i="3"/>
  <c r="K168" i="3"/>
  <c r="Q165" i="3"/>
  <c r="Q161" i="3"/>
  <c r="L155" i="3"/>
  <c r="T155" i="3" s="1"/>
  <c r="L147" i="3"/>
  <c r="T147" i="3" s="1"/>
  <c r="L139" i="3"/>
  <c r="T139" i="3" s="1"/>
  <c r="L131" i="3"/>
  <c r="T131" i="3" s="1"/>
  <c r="L123" i="3"/>
  <c r="T123" i="3" s="1"/>
  <c r="L115" i="3"/>
  <c r="T115" i="3" s="1"/>
  <c r="L107" i="3"/>
  <c r="T107" i="3" s="1"/>
  <c r="L99" i="3"/>
  <c r="T99" i="3" s="1"/>
  <c r="R85" i="3"/>
  <c r="R73" i="3"/>
  <c r="R65" i="3"/>
  <c r="P48" i="3"/>
  <c r="X48" i="3" s="1"/>
  <c r="L114" i="3"/>
  <c r="T114" i="3" s="1"/>
  <c r="L106" i="3"/>
  <c r="T106" i="3" s="1"/>
  <c r="L98" i="3"/>
  <c r="T98" i="3" s="1"/>
  <c r="R83" i="3"/>
  <c r="R72" i="3"/>
  <c r="R64" i="3"/>
  <c r="P44" i="3"/>
  <c r="X44" i="3" s="1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O287" i="3"/>
  <c r="W287" i="3" s="1"/>
  <c r="O285" i="3"/>
  <c r="W285" i="3" s="1"/>
  <c r="O283" i="3"/>
  <c r="W283" i="3" s="1"/>
  <c r="O281" i="3"/>
  <c r="W281" i="3" s="1"/>
  <c r="O279" i="3"/>
  <c r="W279" i="3" s="1"/>
  <c r="O277" i="3"/>
  <c r="W277" i="3" s="1"/>
  <c r="O275" i="3"/>
  <c r="W275" i="3" s="1"/>
  <c r="O273" i="3"/>
  <c r="W273" i="3" s="1"/>
  <c r="O271" i="3"/>
  <c r="W271" i="3" s="1"/>
  <c r="O269" i="3"/>
  <c r="W269" i="3" s="1"/>
  <c r="O267" i="3"/>
  <c r="W267" i="3" s="1"/>
  <c r="O265" i="3"/>
  <c r="W265" i="3" s="1"/>
  <c r="O263" i="3"/>
  <c r="W263" i="3" s="1"/>
  <c r="O261" i="3"/>
  <c r="W261" i="3" s="1"/>
  <c r="O259" i="3"/>
  <c r="W259" i="3" s="1"/>
  <c r="O257" i="3"/>
  <c r="W257" i="3" s="1"/>
  <c r="O255" i="3"/>
  <c r="W255" i="3" s="1"/>
  <c r="O253" i="3"/>
  <c r="W253" i="3" s="1"/>
  <c r="O251" i="3"/>
  <c r="W251" i="3" s="1"/>
  <c r="O249" i="3"/>
  <c r="W249" i="3" s="1"/>
  <c r="O247" i="3"/>
  <c r="W247" i="3" s="1"/>
  <c r="O245" i="3"/>
  <c r="W245" i="3" s="1"/>
  <c r="O243" i="3"/>
  <c r="W243" i="3" s="1"/>
  <c r="O241" i="3"/>
  <c r="W241" i="3" s="1"/>
  <c r="O239" i="3"/>
  <c r="W239" i="3" s="1"/>
  <c r="O237" i="3"/>
  <c r="W237" i="3" s="1"/>
  <c r="O235" i="3"/>
  <c r="W235" i="3" s="1"/>
  <c r="O233" i="3"/>
  <c r="W233" i="3" s="1"/>
  <c r="O231" i="3"/>
  <c r="W231" i="3" s="1"/>
  <c r="O229" i="3"/>
  <c r="W229" i="3" s="1"/>
  <c r="O227" i="3"/>
  <c r="W227" i="3" s="1"/>
  <c r="O225" i="3"/>
  <c r="W225" i="3" s="1"/>
  <c r="O223" i="3"/>
  <c r="W223" i="3" s="1"/>
  <c r="O221" i="3"/>
  <c r="W221" i="3" s="1"/>
  <c r="O219" i="3"/>
  <c r="W219" i="3" s="1"/>
  <c r="O217" i="3"/>
  <c r="W217" i="3" s="1"/>
  <c r="O215" i="3"/>
  <c r="W215" i="3" s="1"/>
  <c r="O213" i="3"/>
  <c r="W213" i="3" s="1"/>
  <c r="O211" i="3"/>
  <c r="W211" i="3" s="1"/>
  <c r="O209" i="3"/>
  <c r="W209" i="3" s="1"/>
  <c r="O207" i="3"/>
  <c r="W207" i="3" s="1"/>
  <c r="O205" i="3"/>
  <c r="W205" i="3" s="1"/>
  <c r="O203" i="3"/>
  <c r="W203" i="3" s="1"/>
  <c r="O201" i="3"/>
  <c r="W201" i="3" s="1"/>
  <c r="O199" i="3"/>
  <c r="W199" i="3" s="1"/>
  <c r="O197" i="3"/>
  <c r="W197" i="3" s="1"/>
  <c r="O195" i="3"/>
  <c r="W195" i="3" s="1"/>
  <c r="O193" i="3"/>
  <c r="W193" i="3" s="1"/>
  <c r="O191" i="3"/>
  <c r="W191" i="3" s="1"/>
  <c r="O189" i="3"/>
  <c r="W189" i="3" s="1"/>
  <c r="O187" i="3"/>
  <c r="W187" i="3" s="1"/>
  <c r="O185" i="3"/>
  <c r="W185" i="3" s="1"/>
  <c r="O183" i="3"/>
  <c r="W183" i="3" s="1"/>
  <c r="O181" i="3"/>
  <c r="W181" i="3" s="1"/>
  <c r="O179" i="3"/>
  <c r="W179" i="3" s="1"/>
  <c r="O177" i="3"/>
  <c r="W177" i="3" s="1"/>
  <c r="O175" i="3"/>
  <c r="W175" i="3" s="1"/>
  <c r="O173" i="3"/>
  <c r="W173" i="3" s="1"/>
  <c r="O171" i="3"/>
  <c r="W171" i="3" s="1"/>
  <c r="O169" i="3"/>
  <c r="W169" i="3" s="1"/>
  <c r="O167" i="3"/>
  <c r="W167" i="3" s="1"/>
  <c r="Q164" i="3"/>
  <c r="Q160" i="3"/>
  <c r="L153" i="3"/>
  <c r="T153" i="3" s="1"/>
  <c r="L145" i="3"/>
  <c r="T145" i="3" s="1"/>
  <c r="L137" i="3"/>
  <c r="T137" i="3" s="1"/>
  <c r="L129" i="3"/>
  <c r="T129" i="3" s="1"/>
  <c r="L121" i="3"/>
  <c r="T121" i="3" s="1"/>
  <c r="L113" i="3"/>
  <c r="T113" i="3" s="1"/>
  <c r="L105" i="3"/>
  <c r="T105" i="3" s="1"/>
  <c r="L97" i="3"/>
  <c r="T97" i="3" s="1"/>
  <c r="R81" i="3"/>
  <c r="R71" i="3"/>
  <c r="M63" i="3"/>
  <c r="U63" i="3" s="1"/>
  <c r="R36" i="3"/>
  <c r="M185" i="3"/>
  <c r="U185" i="3" s="1"/>
  <c r="M183" i="3"/>
  <c r="U183" i="3" s="1"/>
  <c r="M181" i="3"/>
  <c r="U181" i="3" s="1"/>
  <c r="M179" i="3"/>
  <c r="U179" i="3" s="1"/>
  <c r="M177" i="3"/>
  <c r="U177" i="3" s="1"/>
  <c r="M175" i="3"/>
  <c r="U175" i="3" s="1"/>
  <c r="M173" i="3"/>
  <c r="U173" i="3" s="1"/>
  <c r="M171" i="3"/>
  <c r="U171" i="3" s="1"/>
  <c r="M169" i="3"/>
  <c r="U169" i="3" s="1"/>
  <c r="M167" i="3"/>
  <c r="U167" i="3" s="1"/>
  <c r="M164" i="3"/>
  <c r="U164" i="3" s="1"/>
  <c r="L160" i="3"/>
  <c r="T160" i="3" s="1"/>
  <c r="L152" i="3"/>
  <c r="T152" i="3" s="1"/>
  <c r="L144" i="3"/>
  <c r="T144" i="3" s="1"/>
  <c r="L136" i="3"/>
  <c r="T136" i="3" s="1"/>
  <c r="L128" i="3"/>
  <c r="T128" i="3" s="1"/>
  <c r="L120" i="3"/>
  <c r="T120" i="3" s="1"/>
  <c r="L112" i="3"/>
  <c r="T112" i="3" s="1"/>
  <c r="L104" i="3"/>
  <c r="T104" i="3" s="1"/>
  <c r="R95" i="3"/>
  <c r="R79" i="3"/>
  <c r="R70" i="3"/>
  <c r="M61" i="3"/>
  <c r="U61" i="3" s="1"/>
  <c r="R20" i="3"/>
  <c r="K166" i="3"/>
  <c r="O165" i="3"/>
  <c r="W165" i="3" s="1"/>
  <c r="K165" i="3"/>
  <c r="O164" i="3"/>
  <c r="W164" i="3" s="1"/>
  <c r="K164" i="3"/>
  <c r="O163" i="3"/>
  <c r="W163" i="3" s="1"/>
  <c r="K163" i="3"/>
  <c r="O162" i="3"/>
  <c r="W162" i="3" s="1"/>
  <c r="K162" i="3"/>
  <c r="O161" i="3"/>
  <c r="W161" i="3" s="1"/>
  <c r="K161" i="3"/>
  <c r="O160" i="3"/>
  <c r="W160" i="3" s="1"/>
  <c r="P159" i="3"/>
  <c r="X159" i="3" s="1"/>
  <c r="P158" i="3"/>
  <c r="X158" i="3" s="1"/>
  <c r="P157" i="3"/>
  <c r="X157" i="3" s="1"/>
  <c r="P156" i="3"/>
  <c r="X156" i="3" s="1"/>
  <c r="P155" i="3"/>
  <c r="X155" i="3" s="1"/>
  <c r="P154" i="3"/>
  <c r="X154" i="3" s="1"/>
  <c r="P153" i="3"/>
  <c r="X153" i="3" s="1"/>
  <c r="P152" i="3"/>
  <c r="X152" i="3" s="1"/>
  <c r="P151" i="3"/>
  <c r="X151" i="3" s="1"/>
  <c r="P150" i="3"/>
  <c r="X150" i="3" s="1"/>
  <c r="P149" i="3"/>
  <c r="X149" i="3" s="1"/>
  <c r="P148" i="3"/>
  <c r="X148" i="3" s="1"/>
  <c r="P147" i="3"/>
  <c r="X147" i="3" s="1"/>
  <c r="P146" i="3"/>
  <c r="X146" i="3" s="1"/>
  <c r="P145" i="3"/>
  <c r="X145" i="3" s="1"/>
  <c r="P144" i="3"/>
  <c r="X144" i="3" s="1"/>
  <c r="P143" i="3"/>
  <c r="X143" i="3" s="1"/>
  <c r="P142" i="3"/>
  <c r="X142" i="3" s="1"/>
  <c r="P141" i="3"/>
  <c r="X141" i="3" s="1"/>
  <c r="P140" i="3"/>
  <c r="X140" i="3" s="1"/>
  <c r="P139" i="3"/>
  <c r="X139" i="3" s="1"/>
  <c r="P138" i="3"/>
  <c r="X138" i="3" s="1"/>
  <c r="P137" i="3"/>
  <c r="X137" i="3" s="1"/>
  <c r="P136" i="3"/>
  <c r="X136" i="3" s="1"/>
  <c r="P135" i="3"/>
  <c r="X135" i="3" s="1"/>
  <c r="P134" i="3"/>
  <c r="X134" i="3" s="1"/>
  <c r="P133" i="3"/>
  <c r="X133" i="3" s="1"/>
  <c r="P132" i="3"/>
  <c r="X132" i="3" s="1"/>
  <c r="P131" i="3"/>
  <c r="X131" i="3" s="1"/>
  <c r="P130" i="3"/>
  <c r="X130" i="3" s="1"/>
  <c r="P129" i="3"/>
  <c r="X129" i="3" s="1"/>
  <c r="P128" i="3"/>
  <c r="X128" i="3" s="1"/>
  <c r="P127" i="3"/>
  <c r="X127" i="3" s="1"/>
  <c r="P126" i="3"/>
  <c r="X126" i="3" s="1"/>
  <c r="P125" i="3"/>
  <c r="X125" i="3" s="1"/>
  <c r="P124" i="3"/>
  <c r="X124" i="3" s="1"/>
  <c r="P123" i="3"/>
  <c r="X123" i="3" s="1"/>
  <c r="P122" i="3"/>
  <c r="X122" i="3" s="1"/>
  <c r="P121" i="3"/>
  <c r="X121" i="3" s="1"/>
  <c r="P120" i="3"/>
  <c r="X120" i="3" s="1"/>
  <c r="P119" i="3"/>
  <c r="X119" i="3" s="1"/>
  <c r="P118" i="3"/>
  <c r="X118" i="3" s="1"/>
  <c r="P117" i="3"/>
  <c r="X117" i="3" s="1"/>
  <c r="P116" i="3"/>
  <c r="X116" i="3" s="1"/>
  <c r="P115" i="3"/>
  <c r="X115" i="3" s="1"/>
  <c r="P114" i="3"/>
  <c r="X114" i="3" s="1"/>
  <c r="P113" i="3"/>
  <c r="X113" i="3" s="1"/>
  <c r="P112" i="3"/>
  <c r="X112" i="3" s="1"/>
  <c r="P111" i="3"/>
  <c r="X111" i="3" s="1"/>
  <c r="P110" i="3"/>
  <c r="X110" i="3" s="1"/>
  <c r="P109" i="3"/>
  <c r="X109" i="3" s="1"/>
  <c r="P108" i="3"/>
  <c r="X108" i="3" s="1"/>
  <c r="P107" i="3"/>
  <c r="X107" i="3" s="1"/>
  <c r="P106" i="3"/>
  <c r="X106" i="3" s="1"/>
  <c r="P105" i="3"/>
  <c r="X105" i="3" s="1"/>
  <c r="P104" i="3"/>
  <c r="X104" i="3" s="1"/>
  <c r="P103" i="3"/>
  <c r="X103" i="3" s="1"/>
  <c r="P102" i="3"/>
  <c r="X102" i="3" s="1"/>
  <c r="P101" i="3"/>
  <c r="X101" i="3" s="1"/>
  <c r="P100" i="3"/>
  <c r="X100" i="3" s="1"/>
  <c r="P99" i="3"/>
  <c r="X99" i="3" s="1"/>
  <c r="P98" i="3"/>
  <c r="X98" i="3" s="1"/>
  <c r="P97" i="3"/>
  <c r="X97" i="3" s="1"/>
  <c r="P96" i="3"/>
  <c r="X96" i="3" s="1"/>
  <c r="R94" i="3"/>
  <c r="R92" i="3"/>
  <c r="R90" i="3"/>
  <c r="R88" i="3"/>
  <c r="R86" i="3"/>
  <c r="R84" i="3"/>
  <c r="R82" i="3"/>
  <c r="R80" i="3"/>
  <c r="R78" i="3"/>
  <c r="L288" i="3"/>
  <c r="T288" i="3" s="1"/>
  <c r="R287" i="3"/>
  <c r="P287" i="3"/>
  <c r="X287" i="3" s="1"/>
  <c r="N287" i="3"/>
  <c r="V287" i="3" s="1"/>
  <c r="L287" i="3"/>
  <c r="T287" i="3" s="1"/>
  <c r="R286" i="3"/>
  <c r="P286" i="3"/>
  <c r="X286" i="3" s="1"/>
  <c r="N286" i="3"/>
  <c r="V286" i="3" s="1"/>
  <c r="L286" i="3"/>
  <c r="T286" i="3" s="1"/>
  <c r="R285" i="3"/>
  <c r="P285" i="3"/>
  <c r="X285" i="3" s="1"/>
  <c r="N285" i="3"/>
  <c r="V285" i="3" s="1"/>
  <c r="L285" i="3"/>
  <c r="T285" i="3" s="1"/>
  <c r="R284" i="3"/>
  <c r="P284" i="3"/>
  <c r="X284" i="3" s="1"/>
  <c r="N284" i="3"/>
  <c r="V284" i="3" s="1"/>
  <c r="L284" i="3"/>
  <c r="T284" i="3" s="1"/>
  <c r="R283" i="3"/>
  <c r="P283" i="3"/>
  <c r="X283" i="3" s="1"/>
  <c r="N283" i="3"/>
  <c r="V283" i="3" s="1"/>
  <c r="L283" i="3"/>
  <c r="T283" i="3" s="1"/>
  <c r="R282" i="3"/>
  <c r="P282" i="3"/>
  <c r="X282" i="3" s="1"/>
  <c r="N282" i="3"/>
  <c r="V282" i="3" s="1"/>
  <c r="L282" i="3"/>
  <c r="T282" i="3" s="1"/>
  <c r="R281" i="3"/>
  <c r="P281" i="3"/>
  <c r="X281" i="3" s="1"/>
  <c r="N281" i="3"/>
  <c r="V281" i="3" s="1"/>
  <c r="L281" i="3"/>
  <c r="T281" i="3" s="1"/>
  <c r="R280" i="3"/>
  <c r="P280" i="3"/>
  <c r="X280" i="3" s="1"/>
  <c r="N280" i="3"/>
  <c r="V280" i="3" s="1"/>
  <c r="L280" i="3"/>
  <c r="T280" i="3" s="1"/>
  <c r="R279" i="3"/>
  <c r="P279" i="3"/>
  <c r="X279" i="3" s="1"/>
  <c r="N279" i="3"/>
  <c r="V279" i="3" s="1"/>
  <c r="L279" i="3"/>
  <c r="T279" i="3" s="1"/>
  <c r="R278" i="3"/>
  <c r="P278" i="3"/>
  <c r="X278" i="3" s="1"/>
  <c r="N278" i="3"/>
  <c r="V278" i="3" s="1"/>
  <c r="L278" i="3"/>
  <c r="T278" i="3" s="1"/>
  <c r="R277" i="3"/>
  <c r="P277" i="3"/>
  <c r="X277" i="3" s="1"/>
  <c r="N277" i="3"/>
  <c r="V277" i="3" s="1"/>
  <c r="L277" i="3"/>
  <c r="T277" i="3" s="1"/>
  <c r="R276" i="3"/>
  <c r="P276" i="3"/>
  <c r="X276" i="3" s="1"/>
  <c r="N276" i="3"/>
  <c r="V276" i="3" s="1"/>
  <c r="L276" i="3"/>
  <c r="T276" i="3" s="1"/>
  <c r="R275" i="3"/>
  <c r="P275" i="3"/>
  <c r="X275" i="3" s="1"/>
  <c r="N275" i="3"/>
  <c r="V275" i="3" s="1"/>
  <c r="L275" i="3"/>
  <c r="T275" i="3" s="1"/>
  <c r="R274" i="3"/>
  <c r="P274" i="3"/>
  <c r="X274" i="3" s="1"/>
  <c r="N274" i="3"/>
  <c r="V274" i="3" s="1"/>
  <c r="L274" i="3"/>
  <c r="T274" i="3" s="1"/>
  <c r="R273" i="3"/>
  <c r="P273" i="3"/>
  <c r="X273" i="3" s="1"/>
  <c r="N273" i="3"/>
  <c r="V273" i="3" s="1"/>
  <c r="L273" i="3"/>
  <c r="T273" i="3" s="1"/>
  <c r="R272" i="3"/>
  <c r="P272" i="3"/>
  <c r="X272" i="3" s="1"/>
  <c r="N272" i="3"/>
  <c r="V272" i="3" s="1"/>
  <c r="L272" i="3"/>
  <c r="T272" i="3" s="1"/>
  <c r="R271" i="3"/>
  <c r="P271" i="3"/>
  <c r="X271" i="3" s="1"/>
  <c r="N271" i="3"/>
  <c r="V271" i="3" s="1"/>
  <c r="L271" i="3"/>
  <c r="T271" i="3" s="1"/>
  <c r="R270" i="3"/>
  <c r="P270" i="3"/>
  <c r="X270" i="3" s="1"/>
  <c r="N270" i="3"/>
  <c r="V270" i="3" s="1"/>
  <c r="L270" i="3"/>
  <c r="T270" i="3" s="1"/>
  <c r="R269" i="3"/>
  <c r="P269" i="3"/>
  <c r="X269" i="3" s="1"/>
  <c r="N269" i="3"/>
  <c r="V269" i="3" s="1"/>
  <c r="L269" i="3"/>
  <c r="T269" i="3" s="1"/>
  <c r="R268" i="3"/>
  <c r="P268" i="3"/>
  <c r="X268" i="3" s="1"/>
  <c r="N268" i="3"/>
  <c r="V268" i="3" s="1"/>
  <c r="L268" i="3"/>
  <c r="T268" i="3" s="1"/>
  <c r="R267" i="3"/>
  <c r="P267" i="3"/>
  <c r="X267" i="3" s="1"/>
  <c r="N267" i="3"/>
  <c r="V267" i="3" s="1"/>
  <c r="L267" i="3"/>
  <c r="T267" i="3" s="1"/>
  <c r="R266" i="3"/>
  <c r="P266" i="3"/>
  <c r="X266" i="3" s="1"/>
  <c r="N266" i="3"/>
  <c r="V266" i="3" s="1"/>
  <c r="L266" i="3"/>
  <c r="T266" i="3" s="1"/>
  <c r="R265" i="3"/>
  <c r="P265" i="3"/>
  <c r="X265" i="3" s="1"/>
  <c r="N265" i="3"/>
  <c r="V265" i="3" s="1"/>
  <c r="L265" i="3"/>
  <c r="T265" i="3" s="1"/>
  <c r="R264" i="3"/>
  <c r="P264" i="3"/>
  <c r="X264" i="3" s="1"/>
  <c r="N264" i="3"/>
  <c r="V264" i="3" s="1"/>
  <c r="L264" i="3"/>
  <c r="T264" i="3" s="1"/>
  <c r="R263" i="3"/>
  <c r="P263" i="3"/>
  <c r="X263" i="3" s="1"/>
  <c r="N263" i="3"/>
  <c r="V263" i="3" s="1"/>
  <c r="L263" i="3"/>
  <c r="T263" i="3" s="1"/>
  <c r="R262" i="3"/>
  <c r="P262" i="3"/>
  <c r="X262" i="3" s="1"/>
  <c r="N262" i="3"/>
  <c r="V262" i="3" s="1"/>
  <c r="L262" i="3"/>
  <c r="T262" i="3" s="1"/>
  <c r="R261" i="3"/>
  <c r="P261" i="3"/>
  <c r="X261" i="3" s="1"/>
  <c r="N261" i="3"/>
  <c r="V261" i="3" s="1"/>
  <c r="L261" i="3"/>
  <c r="T261" i="3" s="1"/>
  <c r="R260" i="3"/>
  <c r="P260" i="3"/>
  <c r="X260" i="3" s="1"/>
  <c r="N260" i="3"/>
  <c r="V260" i="3" s="1"/>
  <c r="L260" i="3"/>
  <c r="T260" i="3" s="1"/>
  <c r="R259" i="3"/>
  <c r="P259" i="3"/>
  <c r="X259" i="3" s="1"/>
  <c r="N259" i="3"/>
  <c r="V259" i="3" s="1"/>
  <c r="L259" i="3"/>
  <c r="T259" i="3" s="1"/>
  <c r="R258" i="3"/>
  <c r="P258" i="3"/>
  <c r="X258" i="3" s="1"/>
  <c r="N258" i="3"/>
  <c r="V258" i="3" s="1"/>
  <c r="L258" i="3"/>
  <c r="T258" i="3" s="1"/>
  <c r="R257" i="3"/>
  <c r="P257" i="3"/>
  <c r="X257" i="3" s="1"/>
  <c r="N257" i="3"/>
  <c r="V257" i="3" s="1"/>
  <c r="L257" i="3"/>
  <c r="T257" i="3" s="1"/>
  <c r="R256" i="3"/>
  <c r="P256" i="3"/>
  <c r="X256" i="3" s="1"/>
  <c r="N256" i="3"/>
  <c r="V256" i="3" s="1"/>
  <c r="L256" i="3"/>
  <c r="T256" i="3" s="1"/>
  <c r="R255" i="3"/>
  <c r="P255" i="3"/>
  <c r="X255" i="3" s="1"/>
  <c r="N255" i="3"/>
  <c r="V255" i="3" s="1"/>
  <c r="L255" i="3"/>
  <c r="T255" i="3" s="1"/>
  <c r="R254" i="3"/>
  <c r="P254" i="3"/>
  <c r="X254" i="3" s="1"/>
  <c r="N254" i="3"/>
  <c r="V254" i="3" s="1"/>
  <c r="L254" i="3"/>
  <c r="T254" i="3" s="1"/>
  <c r="R253" i="3"/>
  <c r="P253" i="3"/>
  <c r="X253" i="3" s="1"/>
  <c r="N253" i="3"/>
  <c r="V253" i="3" s="1"/>
  <c r="L253" i="3"/>
  <c r="T253" i="3" s="1"/>
  <c r="R252" i="3"/>
  <c r="P252" i="3"/>
  <c r="X252" i="3" s="1"/>
  <c r="N252" i="3"/>
  <c r="V252" i="3" s="1"/>
  <c r="L252" i="3"/>
  <c r="T252" i="3" s="1"/>
  <c r="R251" i="3"/>
  <c r="P251" i="3"/>
  <c r="X251" i="3" s="1"/>
  <c r="N251" i="3"/>
  <c r="V251" i="3" s="1"/>
  <c r="L251" i="3"/>
  <c r="T251" i="3" s="1"/>
  <c r="R250" i="3"/>
  <c r="P250" i="3"/>
  <c r="X250" i="3" s="1"/>
  <c r="N250" i="3"/>
  <c r="V250" i="3" s="1"/>
  <c r="L250" i="3"/>
  <c r="T250" i="3" s="1"/>
  <c r="R249" i="3"/>
  <c r="P249" i="3"/>
  <c r="X249" i="3" s="1"/>
  <c r="N249" i="3"/>
  <c r="V249" i="3" s="1"/>
  <c r="L249" i="3"/>
  <c r="T249" i="3" s="1"/>
  <c r="R248" i="3"/>
  <c r="P248" i="3"/>
  <c r="X248" i="3" s="1"/>
  <c r="N248" i="3"/>
  <c r="V248" i="3" s="1"/>
  <c r="L248" i="3"/>
  <c r="T248" i="3" s="1"/>
  <c r="R247" i="3"/>
  <c r="P247" i="3"/>
  <c r="X247" i="3" s="1"/>
  <c r="N247" i="3"/>
  <c r="V247" i="3" s="1"/>
  <c r="L247" i="3"/>
  <c r="T247" i="3" s="1"/>
  <c r="R246" i="3"/>
  <c r="P246" i="3"/>
  <c r="X246" i="3" s="1"/>
  <c r="N246" i="3"/>
  <c r="V246" i="3" s="1"/>
  <c r="L246" i="3"/>
  <c r="T246" i="3" s="1"/>
  <c r="R245" i="3"/>
  <c r="P245" i="3"/>
  <c r="X245" i="3" s="1"/>
  <c r="N245" i="3"/>
  <c r="V245" i="3" s="1"/>
  <c r="L245" i="3"/>
  <c r="T245" i="3" s="1"/>
  <c r="R244" i="3"/>
  <c r="P244" i="3"/>
  <c r="X244" i="3" s="1"/>
  <c r="N244" i="3"/>
  <c r="V244" i="3" s="1"/>
  <c r="L244" i="3"/>
  <c r="T244" i="3" s="1"/>
  <c r="R243" i="3"/>
  <c r="P243" i="3"/>
  <c r="X243" i="3" s="1"/>
  <c r="N243" i="3"/>
  <c r="V243" i="3" s="1"/>
  <c r="L243" i="3"/>
  <c r="T243" i="3" s="1"/>
  <c r="R242" i="3"/>
  <c r="P242" i="3"/>
  <c r="X242" i="3" s="1"/>
  <c r="N242" i="3"/>
  <c r="V242" i="3" s="1"/>
  <c r="L242" i="3"/>
  <c r="T242" i="3" s="1"/>
  <c r="R241" i="3"/>
  <c r="P241" i="3"/>
  <c r="X241" i="3" s="1"/>
  <c r="N241" i="3"/>
  <c r="V241" i="3" s="1"/>
  <c r="L241" i="3"/>
  <c r="T241" i="3" s="1"/>
  <c r="R240" i="3"/>
  <c r="P240" i="3"/>
  <c r="X240" i="3" s="1"/>
  <c r="N240" i="3"/>
  <c r="V240" i="3" s="1"/>
  <c r="L240" i="3"/>
  <c r="T240" i="3" s="1"/>
  <c r="R239" i="3"/>
  <c r="P239" i="3"/>
  <c r="X239" i="3" s="1"/>
  <c r="N239" i="3"/>
  <c r="V239" i="3" s="1"/>
  <c r="L239" i="3"/>
  <c r="T239" i="3" s="1"/>
  <c r="R238" i="3"/>
  <c r="P238" i="3"/>
  <c r="X238" i="3" s="1"/>
  <c r="N238" i="3"/>
  <c r="V238" i="3" s="1"/>
  <c r="L238" i="3"/>
  <c r="T238" i="3" s="1"/>
  <c r="R237" i="3"/>
  <c r="P237" i="3"/>
  <c r="X237" i="3" s="1"/>
  <c r="N237" i="3"/>
  <c r="V237" i="3" s="1"/>
  <c r="L237" i="3"/>
  <c r="T237" i="3" s="1"/>
  <c r="R236" i="3"/>
  <c r="P236" i="3"/>
  <c r="X236" i="3" s="1"/>
  <c r="N236" i="3"/>
  <c r="V236" i="3" s="1"/>
  <c r="L236" i="3"/>
  <c r="T236" i="3" s="1"/>
  <c r="R235" i="3"/>
  <c r="P235" i="3"/>
  <c r="X235" i="3" s="1"/>
  <c r="N235" i="3"/>
  <c r="V235" i="3" s="1"/>
  <c r="L235" i="3"/>
  <c r="T235" i="3" s="1"/>
  <c r="R234" i="3"/>
  <c r="P234" i="3"/>
  <c r="X234" i="3" s="1"/>
  <c r="N234" i="3"/>
  <c r="V234" i="3" s="1"/>
  <c r="L234" i="3"/>
  <c r="T234" i="3" s="1"/>
  <c r="R233" i="3"/>
  <c r="P233" i="3"/>
  <c r="X233" i="3" s="1"/>
  <c r="N233" i="3"/>
  <c r="V233" i="3" s="1"/>
  <c r="L233" i="3"/>
  <c r="T233" i="3" s="1"/>
  <c r="R232" i="3"/>
  <c r="P232" i="3"/>
  <c r="X232" i="3" s="1"/>
  <c r="N232" i="3"/>
  <c r="V232" i="3" s="1"/>
  <c r="L232" i="3"/>
  <c r="T232" i="3" s="1"/>
  <c r="R231" i="3"/>
  <c r="P231" i="3"/>
  <c r="X231" i="3" s="1"/>
  <c r="N231" i="3"/>
  <c r="V231" i="3" s="1"/>
  <c r="L231" i="3"/>
  <c r="T231" i="3" s="1"/>
  <c r="R230" i="3"/>
  <c r="P230" i="3"/>
  <c r="X230" i="3" s="1"/>
  <c r="N230" i="3"/>
  <c r="V230" i="3" s="1"/>
  <c r="L230" i="3"/>
  <c r="T230" i="3" s="1"/>
  <c r="R229" i="3"/>
  <c r="P229" i="3"/>
  <c r="X229" i="3" s="1"/>
  <c r="N229" i="3"/>
  <c r="V229" i="3" s="1"/>
  <c r="L229" i="3"/>
  <c r="T229" i="3" s="1"/>
  <c r="R228" i="3"/>
  <c r="P228" i="3"/>
  <c r="X228" i="3" s="1"/>
  <c r="N228" i="3"/>
  <c r="V228" i="3" s="1"/>
  <c r="L228" i="3"/>
  <c r="T228" i="3" s="1"/>
  <c r="R227" i="3"/>
  <c r="P227" i="3"/>
  <c r="X227" i="3" s="1"/>
  <c r="N227" i="3"/>
  <c r="V227" i="3" s="1"/>
  <c r="L227" i="3"/>
  <c r="T227" i="3" s="1"/>
  <c r="R226" i="3"/>
  <c r="P226" i="3"/>
  <c r="X226" i="3" s="1"/>
  <c r="N226" i="3"/>
  <c r="V226" i="3" s="1"/>
  <c r="L226" i="3"/>
  <c r="T226" i="3" s="1"/>
  <c r="R225" i="3"/>
  <c r="P225" i="3"/>
  <c r="X225" i="3" s="1"/>
  <c r="N225" i="3"/>
  <c r="V225" i="3" s="1"/>
  <c r="L225" i="3"/>
  <c r="T225" i="3" s="1"/>
  <c r="R224" i="3"/>
  <c r="P224" i="3"/>
  <c r="X224" i="3" s="1"/>
  <c r="N224" i="3"/>
  <c r="V224" i="3" s="1"/>
  <c r="L224" i="3"/>
  <c r="T224" i="3" s="1"/>
  <c r="R223" i="3"/>
  <c r="P223" i="3"/>
  <c r="X223" i="3" s="1"/>
  <c r="N223" i="3"/>
  <c r="V223" i="3" s="1"/>
  <c r="L223" i="3"/>
  <c r="T223" i="3" s="1"/>
  <c r="R222" i="3"/>
  <c r="P222" i="3"/>
  <c r="X222" i="3" s="1"/>
  <c r="N222" i="3"/>
  <c r="V222" i="3" s="1"/>
  <c r="L222" i="3"/>
  <c r="T222" i="3" s="1"/>
  <c r="R221" i="3"/>
  <c r="P221" i="3"/>
  <c r="X221" i="3" s="1"/>
  <c r="N221" i="3"/>
  <c r="V221" i="3" s="1"/>
  <c r="L221" i="3"/>
  <c r="T221" i="3" s="1"/>
  <c r="R220" i="3"/>
  <c r="P220" i="3"/>
  <c r="X220" i="3" s="1"/>
  <c r="N220" i="3"/>
  <c r="V220" i="3" s="1"/>
  <c r="L220" i="3"/>
  <c r="T220" i="3" s="1"/>
  <c r="R219" i="3"/>
  <c r="P219" i="3"/>
  <c r="X219" i="3" s="1"/>
  <c r="N219" i="3"/>
  <c r="V219" i="3" s="1"/>
  <c r="L219" i="3"/>
  <c r="T219" i="3" s="1"/>
  <c r="R218" i="3"/>
  <c r="P218" i="3"/>
  <c r="X218" i="3" s="1"/>
  <c r="N218" i="3"/>
  <c r="V218" i="3" s="1"/>
  <c r="L218" i="3"/>
  <c r="T218" i="3" s="1"/>
  <c r="R217" i="3"/>
  <c r="P217" i="3"/>
  <c r="X217" i="3" s="1"/>
  <c r="N217" i="3"/>
  <c r="V217" i="3" s="1"/>
  <c r="L217" i="3"/>
  <c r="T217" i="3" s="1"/>
  <c r="R216" i="3"/>
  <c r="P216" i="3"/>
  <c r="X216" i="3" s="1"/>
  <c r="N216" i="3"/>
  <c r="V216" i="3" s="1"/>
  <c r="L216" i="3"/>
  <c r="T216" i="3" s="1"/>
  <c r="R215" i="3"/>
  <c r="P215" i="3"/>
  <c r="X215" i="3" s="1"/>
  <c r="N215" i="3"/>
  <c r="V215" i="3" s="1"/>
  <c r="L215" i="3"/>
  <c r="T215" i="3" s="1"/>
  <c r="R214" i="3"/>
  <c r="P214" i="3"/>
  <c r="X214" i="3" s="1"/>
  <c r="N214" i="3"/>
  <c r="V214" i="3" s="1"/>
  <c r="L214" i="3"/>
  <c r="T214" i="3" s="1"/>
  <c r="R213" i="3"/>
  <c r="P213" i="3"/>
  <c r="X213" i="3" s="1"/>
  <c r="N213" i="3"/>
  <c r="V213" i="3" s="1"/>
  <c r="L213" i="3"/>
  <c r="T213" i="3" s="1"/>
  <c r="R212" i="3"/>
  <c r="P212" i="3"/>
  <c r="X212" i="3" s="1"/>
  <c r="N212" i="3"/>
  <c r="V212" i="3" s="1"/>
  <c r="L212" i="3"/>
  <c r="T212" i="3" s="1"/>
  <c r="R211" i="3"/>
  <c r="P211" i="3"/>
  <c r="X211" i="3" s="1"/>
  <c r="N211" i="3"/>
  <c r="V211" i="3" s="1"/>
  <c r="L211" i="3"/>
  <c r="T211" i="3" s="1"/>
  <c r="R210" i="3"/>
  <c r="P210" i="3"/>
  <c r="X210" i="3" s="1"/>
  <c r="N210" i="3"/>
  <c r="V210" i="3" s="1"/>
  <c r="L210" i="3"/>
  <c r="T210" i="3" s="1"/>
  <c r="R209" i="3"/>
  <c r="P209" i="3"/>
  <c r="X209" i="3" s="1"/>
  <c r="N209" i="3"/>
  <c r="V209" i="3" s="1"/>
  <c r="L209" i="3"/>
  <c r="T209" i="3" s="1"/>
  <c r="R208" i="3"/>
  <c r="P208" i="3"/>
  <c r="X208" i="3" s="1"/>
  <c r="N208" i="3"/>
  <c r="V208" i="3" s="1"/>
  <c r="L208" i="3"/>
  <c r="T208" i="3" s="1"/>
  <c r="R207" i="3"/>
  <c r="P207" i="3"/>
  <c r="X207" i="3" s="1"/>
  <c r="N207" i="3"/>
  <c r="V207" i="3" s="1"/>
  <c r="L207" i="3"/>
  <c r="T207" i="3" s="1"/>
  <c r="R206" i="3"/>
  <c r="P206" i="3"/>
  <c r="X206" i="3" s="1"/>
  <c r="N206" i="3"/>
  <c r="V206" i="3" s="1"/>
  <c r="L206" i="3"/>
  <c r="T206" i="3" s="1"/>
  <c r="R205" i="3"/>
  <c r="P205" i="3"/>
  <c r="X205" i="3" s="1"/>
  <c r="N205" i="3"/>
  <c r="V205" i="3" s="1"/>
  <c r="L205" i="3"/>
  <c r="T205" i="3" s="1"/>
  <c r="R204" i="3"/>
  <c r="P204" i="3"/>
  <c r="X204" i="3" s="1"/>
  <c r="N204" i="3"/>
  <c r="V204" i="3" s="1"/>
  <c r="L204" i="3"/>
  <c r="T204" i="3" s="1"/>
  <c r="R203" i="3"/>
  <c r="P203" i="3"/>
  <c r="X203" i="3" s="1"/>
  <c r="N203" i="3"/>
  <c r="V203" i="3" s="1"/>
  <c r="L203" i="3"/>
  <c r="T203" i="3" s="1"/>
  <c r="R202" i="3"/>
  <c r="P202" i="3"/>
  <c r="X202" i="3" s="1"/>
  <c r="N202" i="3"/>
  <c r="V202" i="3" s="1"/>
  <c r="L202" i="3"/>
  <c r="T202" i="3" s="1"/>
  <c r="R201" i="3"/>
  <c r="P201" i="3"/>
  <c r="X201" i="3" s="1"/>
  <c r="N201" i="3"/>
  <c r="V201" i="3" s="1"/>
  <c r="L201" i="3"/>
  <c r="T201" i="3" s="1"/>
  <c r="R200" i="3"/>
  <c r="P200" i="3"/>
  <c r="X200" i="3" s="1"/>
  <c r="N200" i="3"/>
  <c r="V200" i="3" s="1"/>
  <c r="L200" i="3"/>
  <c r="T200" i="3" s="1"/>
  <c r="R199" i="3"/>
  <c r="P199" i="3"/>
  <c r="X199" i="3" s="1"/>
  <c r="N199" i="3"/>
  <c r="V199" i="3" s="1"/>
  <c r="L199" i="3"/>
  <c r="T199" i="3" s="1"/>
  <c r="R198" i="3"/>
  <c r="P198" i="3"/>
  <c r="X198" i="3" s="1"/>
  <c r="N198" i="3"/>
  <c r="V198" i="3" s="1"/>
  <c r="L198" i="3"/>
  <c r="T198" i="3" s="1"/>
  <c r="R197" i="3"/>
  <c r="P197" i="3"/>
  <c r="X197" i="3" s="1"/>
  <c r="N197" i="3"/>
  <c r="V197" i="3" s="1"/>
  <c r="L197" i="3"/>
  <c r="T197" i="3" s="1"/>
  <c r="R196" i="3"/>
  <c r="P196" i="3"/>
  <c r="X196" i="3" s="1"/>
  <c r="N196" i="3"/>
  <c r="V196" i="3" s="1"/>
  <c r="L196" i="3"/>
  <c r="T196" i="3" s="1"/>
  <c r="R195" i="3"/>
  <c r="P195" i="3"/>
  <c r="X195" i="3" s="1"/>
  <c r="N195" i="3"/>
  <c r="V195" i="3" s="1"/>
  <c r="L195" i="3"/>
  <c r="T195" i="3" s="1"/>
  <c r="R194" i="3"/>
  <c r="P194" i="3"/>
  <c r="X194" i="3" s="1"/>
  <c r="N194" i="3"/>
  <c r="V194" i="3" s="1"/>
  <c r="L194" i="3"/>
  <c r="T194" i="3" s="1"/>
  <c r="R193" i="3"/>
  <c r="P193" i="3"/>
  <c r="X193" i="3" s="1"/>
  <c r="N193" i="3"/>
  <c r="V193" i="3" s="1"/>
  <c r="L193" i="3"/>
  <c r="T193" i="3" s="1"/>
  <c r="R192" i="3"/>
  <c r="P192" i="3"/>
  <c r="X192" i="3" s="1"/>
  <c r="N192" i="3"/>
  <c r="V192" i="3" s="1"/>
  <c r="L192" i="3"/>
  <c r="T192" i="3" s="1"/>
  <c r="R191" i="3"/>
  <c r="P191" i="3"/>
  <c r="X191" i="3" s="1"/>
  <c r="N191" i="3"/>
  <c r="V191" i="3" s="1"/>
  <c r="L191" i="3"/>
  <c r="T191" i="3" s="1"/>
  <c r="R190" i="3"/>
  <c r="P190" i="3"/>
  <c r="X190" i="3" s="1"/>
  <c r="N190" i="3"/>
  <c r="V190" i="3" s="1"/>
  <c r="L190" i="3"/>
  <c r="T190" i="3" s="1"/>
  <c r="R189" i="3"/>
  <c r="P189" i="3"/>
  <c r="X189" i="3" s="1"/>
  <c r="N189" i="3"/>
  <c r="V189" i="3" s="1"/>
  <c r="L189" i="3"/>
  <c r="T189" i="3" s="1"/>
  <c r="R188" i="3"/>
  <c r="P188" i="3"/>
  <c r="X188" i="3" s="1"/>
  <c r="N188" i="3"/>
  <c r="V188" i="3" s="1"/>
  <c r="L188" i="3"/>
  <c r="T188" i="3" s="1"/>
  <c r="R187" i="3"/>
  <c r="P187" i="3"/>
  <c r="X187" i="3" s="1"/>
  <c r="N187" i="3"/>
  <c r="V187" i="3" s="1"/>
  <c r="L187" i="3"/>
  <c r="T187" i="3" s="1"/>
  <c r="R186" i="3"/>
  <c r="P186" i="3"/>
  <c r="X186" i="3" s="1"/>
  <c r="N186" i="3"/>
  <c r="V186" i="3" s="1"/>
  <c r="L186" i="3"/>
  <c r="T186" i="3" s="1"/>
  <c r="R185" i="3"/>
  <c r="P185" i="3"/>
  <c r="X185" i="3" s="1"/>
  <c r="N185" i="3"/>
  <c r="V185" i="3" s="1"/>
  <c r="L185" i="3"/>
  <c r="T185" i="3" s="1"/>
  <c r="R184" i="3"/>
  <c r="P184" i="3"/>
  <c r="X184" i="3" s="1"/>
  <c r="N184" i="3"/>
  <c r="V184" i="3" s="1"/>
  <c r="L184" i="3"/>
  <c r="T184" i="3" s="1"/>
  <c r="R183" i="3"/>
  <c r="P183" i="3"/>
  <c r="X183" i="3" s="1"/>
  <c r="N183" i="3"/>
  <c r="V183" i="3" s="1"/>
  <c r="L183" i="3"/>
  <c r="T183" i="3" s="1"/>
  <c r="R182" i="3"/>
  <c r="P182" i="3"/>
  <c r="X182" i="3" s="1"/>
  <c r="N182" i="3"/>
  <c r="V182" i="3" s="1"/>
  <c r="L182" i="3"/>
  <c r="T182" i="3" s="1"/>
  <c r="R181" i="3"/>
  <c r="P181" i="3"/>
  <c r="X181" i="3" s="1"/>
  <c r="N181" i="3"/>
  <c r="V181" i="3" s="1"/>
  <c r="L181" i="3"/>
  <c r="T181" i="3" s="1"/>
  <c r="R180" i="3"/>
  <c r="P180" i="3"/>
  <c r="X180" i="3" s="1"/>
  <c r="N180" i="3"/>
  <c r="V180" i="3" s="1"/>
  <c r="L180" i="3"/>
  <c r="T180" i="3" s="1"/>
  <c r="R179" i="3"/>
  <c r="P179" i="3"/>
  <c r="X179" i="3" s="1"/>
  <c r="N179" i="3"/>
  <c r="V179" i="3" s="1"/>
  <c r="L179" i="3"/>
  <c r="T179" i="3" s="1"/>
  <c r="R178" i="3"/>
  <c r="P178" i="3"/>
  <c r="X178" i="3" s="1"/>
  <c r="N178" i="3"/>
  <c r="V178" i="3" s="1"/>
  <c r="L178" i="3"/>
  <c r="T178" i="3" s="1"/>
  <c r="R177" i="3"/>
  <c r="P177" i="3"/>
  <c r="X177" i="3" s="1"/>
  <c r="N177" i="3"/>
  <c r="V177" i="3" s="1"/>
  <c r="L177" i="3"/>
  <c r="T177" i="3" s="1"/>
  <c r="R176" i="3"/>
  <c r="P176" i="3"/>
  <c r="X176" i="3" s="1"/>
  <c r="N176" i="3"/>
  <c r="V176" i="3" s="1"/>
  <c r="L176" i="3"/>
  <c r="T176" i="3" s="1"/>
  <c r="R175" i="3"/>
  <c r="P175" i="3"/>
  <c r="X175" i="3" s="1"/>
  <c r="N175" i="3"/>
  <c r="V175" i="3" s="1"/>
  <c r="L175" i="3"/>
  <c r="T175" i="3" s="1"/>
  <c r="R174" i="3"/>
  <c r="P174" i="3"/>
  <c r="X174" i="3" s="1"/>
  <c r="N174" i="3"/>
  <c r="V174" i="3" s="1"/>
  <c r="L174" i="3"/>
  <c r="T174" i="3" s="1"/>
  <c r="R173" i="3"/>
  <c r="P173" i="3"/>
  <c r="X173" i="3" s="1"/>
  <c r="N173" i="3"/>
  <c r="V173" i="3" s="1"/>
  <c r="L173" i="3"/>
  <c r="T173" i="3" s="1"/>
  <c r="R172" i="3"/>
  <c r="P172" i="3"/>
  <c r="X172" i="3" s="1"/>
  <c r="N172" i="3"/>
  <c r="V172" i="3" s="1"/>
  <c r="L172" i="3"/>
  <c r="T172" i="3" s="1"/>
  <c r="R171" i="3"/>
  <c r="P171" i="3"/>
  <c r="X171" i="3" s="1"/>
  <c r="N171" i="3"/>
  <c r="V171" i="3" s="1"/>
  <c r="L171" i="3"/>
  <c r="T171" i="3" s="1"/>
  <c r="R170" i="3"/>
  <c r="P170" i="3"/>
  <c r="X170" i="3" s="1"/>
  <c r="N170" i="3"/>
  <c r="V170" i="3" s="1"/>
  <c r="L170" i="3"/>
  <c r="T170" i="3" s="1"/>
  <c r="R169" i="3"/>
  <c r="P169" i="3"/>
  <c r="X169" i="3" s="1"/>
  <c r="N169" i="3"/>
  <c r="V169" i="3" s="1"/>
  <c r="L169" i="3"/>
  <c r="T169" i="3" s="1"/>
  <c r="R168" i="3"/>
  <c r="P168" i="3"/>
  <c r="X168" i="3" s="1"/>
  <c r="N168" i="3"/>
  <c r="V168" i="3" s="1"/>
  <c r="L168" i="3"/>
  <c r="T168" i="3" s="1"/>
  <c r="R167" i="3"/>
  <c r="P167" i="3"/>
  <c r="X167" i="3" s="1"/>
  <c r="N167" i="3"/>
  <c r="V167" i="3" s="1"/>
  <c r="L167" i="3"/>
  <c r="T167" i="3" s="1"/>
  <c r="R166" i="3"/>
  <c r="P166" i="3"/>
  <c r="X166" i="3" s="1"/>
  <c r="N166" i="3"/>
  <c r="V166" i="3" s="1"/>
  <c r="L166" i="3"/>
  <c r="T166" i="3" s="1"/>
  <c r="R165" i="3"/>
  <c r="P165" i="3"/>
  <c r="X165" i="3" s="1"/>
  <c r="N165" i="3"/>
  <c r="V165" i="3" s="1"/>
  <c r="L165" i="3"/>
  <c r="T165" i="3" s="1"/>
  <c r="R164" i="3"/>
  <c r="P164" i="3"/>
  <c r="X164" i="3" s="1"/>
  <c r="N164" i="3"/>
  <c r="V164" i="3" s="1"/>
  <c r="L164" i="3"/>
  <c r="T164" i="3" s="1"/>
  <c r="R163" i="3"/>
  <c r="P163" i="3"/>
  <c r="X163" i="3" s="1"/>
  <c r="N163" i="3"/>
  <c r="V163" i="3" s="1"/>
  <c r="L163" i="3"/>
  <c r="T163" i="3" s="1"/>
  <c r="R162" i="3"/>
  <c r="P162" i="3"/>
  <c r="X162" i="3" s="1"/>
  <c r="N162" i="3"/>
  <c r="V162" i="3" s="1"/>
  <c r="L162" i="3"/>
  <c r="T162" i="3" s="1"/>
  <c r="R161" i="3"/>
  <c r="P161" i="3"/>
  <c r="X161" i="3" s="1"/>
  <c r="N161" i="3"/>
  <c r="V161" i="3" s="1"/>
  <c r="L161" i="3"/>
  <c r="T161" i="3" s="1"/>
  <c r="R160" i="3"/>
  <c r="P160" i="3"/>
  <c r="X160" i="3" s="1"/>
  <c r="N160" i="3"/>
  <c r="V160" i="3" s="1"/>
  <c r="R159" i="3"/>
  <c r="N159" i="3"/>
  <c r="V159" i="3" s="1"/>
  <c r="R158" i="3"/>
  <c r="N158" i="3"/>
  <c r="V158" i="3" s="1"/>
  <c r="R157" i="3"/>
  <c r="N157" i="3"/>
  <c r="V157" i="3" s="1"/>
  <c r="R156" i="3"/>
  <c r="N156" i="3"/>
  <c r="V156" i="3" s="1"/>
  <c r="R155" i="3"/>
  <c r="N155" i="3"/>
  <c r="V155" i="3" s="1"/>
  <c r="R154" i="3"/>
  <c r="N154" i="3"/>
  <c r="V154" i="3" s="1"/>
  <c r="R153" i="3"/>
  <c r="N153" i="3"/>
  <c r="V153" i="3" s="1"/>
  <c r="R152" i="3"/>
  <c r="N152" i="3"/>
  <c r="V152" i="3" s="1"/>
  <c r="R151" i="3"/>
  <c r="N151" i="3"/>
  <c r="V151" i="3" s="1"/>
  <c r="R150" i="3"/>
  <c r="N150" i="3"/>
  <c r="V150" i="3" s="1"/>
  <c r="R149" i="3"/>
  <c r="N149" i="3"/>
  <c r="V149" i="3" s="1"/>
  <c r="R148" i="3"/>
  <c r="N148" i="3"/>
  <c r="V148" i="3" s="1"/>
  <c r="R147" i="3"/>
  <c r="N147" i="3"/>
  <c r="V147" i="3" s="1"/>
  <c r="R146" i="3"/>
  <c r="N146" i="3"/>
  <c r="V146" i="3" s="1"/>
  <c r="R145" i="3"/>
  <c r="N145" i="3"/>
  <c r="V145" i="3" s="1"/>
  <c r="R144" i="3"/>
  <c r="N144" i="3"/>
  <c r="V144" i="3" s="1"/>
  <c r="R143" i="3"/>
  <c r="N143" i="3"/>
  <c r="V143" i="3" s="1"/>
  <c r="R142" i="3"/>
  <c r="N142" i="3"/>
  <c r="V142" i="3" s="1"/>
  <c r="R141" i="3"/>
  <c r="N141" i="3"/>
  <c r="V141" i="3" s="1"/>
  <c r="R140" i="3"/>
  <c r="N140" i="3"/>
  <c r="V140" i="3" s="1"/>
  <c r="R139" i="3"/>
  <c r="N139" i="3"/>
  <c r="V139" i="3" s="1"/>
  <c r="R138" i="3"/>
  <c r="N138" i="3"/>
  <c r="V138" i="3" s="1"/>
  <c r="R137" i="3"/>
  <c r="N137" i="3"/>
  <c r="V137" i="3" s="1"/>
  <c r="R136" i="3"/>
  <c r="N136" i="3"/>
  <c r="V136" i="3" s="1"/>
  <c r="R135" i="3"/>
  <c r="N135" i="3"/>
  <c r="V135" i="3" s="1"/>
  <c r="R134" i="3"/>
  <c r="N134" i="3"/>
  <c r="V134" i="3" s="1"/>
  <c r="R133" i="3"/>
  <c r="N133" i="3"/>
  <c r="V133" i="3" s="1"/>
  <c r="R132" i="3"/>
  <c r="N132" i="3"/>
  <c r="V132" i="3" s="1"/>
  <c r="R131" i="3"/>
  <c r="N131" i="3"/>
  <c r="V131" i="3" s="1"/>
  <c r="R130" i="3"/>
  <c r="N130" i="3"/>
  <c r="V130" i="3" s="1"/>
  <c r="R129" i="3"/>
  <c r="N129" i="3"/>
  <c r="V129" i="3" s="1"/>
  <c r="R128" i="3"/>
  <c r="N128" i="3"/>
  <c r="V128" i="3" s="1"/>
  <c r="R127" i="3"/>
  <c r="N127" i="3"/>
  <c r="V127" i="3" s="1"/>
  <c r="R126" i="3"/>
  <c r="N126" i="3"/>
  <c r="V126" i="3" s="1"/>
  <c r="R125" i="3"/>
  <c r="N125" i="3"/>
  <c r="V125" i="3" s="1"/>
  <c r="R124" i="3"/>
  <c r="N124" i="3"/>
  <c r="V124" i="3" s="1"/>
  <c r="R123" i="3"/>
  <c r="N123" i="3"/>
  <c r="V123" i="3" s="1"/>
  <c r="R122" i="3"/>
  <c r="N122" i="3"/>
  <c r="V122" i="3" s="1"/>
  <c r="R121" i="3"/>
  <c r="N121" i="3"/>
  <c r="V121" i="3" s="1"/>
  <c r="R120" i="3"/>
  <c r="N120" i="3"/>
  <c r="V120" i="3" s="1"/>
  <c r="R119" i="3"/>
  <c r="N119" i="3"/>
  <c r="V119" i="3" s="1"/>
  <c r="R118" i="3"/>
  <c r="N118" i="3"/>
  <c r="V118" i="3" s="1"/>
  <c r="R117" i="3"/>
  <c r="N117" i="3"/>
  <c r="V117" i="3" s="1"/>
  <c r="R116" i="3"/>
  <c r="N116" i="3"/>
  <c r="V116" i="3" s="1"/>
  <c r="R115" i="3"/>
  <c r="N115" i="3"/>
  <c r="V115" i="3" s="1"/>
  <c r="R114" i="3"/>
  <c r="N114" i="3"/>
  <c r="V114" i="3" s="1"/>
  <c r="R113" i="3"/>
  <c r="N113" i="3"/>
  <c r="V113" i="3" s="1"/>
  <c r="R112" i="3"/>
  <c r="N112" i="3"/>
  <c r="V112" i="3" s="1"/>
  <c r="R111" i="3"/>
  <c r="N111" i="3"/>
  <c r="V111" i="3" s="1"/>
  <c r="R110" i="3"/>
  <c r="N110" i="3"/>
  <c r="V110" i="3" s="1"/>
  <c r="R109" i="3"/>
  <c r="N109" i="3"/>
  <c r="V109" i="3" s="1"/>
  <c r="R108" i="3"/>
  <c r="N108" i="3"/>
  <c r="V108" i="3" s="1"/>
  <c r="R107" i="3"/>
  <c r="N107" i="3"/>
  <c r="V107" i="3" s="1"/>
  <c r="R106" i="3"/>
  <c r="N106" i="3"/>
  <c r="V106" i="3" s="1"/>
  <c r="R105" i="3"/>
  <c r="N105" i="3"/>
  <c r="V105" i="3" s="1"/>
  <c r="R104" i="3"/>
  <c r="N104" i="3"/>
  <c r="V104" i="3" s="1"/>
  <c r="R103" i="3"/>
  <c r="N103" i="3"/>
  <c r="V103" i="3" s="1"/>
  <c r="R102" i="3"/>
  <c r="N102" i="3"/>
  <c r="V102" i="3" s="1"/>
  <c r="R101" i="3"/>
  <c r="N101" i="3"/>
  <c r="V101" i="3" s="1"/>
  <c r="R100" i="3"/>
  <c r="N100" i="3"/>
  <c r="V100" i="3" s="1"/>
  <c r="R99" i="3"/>
  <c r="N99" i="3"/>
  <c r="V99" i="3" s="1"/>
  <c r="R98" i="3"/>
  <c r="N98" i="3"/>
  <c r="V98" i="3" s="1"/>
  <c r="R97" i="3"/>
  <c r="N97" i="3"/>
  <c r="V97" i="3" s="1"/>
  <c r="R96" i="3"/>
  <c r="N96" i="3"/>
  <c r="V96" i="3" s="1"/>
  <c r="N95" i="3"/>
  <c r="V95" i="3" s="1"/>
  <c r="N94" i="3"/>
  <c r="V94" i="3" s="1"/>
  <c r="N93" i="3"/>
  <c r="V93" i="3" s="1"/>
  <c r="N92" i="3"/>
  <c r="V92" i="3" s="1"/>
  <c r="N91" i="3"/>
  <c r="V91" i="3" s="1"/>
  <c r="N90" i="3"/>
  <c r="V90" i="3" s="1"/>
  <c r="N89" i="3"/>
  <c r="V89" i="3" s="1"/>
  <c r="N88" i="3"/>
  <c r="V88" i="3" s="1"/>
  <c r="N87" i="3"/>
  <c r="V87" i="3" s="1"/>
  <c r="N86" i="3"/>
  <c r="V86" i="3" s="1"/>
  <c r="N85" i="3"/>
  <c r="V85" i="3" s="1"/>
  <c r="N84" i="3"/>
  <c r="V84" i="3" s="1"/>
  <c r="N83" i="3"/>
  <c r="V83" i="3" s="1"/>
  <c r="N82" i="3"/>
  <c r="V82" i="3" s="1"/>
  <c r="N81" i="3"/>
  <c r="V81" i="3" s="1"/>
  <c r="N80" i="3"/>
  <c r="V80" i="3" s="1"/>
  <c r="N79" i="3"/>
  <c r="V79" i="3" s="1"/>
  <c r="N78" i="3"/>
  <c r="V78" i="3" s="1"/>
  <c r="N77" i="3"/>
  <c r="V77" i="3" s="1"/>
  <c r="N76" i="3"/>
  <c r="V76" i="3" s="1"/>
  <c r="N75" i="3"/>
  <c r="V75" i="3" s="1"/>
  <c r="N74" i="3"/>
  <c r="V74" i="3" s="1"/>
  <c r="N73" i="3"/>
  <c r="V73" i="3" s="1"/>
  <c r="N72" i="3"/>
  <c r="V72" i="3" s="1"/>
  <c r="N71" i="3"/>
  <c r="V71" i="3" s="1"/>
  <c r="N70" i="3"/>
  <c r="V70" i="3" s="1"/>
  <c r="N69" i="3"/>
  <c r="V69" i="3" s="1"/>
  <c r="N68" i="3"/>
  <c r="V68" i="3" s="1"/>
  <c r="N67" i="3"/>
  <c r="V67" i="3" s="1"/>
  <c r="N66" i="3"/>
  <c r="V66" i="3" s="1"/>
  <c r="N65" i="3"/>
  <c r="V65" i="3" s="1"/>
  <c r="M64" i="3"/>
  <c r="U64" i="3" s="1"/>
  <c r="M62" i="3"/>
  <c r="U62" i="3" s="1"/>
  <c r="M60" i="3"/>
  <c r="U60" i="3" s="1"/>
  <c r="M58" i="3"/>
  <c r="U58" i="3" s="1"/>
  <c r="M56" i="3"/>
  <c r="U56" i="3" s="1"/>
  <c r="M54" i="3"/>
  <c r="U54" i="3" s="1"/>
  <c r="P50" i="3"/>
  <c r="X50" i="3" s="1"/>
  <c r="P46" i="3"/>
  <c r="X46" i="3" s="1"/>
  <c r="K42" i="3"/>
  <c r="R28" i="3"/>
  <c r="L5" i="3"/>
  <c r="T5" i="3" s="1"/>
  <c r="R5" i="3"/>
  <c r="R7" i="3"/>
  <c r="R9" i="3"/>
  <c r="R11" i="3"/>
  <c r="R13" i="3"/>
  <c r="R15" i="3"/>
  <c r="R17" i="3"/>
  <c r="R19" i="3"/>
  <c r="R21" i="3"/>
  <c r="R23" i="3"/>
  <c r="R25" i="3"/>
  <c r="R27" i="3"/>
  <c r="R29" i="3"/>
  <c r="R31" i="3"/>
  <c r="R33" i="3"/>
  <c r="R35" i="3"/>
  <c r="R37" i="3"/>
  <c r="O39" i="3"/>
  <c r="W39" i="3" s="1"/>
  <c r="O40" i="3"/>
  <c r="W40" i="3" s="1"/>
  <c r="O41" i="3"/>
  <c r="W41" i="3" s="1"/>
  <c r="O42" i="3"/>
  <c r="W42" i="3" s="1"/>
  <c r="N43" i="3"/>
  <c r="V43" i="3" s="1"/>
  <c r="R43" i="3"/>
  <c r="N44" i="3"/>
  <c r="V44" i="3" s="1"/>
  <c r="R44" i="3"/>
  <c r="N45" i="3"/>
  <c r="V45" i="3" s="1"/>
  <c r="R45" i="3"/>
  <c r="N46" i="3"/>
  <c r="V46" i="3" s="1"/>
  <c r="R46" i="3"/>
  <c r="N47" i="3"/>
  <c r="V47" i="3" s="1"/>
  <c r="R47" i="3"/>
  <c r="N48" i="3"/>
  <c r="V48" i="3" s="1"/>
  <c r="R48" i="3"/>
  <c r="N49" i="3"/>
  <c r="V49" i="3" s="1"/>
  <c r="R49" i="3"/>
  <c r="N50" i="3"/>
  <c r="V50" i="3" s="1"/>
  <c r="R50" i="3"/>
  <c r="N51" i="3"/>
  <c r="V51" i="3" s="1"/>
  <c r="R51" i="3"/>
  <c r="N52" i="3"/>
  <c r="V52" i="3" s="1"/>
  <c r="R52" i="3"/>
  <c r="N53" i="3"/>
  <c r="V53" i="3" s="1"/>
  <c r="R53" i="3"/>
  <c r="L54" i="3"/>
  <c r="T54" i="3" s="1"/>
  <c r="N54" i="3"/>
  <c r="V54" i="3" s="1"/>
  <c r="P54" i="3"/>
  <c r="X54" i="3" s="1"/>
  <c r="R54" i="3"/>
  <c r="L55" i="3"/>
  <c r="T55" i="3" s="1"/>
  <c r="N55" i="3"/>
  <c r="V55" i="3" s="1"/>
  <c r="P55" i="3"/>
  <c r="X55" i="3" s="1"/>
  <c r="R55" i="3"/>
  <c r="L56" i="3"/>
  <c r="T56" i="3" s="1"/>
  <c r="N56" i="3"/>
  <c r="V56" i="3" s="1"/>
  <c r="P56" i="3"/>
  <c r="X56" i="3" s="1"/>
  <c r="R56" i="3"/>
  <c r="L57" i="3"/>
  <c r="T57" i="3" s="1"/>
  <c r="N57" i="3"/>
  <c r="V57" i="3" s="1"/>
  <c r="P57" i="3"/>
  <c r="X57" i="3" s="1"/>
  <c r="R57" i="3"/>
  <c r="L58" i="3"/>
  <c r="T58" i="3" s="1"/>
  <c r="N58" i="3"/>
  <c r="V58" i="3" s="1"/>
  <c r="P58" i="3"/>
  <c r="X58" i="3" s="1"/>
  <c r="R58" i="3"/>
  <c r="L59" i="3"/>
  <c r="T59" i="3" s="1"/>
  <c r="N59" i="3"/>
  <c r="V59" i="3" s="1"/>
  <c r="P59" i="3"/>
  <c r="X59" i="3" s="1"/>
  <c r="R59" i="3"/>
  <c r="L60" i="3"/>
  <c r="T60" i="3" s="1"/>
  <c r="N60" i="3"/>
  <c r="V60" i="3" s="1"/>
  <c r="P60" i="3"/>
  <c r="X60" i="3" s="1"/>
  <c r="R60" i="3"/>
  <c r="L61" i="3"/>
  <c r="T61" i="3" s="1"/>
  <c r="N61" i="3"/>
  <c r="V61" i="3" s="1"/>
  <c r="P61" i="3"/>
  <c r="X61" i="3" s="1"/>
  <c r="R61" i="3"/>
  <c r="L62" i="3"/>
  <c r="T62" i="3" s="1"/>
  <c r="N62" i="3"/>
  <c r="V62" i="3" s="1"/>
  <c r="P62" i="3"/>
  <c r="X62" i="3" s="1"/>
  <c r="R62" i="3"/>
  <c r="L63" i="3"/>
  <c r="T63" i="3" s="1"/>
  <c r="N63" i="3"/>
  <c r="V63" i="3" s="1"/>
  <c r="P63" i="3"/>
  <c r="X63" i="3" s="1"/>
  <c r="R63" i="3"/>
  <c r="L64" i="3"/>
  <c r="T64" i="3" s="1"/>
  <c r="N64" i="3"/>
  <c r="V64" i="3" s="1"/>
  <c r="R6" i="3"/>
  <c r="R10" i="3"/>
  <c r="R14" i="3"/>
  <c r="R18" i="3"/>
  <c r="R22" i="3"/>
  <c r="R26" i="3"/>
  <c r="R30" i="3"/>
  <c r="R34" i="3"/>
  <c r="R38" i="3"/>
  <c r="K41" i="3"/>
  <c r="K43" i="3"/>
  <c r="L44" i="3"/>
  <c r="T44" i="3" s="1"/>
  <c r="L45" i="3"/>
  <c r="T45" i="3" s="1"/>
  <c r="L46" i="3"/>
  <c r="T46" i="3" s="1"/>
  <c r="L47" i="3"/>
  <c r="T47" i="3" s="1"/>
  <c r="L48" i="3"/>
  <c r="T48" i="3" s="1"/>
  <c r="L49" i="3"/>
  <c r="T49" i="3" s="1"/>
  <c r="L50" i="3"/>
  <c r="T50" i="3" s="1"/>
  <c r="L51" i="3"/>
  <c r="T51" i="3" s="1"/>
  <c r="L52" i="3"/>
  <c r="T52" i="3" s="1"/>
  <c r="L53" i="3"/>
  <c r="T53" i="3" s="1"/>
  <c r="K54" i="3"/>
  <c r="O54" i="3"/>
  <c r="W54" i="3" s="1"/>
  <c r="K55" i="3"/>
  <c r="O55" i="3"/>
  <c r="W55" i="3" s="1"/>
  <c r="K56" i="3"/>
  <c r="O56" i="3"/>
  <c r="W56" i="3" s="1"/>
  <c r="K57" i="3"/>
  <c r="O57" i="3"/>
  <c r="W57" i="3" s="1"/>
  <c r="K58" i="3"/>
  <c r="O58" i="3"/>
  <c r="W58" i="3" s="1"/>
  <c r="K59" i="3"/>
  <c r="O59" i="3"/>
  <c r="W59" i="3" s="1"/>
  <c r="K60" i="3"/>
  <c r="O60" i="3"/>
  <c r="W60" i="3" s="1"/>
  <c r="K61" i="3"/>
  <c r="O61" i="3"/>
  <c r="W61" i="3" s="1"/>
  <c r="K62" i="3"/>
  <c r="O62" i="3"/>
  <c r="W62" i="3" s="1"/>
  <c r="K63" i="3"/>
  <c r="O63" i="3"/>
  <c r="W63" i="3" s="1"/>
  <c r="K64" i="3"/>
  <c r="O64" i="3"/>
  <c r="W64" i="3" s="1"/>
  <c r="Q64" i="3"/>
  <c r="K65" i="3"/>
  <c r="M65" i="3"/>
  <c r="U65" i="3" s="1"/>
  <c r="O65" i="3"/>
  <c r="W65" i="3" s="1"/>
  <c r="Q65" i="3"/>
  <c r="K66" i="3"/>
  <c r="M66" i="3"/>
  <c r="U66" i="3" s="1"/>
  <c r="O66" i="3"/>
  <c r="W66" i="3" s="1"/>
  <c r="Q66" i="3"/>
  <c r="K67" i="3"/>
  <c r="M67" i="3"/>
  <c r="U67" i="3" s="1"/>
  <c r="O67" i="3"/>
  <c r="W67" i="3" s="1"/>
  <c r="Q67" i="3"/>
  <c r="K68" i="3"/>
  <c r="M68" i="3"/>
  <c r="U68" i="3" s="1"/>
  <c r="O68" i="3"/>
  <c r="W68" i="3" s="1"/>
  <c r="Q68" i="3"/>
  <c r="K69" i="3"/>
  <c r="M69" i="3"/>
  <c r="U69" i="3" s="1"/>
  <c r="O69" i="3"/>
  <c r="W69" i="3" s="1"/>
  <c r="Q69" i="3"/>
  <c r="K70" i="3"/>
  <c r="M70" i="3"/>
  <c r="U70" i="3" s="1"/>
  <c r="O70" i="3"/>
  <c r="W70" i="3" s="1"/>
  <c r="Q70" i="3"/>
  <c r="K71" i="3"/>
  <c r="M71" i="3"/>
  <c r="U71" i="3" s="1"/>
  <c r="O71" i="3"/>
  <c r="W71" i="3" s="1"/>
  <c r="Q71" i="3"/>
  <c r="K72" i="3"/>
  <c r="M72" i="3"/>
  <c r="U72" i="3" s="1"/>
  <c r="O72" i="3"/>
  <c r="W72" i="3" s="1"/>
  <c r="Q72" i="3"/>
  <c r="K73" i="3"/>
  <c r="M73" i="3"/>
  <c r="U73" i="3" s="1"/>
  <c r="O73" i="3"/>
  <c r="W73" i="3" s="1"/>
  <c r="Q73" i="3"/>
  <c r="K74" i="3"/>
  <c r="M74" i="3"/>
  <c r="U74" i="3" s="1"/>
  <c r="O74" i="3"/>
  <c r="W74" i="3" s="1"/>
  <c r="Q74" i="3"/>
  <c r="K75" i="3"/>
  <c r="M75" i="3"/>
  <c r="U75" i="3" s="1"/>
  <c r="O75" i="3"/>
  <c r="W75" i="3" s="1"/>
  <c r="Q75" i="3"/>
  <c r="K76" i="3"/>
  <c r="M76" i="3"/>
  <c r="U76" i="3" s="1"/>
  <c r="O76" i="3"/>
  <c r="W76" i="3" s="1"/>
  <c r="Q76" i="3"/>
  <c r="K77" i="3"/>
  <c r="M77" i="3"/>
  <c r="U77" i="3" s="1"/>
  <c r="O77" i="3"/>
  <c r="W77" i="3" s="1"/>
  <c r="Q77" i="3"/>
  <c r="K78" i="3"/>
  <c r="M78" i="3"/>
  <c r="U78" i="3" s="1"/>
  <c r="O78" i="3"/>
  <c r="W78" i="3" s="1"/>
  <c r="Q78" i="3"/>
  <c r="K79" i="3"/>
  <c r="M79" i="3"/>
  <c r="U79" i="3" s="1"/>
  <c r="O79" i="3"/>
  <c r="W79" i="3" s="1"/>
  <c r="Q79" i="3"/>
  <c r="K80" i="3"/>
  <c r="M80" i="3"/>
  <c r="U80" i="3" s="1"/>
  <c r="O80" i="3"/>
  <c r="W80" i="3" s="1"/>
  <c r="Q80" i="3"/>
  <c r="K81" i="3"/>
  <c r="M81" i="3"/>
  <c r="U81" i="3" s="1"/>
  <c r="O81" i="3"/>
  <c r="W81" i="3" s="1"/>
  <c r="Q81" i="3"/>
  <c r="K82" i="3"/>
  <c r="M82" i="3"/>
  <c r="U82" i="3" s="1"/>
  <c r="O82" i="3"/>
  <c r="W82" i="3" s="1"/>
  <c r="Q82" i="3"/>
  <c r="K83" i="3"/>
  <c r="M83" i="3"/>
  <c r="U83" i="3" s="1"/>
  <c r="O83" i="3"/>
  <c r="W83" i="3" s="1"/>
  <c r="Q83" i="3"/>
  <c r="K84" i="3"/>
  <c r="M84" i="3"/>
  <c r="U84" i="3" s="1"/>
  <c r="O84" i="3"/>
  <c r="W84" i="3" s="1"/>
  <c r="Q84" i="3"/>
  <c r="K85" i="3"/>
  <c r="M85" i="3"/>
  <c r="U85" i="3" s="1"/>
  <c r="O85" i="3"/>
  <c r="W85" i="3" s="1"/>
  <c r="Q85" i="3"/>
  <c r="K86" i="3"/>
  <c r="M86" i="3"/>
  <c r="U86" i="3" s="1"/>
  <c r="O86" i="3"/>
  <c r="W86" i="3" s="1"/>
  <c r="Q86" i="3"/>
  <c r="K87" i="3"/>
  <c r="M87" i="3"/>
  <c r="U87" i="3" s="1"/>
  <c r="O87" i="3"/>
  <c r="W87" i="3" s="1"/>
  <c r="Q87" i="3"/>
  <c r="K88" i="3"/>
  <c r="M88" i="3"/>
  <c r="U88" i="3" s="1"/>
  <c r="O88" i="3"/>
  <c r="W88" i="3" s="1"/>
  <c r="Q88" i="3"/>
  <c r="K89" i="3"/>
  <c r="M89" i="3"/>
  <c r="U89" i="3" s="1"/>
  <c r="O89" i="3"/>
  <c r="W89" i="3" s="1"/>
  <c r="Q89" i="3"/>
  <c r="K90" i="3"/>
  <c r="M90" i="3"/>
  <c r="U90" i="3" s="1"/>
  <c r="O90" i="3"/>
  <c r="W90" i="3" s="1"/>
  <c r="Q90" i="3"/>
  <c r="K91" i="3"/>
  <c r="M91" i="3"/>
  <c r="U91" i="3" s="1"/>
  <c r="O91" i="3"/>
  <c r="W91" i="3" s="1"/>
  <c r="Q91" i="3"/>
  <c r="K92" i="3"/>
  <c r="M92" i="3"/>
  <c r="U92" i="3" s="1"/>
  <c r="O92" i="3"/>
  <c r="W92" i="3" s="1"/>
  <c r="Q92" i="3"/>
  <c r="K93" i="3"/>
  <c r="M93" i="3"/>
  <c r="U93" i="3" s="1"/>
  <c r="O93" i="3"/>
  <c r="W93" i="3" s="1"/>
  <c r="Q93" i="3"/>
  <c r="K94" i="3"/>
  <c r="M94" i="3"/>
  <c r="U94" i="3" s="1"/>
  <c r="O94" i="3"/>
  <c r="W94" i="3" s="1"/>
  <c r="Q94" i="3"/>
  <c r="K95" i="3"/>
  <c r="M95" i="3"/>
  <c r="U95" i="3" s="1"/>
  <c r="O95" i="3"/>
  <c r="W95" i="3" s="1"/>
  <c r="Q95" i="3"/>
  <c r="K96" i="3"/>
  <c r="M96" i="3"/>
  <c r="U96" i="3" s="1"/>
  <c r="R8" i="3"/>
  <c r="R16" i="3"/>
  <c r="R24" i="3"/>
  <c r="R32" i="3"/>
  <c r="K40" i="3"/>
  <c r="P43" i="3"/>
  <c r="X43" i="3" s="1"/>
  <c r="P45" i="3"/>
  <c r="X45" i="3" s="1"/>
  <c r="P47" i="3"/>
  <c r="X47" i="3" s="1"/>
  <c r="P49" i="3"/>
  <c r="X49" i="3" s="1"/>
  <c r="P51" i="3"/>
  <c r="X51" i="3" s="1"/>
  <c r="P53" i="3"/>
  <c r="X53" i="3" s="1"/>
  <c r="Q54" i="3"/>
  <c r="Q55" i="3"/>
  <c r="Q56" i="3"/>
  <c r="Q57" i="3"/>
  <c r="Q58" i="3"/>
  <c r="Q59" i="3"/>
  <c r="Q60" i="3"/>
  <c r="Q61" i="3"/>
  <c r="Q62" i="3"/>
  <c r="Q63" i="3"/>
  <c r="P64" i="3"/>
  <c r="X64" i="3" s="1"/>
  <c r="L65" i="3"/>
  <c r="T65" i="3" s="1"/>
  <c r="P65" i="3"/>
  <c r="X65" i="3" s="1"/>
  <c r="L66" i="3"/>
  <c r="T66" i="3" s="1"/>
  <c r="P66" i="3"/>
  <c r="X66" i="3" s="1"/>
  <c r="L67" i="3"/>
  <c r="T67" i="3" s="1"/>
  <c r="P67" i="3"/>
  <c r="X67" i="3" s="1"/>
  <c r="L68" i="3"/>
  <c r="T68" i="3" s="1"/>
  <c r="P68" i="3"/>
  <c r="X68" i="3" s="1"/>
  <c r="L69" i="3"/>
  <c r="T69" i="3" s="1"/>
  <c r="P69" i="3"/>
  <c r="X69" i="3" s="1"/>
  <c r="L70" i="3"/>
  <c r="T70" i="3" s="1"/>
  <c r="P70" i="3"/>
  <c r="X70" i="3" s="1"/>
  <c r="L71" i="3"/>
  <c r="T71" i="3" s="1"/>
  <c r="P71" i="3"/>
  <c r="X71" i="3" s="1"/>
  <c r="L72" i="3"/>
  <c r="T72" i="3" s="1"/>
  <c r="P72" i="3"/>
  <c r="X72" i="3" s="1"/>
  <c r="L73" i="3"/>
  <c r="T73" i="3" s="1"/>
  <c r="P73" i="3"/>
  <c r="X73" i="3" s="1"/>
  <c r="L74" i="3"/>
  <c r="T74" i="3" s="1"/>
  <c r="P74" i="3"/>
  <c r="X74" i="3" s="1"/>
  <c r="L75" i="3"/>
  <c r="T75" i="3" s="1"/>
  <c r="P75" i="3"/>
  <c r="X75" i="3" s="1"/>
  <c r="L76" i="3"/>
  <c r="T76" i="3" s="1"/>
  <c r="P76" i="3"/>
  <c r="X76" i="3" s="1"/>
  <c r="L77" i="3"/>
  <c r="T77" i="3" s="1"/>
  <c r="P77" i="3"/>
  <c r="X77" i="3" s="1"/>
  <c r="L78" i="3"/>
  <c r="T78" i="3" s="1"/>
  <c r="P78" i="3"/>
  <c r="X78" i="3" s="1"/>
  <c r="L79" i="3"/>
  <c r="T79" i="3" s="1"/>
  <c r="P79" i="3"/>
  <c r="X79" i="3" s="1"/>
  <c r="L80" i="3"/>
  <c r="T80" i="3" s="1"/>
  <c r="P80" i="3"/>
  <c r="X80" i="3" s="1"/>
  <c r="L81" i="3"/>
  <c r="T81" i="3" s="1"/>
  <c r="P81" i="3"/>
  <c r="X81" i="3" s="1"/>
  <c r="L82" i="3"/>
  <c r="T82" i="3" s="1"/>
  <c r="P82" i="3"/>
  <c r="X82" i="3" s="1"/>
  <c r="L83" i="3"/>
  <c r="T83" i="3" s="1"/>
  <c r="P83" i="3"/>
  <c r="X83" i="3" s="1"/>
  <c r="L84" i="3"/>
  <c r="T84" i="3" s="1"/>
  <c r="P84" i="3"/>
  <c r="X84" i="3" s="1"/>
  <c r="L85" i="3"/>
  <c r="T85" i="3" s="1"/>
  <c r="P85" i="3"/>
  <c r="X85" i="3" s="1"/>
  <c r="L86" i="3"/>
  <c r="T86" i="3" s="1"/>
  <c r="P86" i="3"/>
  <c r="X86" i="3" s="1"/>
  <c r="L87" i="3"/>
  <c r="T87" i="3" s="1"/>
  <c r="P87" i="3"/>
  <c r="X87" i="3" s="1"/>
  <c r="L88" i="3"/>
  <c r="T88" i="3" s="1"/>
  <c r="P88" i="3"/>
  <c r="X88" i="3" s="1"/>
  <c r="L89" i="3"/>
  <c r="T89" i="3" s="1"/>
  <c r="P89" i="3"/>
  <c r="X89" i="3" s="1"/>
  <c r="L90" i="3"/>
  <c r="T90" i="3" s="1"/>
  <c r="P90" i="3"/>
  <c r="X90" i="3" s="1"/>
  <c r="L91" i="3"/>
  <c r="T91" i="3" s="1"/>
  <c r="P91" i="3"/>
  <c r="X91" i="3" s="1"/>
  <c r="L92" i="3"/>
  <c r="T92" i="3" s="1"/>
  <c r="P92" i="3"/>
  <c r="X92" i="3" s="1"/>
  <c r="L93" i="3"/>
  <c r="T93" i="3" s="1"/>
  <c r="P93" i="3"/>
  <c r="X93" i="3" s="1"/>
  <c r="L94" i="3"/>
  <c r="T94" i="3" s="1"/>
  <c r="P94" i="3"/>
  <c r="X94" i="3" s="1"/>
  <c r="L95" i="3"/>
  <c r="T95" i="3" s="1"/>
  <c r="P95" i="3"/>
  <c r="X95" i="3" s="1"/>
  <c r="L96" i="3"/>
  <c r="T96" i="3" s="1"/>
  <c r="O96" i="3"/>
  <c r="W96" i="3" s="1"/>
  <c r="Q96" i="3"/>
  <c r="K97" i="3"/>
  <c r="M97" i="3"/>
  <c r="U97" i="3" s="1"/>
  <c r="O97" i="3"/>
  <c r="W97" i="3" s="1"/>
  <c r="Q97" i="3"/>
  <c r="K98" i="3"/>
  <c r="M98" i="3"/>
  <c r="U98" i="3" s="1"/>
  <c r="O98" i="3"/>
  <c r="W98" i="3" s="1"/>
  <c r="Q98" i="3"/>
  <c r="K99" i="3"/>
  <c r="M99" i="3"/>
  <c r="U99" i="3" s="1"/>
  <c r="O99" i="3"/>
  <c r="W99" i="3" s="1"/>
  <c r="Q99" i="3"/>
  <c r="K100" i="3"/>
  <c r="M100" i="3"/>
  <c r="U100" i="3" s="1"/>
  <c r="O100" i="3"/>
  <c r="W100" i="3" s="1"/>
  <c r="Q100" i="3"/>
  <c r="K101" i="3"/>
  <c r="M101" i="3"/>
  <c r="U101" i="3" s="1"/>
  <c r="O101" i="3"/>
  <c r="W101" i="3" s="1"/>
  <c r="Q101" i="3"/>
  <c r="K102" i="3"/>
  <c r="M102" i="3"/>
  <c r="U102" i="3" s="1"/>
  <c r="O102" i="3"/>
  <c r="W102" i="3" s="1"/>
  <c r="Q102" i="3"/>
  <c r="K103" i="3"/>
  <c r="M103" i="3"/>
  <c r="U103" i="3" s="1"/>
  <c r="O103" i="3"/>
  <c r="W103" i="3" s="1"/>
  <c r="Q103" i="3"/>
  <c r="K104" i="3"/>
  <c r="M104" i="3"/>
  <c r="U104" i="3" s="1"/>
  <c r="O104" i="3"/>
  <c r="W104" i="3" s="1"/>
  <c r="Q104" i="3"/>
  <c r="K105" i="3"/>
  <c r="M105" i="3"/>
  <c r="U105" i="3" s="1"/>
  <c r="O105" i="3"/>
  <c r="W105" i="3" s="1"/>
  <c r="Q105" i="3"/>
  <c r="K106" i="3"/>
  <c r="M106" i="3"/>
  <c r="U106" i="3" s="1"/>
  <c r="O106" i="3"/>
  <c r="W106" i="3" s="1"/>
  <c r="Q106" i="3"/>
  <c r="K107" i="3"/>
  <c r="M107" i="3"/>
  <c r="U107" i="3" s="1"/>
  <c r="O107" i="3"/>
  <c r="W107" i="3" s="1"/>
  <c r="Q107" i="3"/>
  <c r="K108" i="3"/>
  <c r="M108" i="3"/>
  <c r="U108" i="3" s="1"/>
  <c r="O108" i="3"/>
  <c r="W108" i="3" s="1"/>
  <c r="Q108" i="3"/>
  <c r="K109" i="3"/>
  <c r="M109" i="3"/>
  <c r="U109" i="3" s="1"/>
  <c r="O109" i="3"/>
  <c r="W109" i="3" s="1"/>
  <c r="Q109" i="3"/>
  <c r="K110" i="3"/>
  <c r="M110" i="3"/>
  <c r="U110" i="3" s="1"/>
  <c r="O110" i="3"/>
  <c r="W110" i="3" s="1"/>
  <c r="Q110" i="3"/>
  <c r="K111" i="3"/>
  <c r="M111" i="3"/>
  <c r="U111" i="3" s="1"/>
  <c r="O111" i="3"/>
  <c r="W111" i="3" s="1"/>
  <c r="Q111" i="3"/>
  <c r="K112" i="3"/>
  <c r="M112" i="3"/>
  <c r="U112" i="3" s="1"/>
  <c r="O112" i="3"/>
  <c r="W112" i="3" s="1"/>
  <c r="Q112" i="3"/>
  <c r="K113" i="3"/>
  <c r="M113" i="3"/>
  <c r="U113" i="3" s="1"/>
  <c r="O113" i="3"/>
  <c r="W113" i="3" s="1"/>
  <c r="Q113" i="3"/>
  <c r="K114" i="3"/>
  <c r="M114" i="3"/>
  <c r="U114" i="3" s="1"/>
  <c r="O114" i="3"/>
  <c r="W114" i="3" s="1"/>
  <c r="Q114" i="3"/>
  <c r="K115" i="3"/>
  <c r="M115" i="3"/>
  <c r="U115" i="3" s="1"/>
  <c r="O115" i="3"/>
  <c r="W115" i="3" s="1"/>
  <c r="Q115" i="3"/>
  <c r="K116" i="3"/>
  <c r="M116" i="3"/>
  <c r="U116" i="3" s="1"/>
  <c r="O116" i="3"/>
  <c r="W116" i="3" s="1"/>
  <c r="Q116" i="3"/>
  <c r="K117" i="3"/>
  <c r="M117" i="3"/>
  <c r="U117" i="3" s="1"/>
  <c r="O117" i="3"/>
  <c r="W117" i="3" s="1"/>
  <c r="Q117" i="3"/>
  <c r="K118" i="3"/>
  <c r="M118" i="3"/>
  <c r="U118" i="3" s="1"/>
  <c r="O118" i="3"/>
  <c r="W118" i="3" s="1"/>
  <c r="Q118" i="3"/>
  <c r="K119" i="3"/>
  <c r="M119" i="3"/>
  <c r="U119" i="3" s="1"/>
  <c r="O119" i="3"/>
  <c r="W119" i="3" s="1"/>
  <c r="Q119" i="3"/>
  <c r="K120" i="3"/>
  <c r="M120" i="3"/>
  <c r="U120" i="3" s="1"/>
  <c r="O120" i="3"/>
  <c r="W120" i="3" s="1"/>
  <c r="Q120" i="3"/>
  <c r="K121" i="3"/>
  <c r="M121" i="3"/>
  <c r="U121" i="3" s="1"/>
  <c r="O121" i="3"/>
  <c r="W121" i="3" s="1"/>
  <c r="Q121" i="3"/>
  <c r="K122" i="3"/>
  <c r="M122" i="3"/>
  <c r="U122" i="3" s="1"/>
  <c r="O122" i="3"/>
  <c r="W122" i="3" s="1"/>
  <c r="Q122" i="3"/>
  <c r="K123" i="3"/>
  <c r="M123" i="3"/>
  <c r="U123" i="3" s="1"/>
  <c r="O123" i="3"/>
  <c r="W123" i="3" s="1"/>
  <c r="Q123" i="3"/>
  <c r="K124" i="3"/>
  <c r="M124" i="3"/>
  <c r="U124" i="3" s="1"/>
  <c r="O124" i="3"/>
  <c r="W124" i="3" s="1"/>
  <c r="Q124" i="3"/>
  <c r="K125" i="3"/>
  <c r="M125" i="3"/>
  <c r="U125" i="3" s="1"/>
  <c r="O125" i="3"/>
  <c r="W125" i="3" s="1"/>
  <c r="Q125" i="3"/>
  <c r="K126" i="3"/>
  <c r="M126" i="3"/>
  <c r="U126" i="3" s="1"/>
  <c r="O126" i="3"/>
  <c r="W126" i="3" s="1"/>
  <c r="Q126" i="3"/>
  <c r="K127" i="3"/>
  <c r="M127" i="3"/>
  <c r="U127" i="3" s="1"/>
  <c r="O127" i="3"/>
  <c r="W127" i="3" s="1"/>
  <c r="Q127" i="3"/>
  <c r="K128" i="3"/>
  <c r="M128" i="3"/>
  <c r="U128" i="3" s="1"/>
  <c r="O128" i="3"/>
  <c r="W128" i="3" s="1"/>
  <c r="Q128" i="3"/>
  <c r="K129" i="3"/>
  <c r="M129" i="3"/>
  <c r="U129" i="3" s="1"/>
  <c r="O129" i="3"/>
  <c r="W129" i="3" s="1"/>
  <c r="Q129" i="3"/>
  <c r="K130" i="3"/>
  <c r="M130" i="3"/>
  <c r="U130" i="3" s="1"/>
  <c r="O130" i="3"/>
  <c r="W130" i="3" s="1"/>
  <c r="Q130" i="3"/>
  <c r="K131" i="3"/>
  <c r="M131" i="3"/>
  <c r="U131" i="3" s="1"/>
  <c r="O131" i="3"/>
  <c r="W131" i="3" s="1"/>
  <c r="Q131" i="3"/>
  <c r="K132" i="3"/>
  <c r="M132" i="3"/>
  <c r="U132" i="3" s="1"/>
  <c r="O132" i="3"/>
  <c r="W132" i="3" s="1"/>
  <c r="Q132" i="3"/>
  <c r="K133" i="3"/>
  <c r="M133" i="3"/>
  <c r="U133" i="3" s="1"/>
  <c r="O133" i="3"/>
  <c r="W133" i="3" s="1"/>
  <c r="Q133" i="3"/>
  <c r="K134" i="3"/>
  <c r="M134" i="3"/>
  <c r="U134" i="3" s="1"/>
  <c r="O134" i="3"/>
  <c r="W134" i="3" s="1"/>
  <c r="Q134" i="3"/>
  <c r="K135" i="3"/>
  <c r="M135" i="3"/>
  <c r="U135" i="3" s="1"/>
  <c r="O135" i="3"/>
  <c r="W135" i="3" s="1"/>
  <c r="Q135" i="3"/>
  <c r="K136" i="3"/>
  <c r="M136" i="3"/>
  <c r="U136" i="3" s="1"/>
  <c r="O136" i="3"/>
  <c r="W136" i="3" s="1"/>
  <c r="Q136" i="3"/>
  <c r="K137" i="3"/>
  <c r="M137" i="3"/>
  <c r="U137" i="3" s="1"/>
  <c r="O137" i="3"/>
  <c r="W137" i="3" s="1"/>
  <c r="Q137" i="3"/>
  <c r="K138" i="3"/>
  <c r="M138" i="3"/>
  <c r="U138" i="3" s="1"/>
  <c r="O138" i="3"/>
  <c r="W138" i="3" s="1"/>
  <c r="Q138" i="3"/>
  <c r="K139" i="3"/>
  <c r="M139" i="3"/>
  <c r="U139" i="3" s="1"/>
  <c r="O139" i="3"/>
  <c r="W139" i="3" s="1"/>
  <c r="Q139" i="3"/>
  <c r="K140" i="3"/>
  <c r="M140" i="3"/>
  <c r="U140" i="3" s="1"/>
  <c r="O140" i="3"/>
  <c r="W140" i="3" s="1"/>
  <c r="Q140" i="3"/>
  <c r="K141" i="3"/>
  <c r="M141" i="3"/>
  <c r="U141" i="3" s="1"/>
  <c r="O141" i="3"/>
  <c r="W141" i="3" s="1"/>
  <c r="Q141" i="3"/>
  <c r="K142" i="3"/>
  <c r="M142" i="3"/>
  <c r="U142" i="3" s="1"/>
  <c r="O142" i="3"/>
  <c r="W142" i="3" s="1"/>
  <c r="Q142" i="3"/>
  <c r="K143" i="3"/>
  <c r="M143" i="3"/>
  <c r="U143" i="3" s="1"/>
  <c r="O143" i="3"/>
  <c r="W143" i="3" s="1"/>
  <c r="Q143" i="3"/>
  <c r="K144" i="3"/>
  <c r="M144" i="3"/>
  <c r="U144" i="3" s="1"/>
  <c r="O144" i="3"/>
  <c r="W144" i="3" s="1"/>
  <c r="Q144" i="3"/>
  <c r="K145" i="3"/>
  <c r="M145" i="3"/>
  <c r="U145" i="3" s="1"/>
  <c r="O145" i="3"/>
  <c r="W145" i="3" s="1"/>
  <c r="Q145" i="3"/>
  <c r="K146" i="3"/>
  <c r="M146" i="3"/>
  <c r="U146" i="3" s="1"/>
  <c r="O146" i="3"/>
  <c r="W146" i="3" s="1"/>
  <c r="Q146" i="3"/>
  <c r="K147" i="3"/>
  <c r="M147" i="3"/>
  <c r="U147" i="3" s="1"/>
  <c r="O147" i="3"/>
  <c r="W147" i="3" s="1"/>
  <c r="Q147" i="3"/>
  <c r="K148" i="3"/>
  <c r="M148" i="3"/>
  <c r="U148" i="3" s="1"/>
  <c r="O148" i="3"/>
  <c r="W148" i="3" s="1"/>
  <c r="Q148" i="3"/>
  <c r="K149" i="3"/>
  <c r="M149" i="3"/>
  <c r="U149" i="3" s="1"/>
  <c r="O149" i="3"/>
  <c r="W149" i="3" s="1"/>
  <c r="Q149" i="3"/>
  <c r="K150" i="3"/>
  <c r="M150" i="3"/>
  <c r="U150" i="3" s="1"/>
  <c r="O150" i="3"/>
  <c r="W150" i="3" s="1"/>
  <c r="Q150" i="3"/>
  <c r="K151" i="3"/>
  <c r="M151" i="3"/>
  <c r="U151" i="3" s="1"/>
  <c r="O151" i="3"/>
  <c r="W151" i="3" s="1"/>
  <c r="Q151" i="3"/>
  <c r="K152" i="3"/>
  <c r="M152" i="3"/>
  <c r="U152" i="3" s="1"/>
  <c r="O152" i="3"/>
  <c r="W152" i="3" s="1"/>
  <c r="Q152" i="3"/>
  <c r="K153" i="3"/>
  <c r="M153" i="3"/>
  <c r="U153" i="3" s="1"/>
  <c r="O153" i="3"/>
  <c r="W153" i="3" s="1"/>
  <c r="Q153" i="3"/>
  <c r="K154" i="3"/>
  <c r="M154" i="3"/>
  <c r="U154" i="3" s="1"/>
  <c r="O154" i="3"/>
  <c r="W154" i="3" s="1"/>
  <c r="Q154" i="3"/>
  <c r="K155" i="3"/>
  <c r="M155" i="3"/>
  <c r="U155" i="3" s="1"/>
  <c r="O155" i="3"/>
  <c r="W155" i="3" s="1"/>
  <c r="Q155" i="3"/>
  <c r="K156" i="3"/>
  <c r="M156" i="3"/>
  <c r="U156" i="3" s="1"/>
  <c r="O156" i="3"/>
  <c r="W156" i="3" s="1"/>
  <c r="Q156" i="3"/>
  <c r="K157" i="3"/>
  <c r="M157" i="3"/>
  <c r="U157" i="3" s="1"/>
  <c r="O157" i="3"/>
  <c r="W157" i="3" s="1"/>
  <c r="Q157" i="3"/>
  <c r="K158" i="3"/>
  <c r="M158" i="3"/>
  <c r="U158" i="3" s="1"/>
  <c r="O158" i="3"/>
  <c r="W158" i="3" s="1"/>
  <c r="Q158" i="3"/>
  <c r="K159" i="3"/>
  <c r="M159" i="3"/>
  <c r="U159" i="3" s="1"/>
  <c r="O159" i="3"/>
  <c r="W159" i="3" s="1"/>
  <c r="Q159" i="3"/>
  <c r="K160" i="3"/>
  <c r="M160" i="3"/>
  <c r="U160" i="3" s="1"/>
  <c r="Q53" i="3"/>
  <c r="O53" i="3"/>
  <c r="W53" i="3" s="1"/>
  <c r="M53" i="3"/>
  <c r="U53" i="3" s="1"/>
  <c r="K53" i="3"/>
  <c r="Q52" i="3"/>
  <c r="O52" i="3"/>
  <c r="W52" i="3" s="1"/>
  <c r="M52" i="3"/>
  <c r="U52" i="3" s="1"/>
  <c r="K52" i="3"/>
  <c r="Q51" i="3"/>
  <c r="O51" i="3"/>
  <c r="W51" i="3" s="1"/>
  <c r="M51" i="3"/>
  <c r="U51" i="3" s="1"/>
  <c r="K51" i="3"/>
  <c r="Q50" i="3"/>
  <c r="O50" i="3"/>
  <c r="W50" i="3" s="1"/>
  <c r="M50" i="3"/>
  <c r="U50" i="3" s="1"/>
  <c r="K50" i="3"/>
  <c r="Q49" i="3"/>
  <c r="O49" i="3"/>
  <c r="W49" i="3" s="1"/>
  <c r="M49" i="3"/>
  <c r="U49" i="3" s="1"/>
  <c r="K49" i="3"/>
  <c r="Q48" i="3"/>
  <c r="O48" i="3"/>
  <c r="W48" i="3" s="1"/>
  <c r="M48" i="3"/>
  <c r="U48" i="3" s="1"/>
  <c r="K48" i="3"/>
  <c r="Q47" i="3"/>
  <c r="O47" i="3"/>
  <c r="W47" i="3" s="1"/>
  <c r="M47" i="3"/>
  <c r="U47" i="3" s="1"/>
  <c r="K47" i="3"/>
  <c r="Q46" i="3"/>
  <c r="O46" i="3"/>
  <c r="W46" i="3" s="1"/>
  <c r="M46" i="3"/>
  <c r="U46" i="3" s="1"/>
  <c r="K46" i="3"/>
  <c r="Q45" i="3"/>
  <c r="O45" i="3"/>
  <c r="W45" i="3" s="1"/>
  <c r="M45" i="3"/>
  <c r="U45" i="3" s="1"/>
  <c r="K45" i="3"/>
  <c r="Q44" i="3"/>
  <c r="O44" i="3"/>
  <c r="W44" i="3" s="1"/>
  <c r="M44" i="3"/>
  <c r="U44" i="3" s="1"/>
  <c r="K44" i="3"/>
  <c r="Q43" i="3"/>
  <c r="O43" i="3"/>
  <c r="W43" i="3" s="1"/>
  <c r="M43" i="3"/>
  <c r="U43" i="3" s="1"/>
  <c r="Q42" i="3"/>
  <c r="M42" i="3"/>
  <c r="U42" i="3" s="1"/>
  <c r="Q41" i="3"/>
  <c r="M41" i="3"/>
  <c r="U41" i="3" s="1"/>
  <c r="Q40" i="3"/>
  <c r="M40" i="3"/>
  <c r="U40" i="3" s="1"/>
  <c r="Q39" i="3"/>
  <c r="M39" i="3"/>
  <c r="U39" i="3" s="1"/>
  <c r="N38" i="3"/>
  <c r="V38" i="3" s="1"/>
  <c r="N37" i="3"/>
  <c r="V37" i="3" s="1"/>
  <c r="N36" i="3"/>
  <c r="V36" i="3" s="1"/>
  <c r="N35" i="3"/>
  <c r="V35" i="3" s="1"/>
  <c r="N34" i="3"/>
  <c r="V34" i="3" s="1"/>
  <c r="N33" i="3"/>
  <c r="V33" i="3" s="1"/>
  <c r="N32" i="3"/>
  <c r="V32" i="3" s="1"/>
  <c r="N31" i="3"/>
  <c r="V31" i="3" s="1"/>
  <c r="N30" i="3"/>
  <c r="V30" i="3" s="1"/>
  <c r="N29" i="3"/>
  <c r="V29" i="3" s="1"/>
  <c r="N28" i="3"/>
  <c r="V28" i="3" s="1"/>
  <c r="N27" i="3"/>
  <c r="V27" i="3" s="1"/>
  <c r="N26" i="3"/>
  <c r="V26" i="3" s="1"/>
  <c r="N25" i="3"/>
  <c r="V25" i="3" s="1"/>
  <c r="N24" i="3"/>
  <c r="V24" i="3" s="1"/>
  <c r="N23" i="3"/>
  <c r="V23" i="3" s="1"/>
  <c r="N22" i="3"/>
  <c r="V22" i="3" s="1"/>
  <c r="N21" i="3"/>
  <c r="V21" i="3" s="1"/>
  <c r="N20" i="3"/>
  <c r="V20" i="3" s="1"/>
  <c r="N19" i="3"/>
  <c r="V19" i="3" s="1"/>
  <c r="N18" i="3"/>
  <c r="V18" i="3" s="1"/>
  <c r="N17" i="3"/>
  <c r="V17" i="3" s="1"/>
  <c r="N16" i="3"/>
  <c r="V16" i="3" s="1"/>
  <c r="N15" i="3"/>
  <c r="V15" i="3" s="1"/>
  <c r="N14" i="3"/>
  <c r="V14" i="3" s="1"/>
  <c r="N13" i="3"/>
  <c r="V13" i="3" s="1"/>
  <c r="N12" i="3"/>
  <c r="V12" i="3" s="1"/>
  <c r="N11" i="3"/>
  <c r="V11" i="3" s="1"/>
  <c r="N10" i="3"/>
  <c r="V10" i="3" s="1"/>
  <c r="N9" i="3"/>
  <c r="V9" i="3" s="1"/>
  <c r="N8" i="3"/>
  <c r="V8" i="3" s="1"/>
  <c r="N7" i="3"/>
  <c r="V7" i="3" s="1"/>
  <c r="N6" i="3"/>
  <c r="V6" i="3" s="1"/>
  <c r="N5" i="3"/>
  <c r="V5" i="3" s="1"/>
  <c r="L43" i="3"/>
  <c r="T43" i="3" s="1"/>
  <c r="R42" i="3"/>
  <c r="P42" i="3"/>
  <c r="X42" i="3" s="1"/>
  <c r="N42" i="3"/>
  <c r="V42" i="3" s="1"/>
  <c r="L42" i="3"/>
  <c r="T42" i="3" s="1"/>
  <c r="R41" i="3"/>
  <c r="P41" i="3"/>
  <c r="X41" i="3" s="1"/>
  <c r="N41" i="3"/>
  <c r="V41" i="3" s="1"/>
  <c r="L41" i="3"/>
  <c r="T41" i="3" s="1"/>
  <c r="R40" i="3"/>
  <c r="P40" i="3"/>
  <c r="X40" i="3" s="1"/>
  <c r="N40" i="3"/>
  <c r="V40" i="3" s="1"/>
  <c r="L40" i="3"/>
  <c r="T40" i="3" s="1"/>
  <c r="R39" i="3"/>
  <c r="P39" i="3"/>
  <c r="X39" i="3" s="1"/>
  <c r="N39" i="3"/>
  <c r="V39" i="3" s="1"/>
  <c r="L39" i="3"/>
  <c r="T39" i="3" s="1"/>
  <c r="P38" i="3"/>
  <c r="X38" i="3" s="1"/>
  <c r="L38" i="3"/>
  <c r="T38" i="3" s="1"/>
  <c r="P37" i="3"/>
  <c r="X37" i="3" s="1"/>
  <c r="L37" i="3"/>
  <c r="T37" i="3" s="1"/>
  <c r="P36" i="3"/>
  <c r="X36" i="3" s="1"/>
  <c r="L36" i="3"/>
  <c r="T36" i="3" s="1"/>
  <c r="P35" i="3"/>
  <c r="X35" i="3" s="1"/>
  <c r="L35" i="3"/>
  <c r="T35" i="3" s="1"/>
  <c r="P34" i="3"/>
  <c r="X34" i="3" s="1"/>
  <c r="L34" i="3"/>
  <c r="T34" i="3" s="1"/>
  <c r="P33" i="3"/>
  <c r="X33" i="3" s="1"/>
  <c r="L33" i="3"/>
  <c r="T33" i="3" s="1"/>
  <c r="P32" i="3"/>
  <c r="X32" i="3" s="1"/>
  <c r="L32" i="3"/>
  <c r="T32" i="3" s="1"/>
  <c r="P31" i="3"/>
  <c r="X31" i="3" s="1"/>
  <c r="L31" i="3"/>
  <c r="T31" i="3" s="1"/>
  <c r="P30" i="3"/>
  <c r="X30" i="3" s="1"/>
  <c r="L30" i="3"/>
  <c r="T30" i="3" s="1"/>
  <c r="P29" i="3"/>
  <c r="X29" i="3" s="1"/>
  <c r="L29" i="3"/>
  <c r="T29" i="3" s="1"/>
  <c r="P28" i="3"/>
  <c r="X28" i="3" s="1"/>
  <c r="L28" i="3"/>
  <c r="T28" i="3" s="1"/>
  <c r="P27" i="3"/>
  <c r="X27" i="3" s="1"/>
  <c r="L27" i="3"/>
  <c r="T27" i="3" s="1"/>
  <c r="P26" i="3"/>
  <c r="X26" i="3" s="1"/>
  <c r="L26" i="3"/>
  <c r="T26" i="3" s="1"/>
  <c r="P25" i="3"/>
  <c r="X25" i="3" s="1"/>
  <c r="L25" i="3"/>
  <c r="T25" i="3" s="1"/>
  <c r="P24" i="3"/>
  <c r="X24" i="3" s="1"/>
  <c r="L24" i="3"/>
  <c r="T24" i="3" s="1"/>
  <c r="P23" i="3"/>
  <c r="X23" i="3" s="1"/>
  <c r="L23" i="3"/>
  <c r="T23" i="3" s="1"/>
  <c r="P22" i="3"/>
  <c r="X22" i="3" s="1"/>
  <c r="L22" i="3"/>
  <c r="T22" i="3" s="1"/>
  <c r="P21" i="3"/>
  <c r="X21" i="3" s="1"/>
  <c r="L21" i="3"/>
  <c r="T21" i="3" s="1"/>
  <c r="P20" i="3"/>
  <c r="X20" i="3" s="1"/>
  <c r="L20" i="3"/>
  <c r="T20" i="3" s="1"/>
  <c r="P19" i="3"/>
  <c r="X19" i="3" s="1"/>
  <c r="L19" i="3"/>
  <c r="T19" i="3" s="1"/>
  <c r="P18" i="3"/>
  <c r="X18" i="3" s="1"/>
  <c r="L18" i="3"/>
  <c r="T18" i="3" s="1"/>
  <c r="P17" i="3"/>
  <c r="X17" i="3" s="1"/>
  <c r="L17" i="3"/>
  <c r="T17" i="3" s="1"/>
  <c r="P16" i="3"/>
  <c r="X16" i="3" s="1"/>
  <c r="L16" i="3"/>
  <c r="T16" i="3" s="1"/>
  <c r="P15" i="3"/>
  <c r="X15" i="3" s="1"/>
  <c r="L15" i="3"/>
  <c r="T15" i="3" s="1"/>
  <c r="P14" i="3"/>
  <c r="X14" i="3" s="1"/>
  <c r="L14" i="3"/>
  <c r="T14" i="3" s="1"/>
  <c r="P13" i="3"/>
  <c r="X13" i="3" s="1"/>
  <c r="L13" i="3"/>
  <c r="T13" i="3" s="1"/>
  <c r="P12" i="3"/>
  <c r="X12" i="3" s="1"/>
  <c r="L12" i="3"/>
  <c r="T12" i="3" s="1"/>
  <c r="P11" i="3"/>
  <c r="X11" i="3" s="1"/>
  <c r="L11" i="3"/>
  <c r="T11" i="3" s="1"/>
  <c r="P10" i="3"/>
  <c r="X10" i="3" s="1"/>
  <c r="L10" i="3"/>
  <c r="T10" i="3" s="1"/>
  <c r="P9" i="3"/>
  <c r="X9" i="3" s="1"/>
  <c r="L9" i="3"/>
  <c r="T9" i="3" s="1"/>
  <c r="P8" i="3"/>
  <c r="X8" i="3" s="1"/>
  <c r="L8" i="3"/>
  <c r="T8" i="3" s="1"/>
  <c r="P7" i="3"/>
  <c r="X7" i="3" s="1"/>
  <c r="L7" i="3"/>
  <c r="T7" i="3" s="1"/>
  <c r="P6" i="3"/>
  <c r="X6" i="3" s="1"/>
  <c r="L6" i="3"/>
  <c r="T6" i="3" s="1"/>
  <c r="P5" i="3"/>
  <c r="X5" i="3" s="1"/>
  <c r="V406" i="3"/>
  <c r="V401" i="3"/>
  <c r="K5" i="3"/>
  <c r="S5" i="3" s="1"/>
  <c r="M5" i="3"/>
  <c r="U5" i="3" s="1"/>
  <c r="O5" i="3"/>
  <c r="W5" i="3" s="1"/>
  <c r="Q5" i="3"/>
  <c r="Y5" i="3" s="1"/>
  <c r="K6" i="3"/>
  <c r="M6" i="3"/>
  <c r="U6" i="3" s="1"/>
  <c r="O6" i="3"/>
  <c r="W6" i="3" s="1"/>
  <c r="Q6" i="3"/>
  <c r="K7" i="3"/>
  <c r="M7" i="3"/>
  <c r="U7" i="3" s="1"/>
  <c r="O7" i="3"/>
  <c r="W7" i="3" s="1"/>
  <c r="Q7" i="3"/>
  <c r="K8" i="3"/>
  <c r="M8" i="3"/>
  <c r="U8" i="3" s="1"/>
  <c r="O8" i="3"/>
  <c r="W8" i="3" s="1"/>
  <c r="Q8" i="3"/>
  <c r="K9" i="3"/>
  <c r="M9" i="3"/>
  <c r="U9" i="3" s="1"/>
  <c r="O9" i="3"/>
  <c r="W9" i="3" s="1"/>
  <c r="Q9" i="3"/>
  <c r="K10" i="3"/>
  <c r="M10" i="3"/>
  <c r="U10" i="3" s="1"/>
  <c r="O10" i="3"/>
  <c r="W10" i="3" s="1"/>
  <c r="Q10" i="3"/>
  <c r="K11" i="3"/>
  <c r="M11" i="3"/>
  <c r="U11" i="3" s="1"/>
  <c r="O11" i="3"/>
  <c r="W11" i="3" s="1"/>
  <c r="Q11" i="3"/>
  <c r="K12" i="3"/>
  <c r="M12" i="3"/>
  <c r="U12" i="3" s="1"/>
  <c r="O12" i="3"/>
  <c r="W12" i="3" s="1"/>
  <c r="Q12" i="3"/>
  <c r="K13" i="3"/>
  <c r="M13" i="3"/>
  <c r="U13" i="3" s="1"/>
  <c r="O13" i="3"/>
  <c r="W13" i="3" s="1"/>
  <c r="Q13" i="3"/>
  <c r="K14" i="3"/>
  <c r="M14" i="3"/>
  <c r="U14" i="3" s="1"/>
  <c r="O14" i="3"/>
  <c r="W14" i="3" s="1"/>
  <c r="Q14" i="3"/>
  <c r="K15" i="3"/>
  <c r="M15" i="3"/>
  <c r="U15" i="3" s="1"/>
  <c r="O15" i="3"/>
  <c r="W15" i="3" s="1"/>
  <c r="Q15" i="3"/>
  <c r="K16" i="3"/>
  <c r="M16" i="3"/>
  <c r="U16" i="3" s="1"/>
  <c r="O16" i="3"/>
  <c r="W16" i="3" s="1"/>
  <c r="Q16" i="3"/>
  <c r="K17" i="3"/>
  <c r="M17" i="3"/>
  <c r="U17" i="3" s="1"/>
  <c r="O17" i="3"/>
  <c r="W17" i="3" s="1"/>
  <c r="Q17" i="3"/>
  <c r="K18" i="3"/>
  <c r="M18" i="3"/>
  <c r="U18" i="3" s="1"/>
  <c r="O18" i="3"/>
  <c r="W18" i="3" s="1"/>
  <c r="Q18" i="3"/>
  <c r="K19" i="3"/>
  <c r="M19" i="3"/>
  <c r="U19" i="3" s="1"/>
  <c r="O19" i="3"/>
  <c r="W19" i="3" s="1"/>
  <c r="Q19" i="3"/>
  <c r="K20" i="3"/>
  <c r="M20" i="3"/>
  <c r="U20" i="3" s="1"/>
  <c r="O20" i="3"/>
  <c r="W20" i="3" s="1"/>
  <c r="Q20" i="3"/>
  <c r="K21" i="3"/>
  <c r="M21" i="3"/>
  <c r="U21" i="3" s="1"/>
  <c r="O21" i="3"/>
  <c r="W21" i="3" s="1"/>
  <c r="Q21" i="3"/>
  <c r="K22" i="3"/>
  <c r="M22" i="3"/>
  <c r="U22" i="3" s="1"/>
  <c r="O22" i="3"/>
  <c r="W22" i="3" s="1"/>
  <c r="Q22" i="3"/>
  <c r="K23" i="3"/>
  <c r="M23" i="3"/>
  <c r="U23" i="3" s="1"/>
  <c r="O23" i="3"/>
  <c r="W23" i="3" s="1"/>
  <c r="Q23" i="3"/>
  <c r="K24" i="3"/>
  <c r="M24" i="3"/>
  <c r="U24" i="3" s="1"/>
  <c r="O24" i="3"/>
  <c r="W24" i="3" s="1"/>
  <c r="Q24" i="3"/>
  <c r="K25" i="3"/>
  <c r="M25" i="3"/>
  <c r="U25" i="3" s="1"/>
  <c r="O25" i="3"/>
  <c r="W25" i="3" s="1"/>
  <c r="Q25" i="3"/>
  <c r="K26" i="3"/>
  <c r="M26" i="3"/>
  <c r="U26" i="3" s="1"/>
  <c r="O26" i="3"/>
  <c r="W26" i="3" s="1"/>
  <c r="Q26" i="3"/>
  <c r="K27" i="3"/>
  <c r="M27" i="3"/>
  <c r="U27" i="3" s="1"/>
  <c r="O27" i="3"/>
  <c r="W27" i="3" s="1"/>
  <c r="Q27" i="3"/>
  <c r="K28" i="3"/>
  <c r="M28" i="3"/>
  <c r="U28" i="3" s="1"/>
  <c r="O28" i="3"/>
  <c r="W28" i="3" s="1"/>
  <c r="Q28" i="3"/>
  <c r="K29" i="3"/>
  <c r="M29" i="3"/>
  <c r="U29" i="3" s="1"/>
  <c r="O29" i="3"/>
  <c r="W29" i="3" s="1"/>
  <c r="Q29" i="3"/>
  <c r="K30" i="3"/>
  <c r="M30" i="3"/>
  <c r="U30" i="3" s="1"/>
  <c r="O30" i="3"/>
  <c r="W30" i="3" s="1"/>
  <c r="Q30" i="3"/>
  <c r="K31" i="3"/>
  <c r="M31" i="3"/>
  <c r="U31" i="3" s="1"/>
  <c r="O31" i="3"/>
  <c r="W31" i="3" s="1"/>
  <c r="Q31" i="3"/>
  <c r="K32" i="3"/>
  <c r="M32" i="3"/>
  <c r="U32" i="3" s="1"/>
  <c r="O32" i="3"/>
  <c r="W32" i="3" s="1"/>
  <c r="Q32" i="3"/>
  <c r="K33" i="3"/>
  <c r="M33" i="3"/>
  <c r="U33" i="3" s="1"/>
  <c r="O33" i="3"/>
  <c r="W33" i="3" s="1"/>
  <c r="Q33" i="3"/>
  <c r="K34" i="3"/>
  <c r="M34" i="3"/>
  <c r="U34" i="3" s="1"/>
  <c r="O34" i="3"/>
  <c r="W34" i="3" s="1"/>
  <c r="Q34" i="3"/>
  <c r="K35" i="3"/>
  <c r="M35" i="3"/>
  <c r="U35" i="3" s="1"/>
  <c r="O35" i="3"/>
  <c r="W35" i="3" s="1"/>
  <c r="Q35" i="3"/>
  <c r="K36" i="3"/>
  <c r="M36" i="3"/>
  <c r="U36" i="3" s="1"/>
  <c r="O36" i="3"/>
  <c r="W36" i="3" s="1"/>
  <c r="Q36" i="3"/>
  <c r="K37" i="3"/>
  <c r="M37" i="3"/>
  <c r="U37" i="3" s="1"/>
  <c r="O37" i="3"/>
  <c r="W37" i="3" s="1"/>
  <c r="Q37" i="3"/>
  <c r="K38" i="3"/>
  <c r="M38" i="3"/>
  <c r="U38" i="3" s="1"/>
  <c r="O38" i="3"/>
  <c r="W38" i="3" s="1"/>
  <c r="Q38" i="3"/>
  <c r="K39" i="3"/>
  <c r="H458" i="1" l="1"/>
  <c r="H462" i="3" s="1"/>
  <c r="AU462" i="3" s="1"/>
  <c r="H456" i="1"/>
  <c r="H460" i="3" s="1"/>
  <c r="AU460" i="3" s="1"/>
  <c r="H454" i="1"/>
  <c r="H458" i="3" s="1"/>
  <c r="AU458" i="3" s="1"/>
  <c r="H450" i="1"/>
  <c r="H454" i="3" s="1"/>
  <c r="AU454" i="3" s="1"/>
  <c r="H448" i="1"/>
  <c r="H452" i="3" s="1"/>
  <c r="AU452" i="3" s="1"/>
  <c r="H446" i="1"/>
  <c r="H450" i="3" s="1"/>
  <c r="AU450" i="3" s="1"/>
  <c r="H442" i="1"/>
  <c r="H446" i="3" s="1"/>
  <c r="AU446" i="3" s="1"/>
  <c r="H440" i="1"/>
  <c r="H444" i="3" s="1"/>
  <c r="AU444" i="3" s="1"/>
  <c r="H438" i="1"/>
  <c r="H442" i="3" s="1"/>
  <c r="AU442" i="3" s="1"/>
  <c r="H434" i="1"/>
  <c r="H438" i="3" s="1"/>
  <c r="AU438" i="3" s="1"/>
  <c r="H432" i="1"/>
  <c r="H436" i="3" s="1"/>
  <c r="AU436" i="3" s="1"/>
  <c r="H430" i="1"/>
  <c r="H434" i="3" s="1"/>
  <c r="AU434" i="3" s="1"/>
  <c r="H426" i="1"/>
  <c r="H430" i="3" s="1"/>
  <c r="AU430" i="3" s="1"/>
  <c r="H424" i="1"/>
  <c r="H428" i="3" s="1"/>
  <c r="AU428" i="3" s="1"/>
  <c r="H422" i="1"/>
  <c r="H426" i="3" s="1"/>
  <c r="AU426" i="3" s="1"/>
  <c r="H418" i="1"/>
  <c r="H422" i="3" s="1"/>
  <c r="AU422" i="3" s="1"/>
  <c r="H416" i="1"/>
  <c r="H420" i="3" s="1"/>
  <c r="AU420" i="3" s="1"/>
  <c r="H414" i="1"/>
  <c r="H418" i="3" s="1"/>
  <c r="AU418" i="3" s="1"/>
  <c r="H410" i="1"/>
  <c r="H414" i="3" s="1"/>
  <c r="AU414" i="3" s="1"/>
  <c r="H408" i="1"/>
  <c r="H412" i="3" s="1"/>
  <c r="AU412" i="3" s="1"/>
  <c r="H406" i="1"/>
  <c r="H410" i="3" s="1"/>
  <c r="AU410" i="3" s="1"/>
  <c r="H402" i="1"/>
  <c r="H406" i="3" s="1"/>
  <c r="AU406" i="3" s="1"/>
  <c r="H400" i="1"/>
  <c r="H404" i="3" s="1"/>
  <c r="AU404" i="3" s="1"/>
  <c r="H398" i="1"/>
  <c r="H402" i="3" s="1"/>
  <c r="AU402" i="3" s="1"/>
  <c r="H394" i="1"/>
  <c r="H398" i="3" s="1"/>
  <c r="AU398" i="3" s="1"/>
  <c r="H392" i="1"/>
  <c r="H396" i="3" s="1"/>
  <c r="AU396" i="3" s="1"/>
  <c r="H390" i="1"/>
  <c r="H394" i="3" s="1"/>
  <c r="AU394" i="3" s="1"/>
  <c r="H386" i="1"/>
  <c r="H390" i="3" s="1"/>
  <c r="AU390" i="3" s="1"/>
  <c r="H384" i="1"/>
  <c r="H388" i="3" s="1"/>
  <c r="AU388" i="3" s="1"/>
  <c r="H382" i="1"/>
  <c r="H386" i="3" s="1"/>
  <c r="AU386" i="3" s="1"/>
  <c r="H378" i="1"/>
  <c r="H382" i="3" s="1"/>
  <c r="AU382" i="3" s="1"/>
  <c r="H376" i="1"/>
  <c r="H380" i="3" s="1"/>
  <c r="AU380" i="3" s="1"/>
  <c r="H374" i="1"/>
  <c r="H378" i="3" s="1"/>
  <c r="AU378" i="3" s="1"/>
  <c r="H370" i="1"/>
  <c r="H374" i="3" s="1"/>
  <c r="AU374" i="3" s="1"/>
  <c r="H368" i="1"/>
  <c r="H372" i="3" s="1"/>
  <c r="AU372" i="3" s="1"/>
  <c r="H366" i="1"/>
  <c r="H370" i="3" s="1"/>
  <c r="AU370" i="3" s="1"/>
  <c r="H362" i="1"/>
  <c r="H366" i="3" s="1"/>
  <c r="AU366" i="3" s="1"/>
  <c r="H360" i="1"/>
  <c r="H364" i="3" s="1"/>
  <c r="AU364" i="3" s="1"/>
  <c r="H358" i="1"/>
  <c r="H362" i="3" s="1"/>
  <c r="AU362" i="3" s="1"/>
  <c r="H354" i="1"/>
  <c r="H358" i="3" s="1"/>
  <c r="AU358" i="3" s="1"/>
  <c r="H352" i="1"/>
  <c r="H356" i="3" s="1"/>
  <c r="AU356" i="3" s="1"/>
  <c r="H350" i="1"/>
  <c r="H354" i="3" s="1"/>
  <c r="AU354" i="3" s="1"/>
  <c r="H346" i="1"/>
  <c r="H350" i="3" s="1"/>
  <c r="AU350" i="3" s="1"/>
  <c r="H344" i="1"/>
  <c r="H348" i="3" s="1"/>
  <c r="AU348" i="3" s="1"/>
  <c r="H342" i="1"/>
  <c r="H346" i="3" s="1"/>
  <c r="AU346" i="3" s="1"/>
  <c r="H339" i="1"/>
  <c r="H343" i="3" s="1"/>
  <c r="AU343" i="3" s="1"/>
  <c r="H335" i="1"/>
  <c r="H339" i="3" s="1"/>
  <c r="AU339" i="3" s="1"/>
  <c r="H331" i="1"/>
  <c r="H335" i="3" s="1"/>
  <c r="AU335" i="3" s="1"/>
  <c r="H330" i="1"/>
  <c r="H334" i="3" s="1"/>
  <c r="AU334" i="3" s="1"/>
  <c r="H328" i="1"/>
  <c r="H332" i="3" s="1"/>
  <c r="AU332" i="3" s="1"/>
  <c r="H327" i="1"/>
  <c r="H331" i="3" s="1"/>
  <c r="AU331" i="3" s="1"/>
  <c r="H326" i="1"/>
  <c r="H330" i="3" s="1"/>
  <c r="AU330" i="3" s="1"/>
  <c r="H323" i="1"/>
  <c r="H327" i="3" s="1"/>
  <c r="AU327" i="3" s="1"/>
  <c r="H322" i="1"/>
  <c r="H326" i="3" s="1"/>
  <c r="AU326" i="3" s="1"/>
  <c r="H319" i="1"/>
  <c r="H323" i="3" s="1"/>
  <c r="AU323" i="3" s="1"/>
  <c r="H318" i="1"/>
  <c r="H322" i="3" s="1"/>
  <c r="AU322" i="3" s="1"/>
  <c r="H315" i="1"/>
  <c r="H319" i="3" s="1"/>
  <c r="AU319" i="3" s="1"/>
  <c r="H314" i="1"/>
  <c r="H318" i="3" s="1"/>
  <c r="AU318" i="3" s="1"/>
  <c r="H312" i="1"/>
  <c r="H316" i="3" s="1"/>
  <c r="AU316" i="3" s="1"/>
  <c r="H311" i="1"/>
  <c r="H315" i="3" s="1"/>
  <c r="AU315" i="3" s="1"/>
  <c r="H310" i="1"/>
  <c r="H314" i="3" s="1"/>
  <c r="AU314" i="3" s="1"/>
  <c r="H307" i="1"/>
  <c r="H311" i="3" s="1"/>
  <c r="AU311" i="3" s="1"/>
  <c r="H303" i="1"/>
  <c r="H307" i="3" s="1"/>
  <c r="AU307" i="3" s="1"/>
  <c r="H299" i="1"/>
  <c r="H303" i="3" s="1"/>
  <c r="AU303" i="3" s="1"/>
  <c r="H298" i="1"/>
  <c r="H302" i="3" s="1"/>
  <c r="AU302" i="3" s="1"/>
  <c r="H296" i="1"/>
  <c r="H300" i="3" s="1"/>
  <c r="AU300" i="3" s="1"/>
  <c r="H295" i="1"/>
  <c r="H299" i="3" s="1"/>
  <c r="AU299" i="3" s="1"/>
  <c r="H294" i="1"/>
  <c r="H298" i="3" s="1"/>
  <c r="AU298" i="3" s="1"/>
  <c r="H291" i="1"/>
  <c r="H295" i="3" s="1"/>
  <c r="AU295" i="3" s="1"/>
  <c r="H290" i="1"/>
  <c r="H294" i="3" s="1"/>
  <c r="AU294" i="3" s="1"/>
  <c r="H287" i="1"/>
  <c r="H291" i="3" s="1"/>
  <c r="AU291" i="3" s="1"/>
  <c r="H286" i="1"/>
  <c r="H290" i="3" s="1"/>
  <c r="AU290" i="3" s="1"/>
  <c r="H283" i="1"/>
  <c r="H287" i="3" s="1"/>
  <c r="AU287" i="3" s="1"/>
  <c r="H282" i="1"/>
  <c r="H286" i="3" s="1"/>
  <c r="AU286" i="3" s="1"/>
  <c r="H280" i="1"/>
  <c r="H284" i="3" s="1"/>
  <c r="AU284" i="3" s="1"/>
  <c r="H279" i="1"/>
  <c r="H283" i="3" s="1"/>
  <c r="AU283" i="3" s="1"/>
  <c r="H278" i="1"/>
  <c r="H282" i="3" s="1"/>
  <c r="AU282" i="3" s="1"/>
  <c r="H275" i="1"/>
  <c r="H279" i="3" s="1"/>
  <c r="AU279" i="3" s="1"/>
  <c r="H271" i="1"/>
  <c r="H275" i="3" s="1"/>
  <c r="AU275" i="3" s="1"/>
  <c r="H267" i="1"/>
  <c r="H271" i="3" s="1"/>
  <c r="AU271" i="3" s="1"/>
  <c r="H266" i="1"/>
  <c r="H270" i="3" s="1"/>
  <c r="AU270" i="3" s="1"/>
  <c r="H264" i="1"/>
  <c r="H268" i="3" s="1"/>
  <c r="AU268" i="3" s="1"/>
  <c r="H263" i="1"/>
  <c r="H267" i="3" s="1"/>
  <c r="AU267" i="3" s="1"/>
  <c r="H262" i="1"/>
  <c r="H266" i="3" s="1"/>
  <c r="AU266" i="3" s="1"/>
  <c r="H259" i="1"/>
  <c r="H263" i="3" s="1"/>
  <c r="AU263" i="3" s="1"/>
  <c r="H258" i="1"/>
  <c r="H262" i="3" s="1"/>
  <c r="AU262" i="3" s="1"/>
  <c r="H255" i="1"/>
  <c r="H259" i="3" s="1"/>
  <c r="AU259" i="3" s="1"/>
  <c r="H254" i="1"/>
  <c r="H258" i="3" s="1"/>
  <c r="AU258" i="3" s="1"/>
  <c r="H251" i="1"/>
  <c r="H255" i="3" s="1"/>
  <c r="AU255" i="3" s="1"/>
  <c r="H250" i="1"/>
  <c r="H254" i="3" s="1"/>
  <c r="AU254" i="3" s="1"/>
  <c r="H248" i="1"/>
  <c r="H252" i="3" s="1"/>
  <c r="AU252" i="3" s="1"/>
  <c r="H247" i="1"/>
  <c r="H251" i="3" s="1"/>
  <c r="AU251" i="3" s="1"/>
  <c r="H246" i="1"/>
  <c r="H250" i="3" s="1"/>
  <c r="AU250" i="3" s="1"/>
  <c r="H243" i="1"/>
  <c r="H247" i="3" s="1"/>
  <c r="AU247" i="3" s="1"/>
  <c r="H239" i="1"/>
  <c r="H243" i="3" s="1"/>
  <c r="AU243" i="3" s="1"/>
  <c r="H235" i="1"/>
  <c r="H239" i="3" s="1"/>
  <c r="AU239" i="3" s="1"/>
  <c r="H234" i="1"/>
  <c r="H238" i="3" s="1"/>
  <c r="AU238" i="3" s="1"/>
  <c r="H232" i="1"/>
  <c r="H236" i="3" s="1"/>
  <c r="AU236" i="3" s="1"/>
  <c r="H231" i="1"/>
  <c r="H235" i="3" s="1"/>
  <c r="AU235" i="3" s="1"/>
  <c r="H230" i="1"/>
  <c r="H234" i="3" s="1"/>
  <c r="AU234" i="3" s="1"/>
  <c r="H227" i="1"/>
  <c r="H231" i="3" s="1"/>
  <c r="AU231" i="3" s="1"/>
  <c r="H226" i="1"/>
  <c r="H230" i="3" s="1"/>
  <c r="AU230" i="3" s="1"/>
  <c r="H223" i="1"/>
  <c r="H227" i="3" s="1"/>
  <c r="AU227" i="3" s="1"/>
  <c r="H222" i="1"/>
  <c r="H226" i="3" s="1"/>
  <c r="AU226" i="3" s="1"/>
  <c r="H219" i="1"/>
  <c r="H223" i="3" s="1"/>
  <c r="AU223" i="3" s="1"/>
  <c r="H218" i="1"/>
  <c r="H222" i="3" s="1"/>
  <c r="AU222" i="3" s="1"/>
  <c r="H216" i="1"/>
  <c r="H220" i="3" s="1"/>
  <c r="AU220" i="3" s="1"/>
  <c r="H215" i="1"/>
  <c r="H219" i="3" s="1"/>
  <c r="AU219" i="3" s="1"/>
  <c r="H214" i="1"/>
  <c r="H218" i="3" s="1"/>
  <c r="AU218" i="3" s="1"/>
  <c r="H211" i="1"/>
  <c r="H215" i="3" s="1"/>
  <c r="AU215" i="3" s="1"/>
  <c r="H207" i="1"/>
  <c r="H211" i="3" s="1"/>
  <c r="AU211" i="3" s="1"/>
  <c r="H203" i="1"/>
  <c r="H207" i="3" s="1"/>
  <c r="AU207" i="3" s="1"/>
  <c r="H202" i="1"/>
  <c r="H206" i="3" s="1"/>
  <c r="AU206" i="3" s="1"/>
  <c r="H200" i="1"/>
  <c r="H204" i="3" s="1"/>
  <c r="AU204" i="3" s="1"/>
  <c r="H199" i="1"/>
  <c r="H203" i="3" s="1"/>
  <c r="AU203" i="3" s="1"/>
  <c r="H198" i="1"/>
  <c r="H202" i="3" s="1"/>
  <c r="AU202" i="3" s="1"/>
  <c r="H195" i="1"/>
  <c r="H199" i="3" s="1"/>
  <c r="AU199" i="3" s="1"/>
  <c r="H194" i="1"/>
  <c r="H198" i="3" s="1"/>
  <c r="AU198" i="3" s="1"/>
  <c r="H191" i="1"/>
  <c r="H195" i="3" s="1"/>
  <c r="AU195" i="3" s="1"/>
  <c r="H190" i="1"/>
  <c r="H194" i="3" s="1"/>
  <c r="AU194" i="3" s="1"/>
  <c r="H187" i="1"/>
  <c r="H191" i="3" s="1"/>
  <c r="AU191" i="3" s="1"/>
  <c r="H186" i="1"/>
  <c r="H190" i="3" s="1"/>
  <c r="AU190" i="3" s="1"/>
  <c r="H184" i="1"/>
  <c r="H188" i="3" s="1"/>
  <c r="AU188" i="3" s="1"/>
  <c r="H183" i="1"/>
  <c r="H187" i="3" s="1"/>
  <c r="AU187" i="3" s="1"/>
  <c r="H182" i="1"/>
  <c r="H186" i="3" s="1"/>
  <c r="AU186" i="3" s="1"/>
  <c r="H179" i="1"/>
  <c r="H183" i="3" s="1"/>
  <c r="AU183" i="3" s="1"/>
  <c r="H175" i="1"/>
  <c r="H179" i="3" s="1"/>
  <c r="AU179" i="3" s="1"/>
  <c r="H171" i="1"/>
  <c r="H175" i="3" s="1"/>
  <c r="AU175" i="3" s="1"/>
  <c r="H170" i="1"/>
  <c r="H174" i="3" s="1"/>
  <c r="AU174" i="3" s="1"/>
  <c r="H168" i="1"/>
  <c r="H172" i="3" s="1"/>
  <c r="AU172" i="3" s="1"/>
  <c r="H167" i="1"/>
  <c r="H171" i="3" s="1"/>
  <c r="AU171" i="3" s="1"/>
  <c r="H166" i="1"/>
  <c r="H170" i="3" s="1"/>
  <c r="AU170" i="3" s="1"/>
  <c r="H163" i="1"/>
  <c r="H167" i="3" s="1"/>
  <c r="AU167" i="3" s="1"/>
  <c r="H162" i="1"/>
  <c r="H166" i="3" s="1"/>
  <c r="AU166" i="3" s="1"/>
  <c r="H159" i="1"/>
  <c r="H163" i="3" s="1"/>
  <c r="AU163" i="3" s="1"/>
  <c r="H158" i="1"/>
  <c r="H162" i="3" s="1"/>
  <c r="AU162" i="3" s="1"/>
  <c r="H155" i="1"/>
  <c r="H159" i="3" s="1"/>
  <c r="AU159" i="3" s="1"/>
  <c r="H154" i="1"/>
  <c r="H158" i="3" s="1"/>
  <c r="AU158" i="3" s="1"/>
  <c r="H152" i="1"/>
  <c r="H156" i="3" s="1"/>
  <c r="AU156" i="3" s="1"/>
  <c r="H151" i="1"/>
  <c r="H155" i="3" s="1"/>
  <c r="AU155" i="3" s="1"/>
  <c r="H150" i="1"/>
  <c r="H154" i="3" s="1"/>
  <c r="AU154" i="3" s="1"/>
  <c r="H147" i="1"/>
  <c r="H151" i="3" s="1"/>
  <c r="AU151" i="3" s="1"/>
  <c r="H143" i="1"/>
  <c r="H147" i="3" s="1"/>
  <c r="AU147" i="3" s="1"/>
  <c r="H139" i="1"/>
  <c r="H143" i="3" s="1"/>
  <c r="AU143" i="3" s="1"/>
  <c r="H138" i="1"/>
  <c r="H142" i="3" s="1"/>
  <c r="AU142" i="3" s="1"/>
  <c r="H136" i="1"/>
  <c r="H140" i="3" s="1"/>
  <c r="AU140" i="3" s="1"/>
  <c r="H135" i="1"/>
  <c r="H139" i="3" s="1"/>
  <c r="AU139" i="3" s="1"/>
  <c r="H134" i="1"/>
  <c r="H138" i="3" s="1"/>
  <c r="AU138" i="3" s="1"/>
  <c r="H131" i="1"/>
  <c r="H135" i="3" s="1"/>
  <c r="AU135" i="3" s="1"/>
  <c r="H130" i="1"/>
  <c r="H134" i="3" s="1"/>
  <c r="AU134" i="3" s="1"/>
  <c r="H127" i="1"/>
  <c r="H131" i="3" s="1"/>
  <c r="AU131" i="3" s="1"/>
  <c r="H126" i="1"/>
  <c r="H130" i="3" s="1"/>
  <c r="AU130" i="3" s="1"/>
  <c r="H123" i="1"/>
  <c r="H127" i="3" s="1"/>
  <c r="AU127" i="3" s="1"/>
  <c r="H122" i="1"/>
  <c r="H126" i="3" s="1"/>
  <c r="AU126" i="3" s="1"/>
  <c r="H120" i="1"/>
  <c r="H124" i="3" s="1"/>
  <c r="AU124" i="3" s="1"/>
  <c r="H119" i="1"/>
  <c r="H123" i="3" s="1"/>
  <c r="AU123" i="3" s="1"/>
  <c r="H118" i="1"/>
  <c r="H122" i="3" s="1"/>
  <c r="AU122" i="3" s="1"/>
  <c r="H115" i="1"/>
  <c r="H119" i="3" s="1"/>
  <c r="AU119" i="3" s="1"/>
  <c r="H111" i="1"/>
  <c r="H115" i="3" s="1"/>
  <c r="AU115" i="3" s="1"/>
  <c r="H107" i="1"/>
  <c r="H111" i="3" s="1"/>
  <c r="AU111" i="3" s="1"/>
  <c r="H106" i="1"/>
  <c r="H110" i="3" s="1"/>
  <c r="AU110" i="3" s="1"/>
  <c r="H104" i="1"/>
  <c r="H108" i="3" s="1"/>
  <c r="AU108" i="3" s="1"/>
  <c r="H103" i="1"/>
  <c r="H107" i="3" s="1"/>
  <c r="AU107" i="3" s="1"/>
  <c r="H102" i="1"/>
  <c r="H106" i="3" s="1"/>
  <c r="AU106" i="3" s="1"/>
  <c r="H99" i="1"/>
  <c r="H103" i="3" s="1"/>
  <c r="AU103" i="3" s="1"/>
  <c r="H98" i="1"/>
  <c r="H102" i="3" s="1"/>
  <c r="AU102" i="3" s="1"/>
  <c r="H95" i="1"/>
  <c r="H99" i="3" s="1"/>
  <c r="AU99" i="3" s="1"/>
  <c r="H94" i="1"/>
  <c r="H98" i="3" s="1"/>
  <c r="AU98" i="3" s="1"/>
  <c r="H91" i="1"/>
  <c r="H95" i="3" s="1"/>
  <c r="AU95" i="3" s="1"/>
  <c r="H90" i="1"/>
  <c r="H94" i="3" s="1"/>
  <c r="AU94" i="3" s="1"/>
  <c r="H88" i="1"/>
  <c r="H92" i="3" s="1"/>
  <c r="AU92" i="3" s="1"/>
  <c r="H87" i="1"/>
  <c r="H91" i="3" s="1"/>
  <c r="AU91" i="3" s="1"/>
  <c r="H86" i="1"/>
  <c r="H90" i="3" s="1"/>
  <c r="AU90" i="3" s="1"/>
  <c r="H83" i="1"/>
  <c r="H87" i="3" s="1"/>
  <c r="AU87" i="3" s="1"/>
  <c r="H79" i="1"/>
  <c r="H83" i="3" s="1"/>
  <c r="AU83" i="3" s="1"/>
  <c r="H75" i="1"/>
  <c r="H79" i="3" s="1"/>
  <c r="AU79" i="3" s="1"/>
  <c r="H74" i="1"/>
  <c r="H78" i="3" s="1"/>
  <c r="AU78" i="3" s="1"/>
  <c r="H72" i="1"/>
  <c r="H76" i="3" s="1"/>
  <c r="AU76" i="3" s="1"/>
  <c r="H71" i="1"/>
  <c r="H75" i="3" s="1"/>
  <c r="AU75" i="3" s="1"/>
  <c r="H70" i="1"/>
  <c r="H74" i="3" s="1"/>
  <c r="AU74" i="3" s="1"/>
  <c r="H67" i="1"/>
  <c r="H71" i="3" s="1"/>
  <c r="AU71" i="3" s="1"/>
  <c r="H66" i="1"/>
  <c r="H70" i="3" s="1"/>
  <c r="AU70" i="3" s="1"/>
  <c r="H63" i="1"/>
  <c r="H67" i="3" s="1"/>
  <c r="AU67" i="3" s="1"/>
  <c r="H62" i="1"/>
  <c r="H66" i="3" s="1"/>
  <c r="AU66" i="3" s="1"/>
  <c r="H59" i="1"/>
  <c r="H63" i="3" s="1"/>
  <c r="AU63" i="3" s="1"/>
  <c r="H58" i="1"/>
  <c r="H62" i="3" s="1"/>
  <c r="AU62" i="3" s="1"/>
  <c r="H56" i="1"/>
  <c r="H60" i="3" s="1"/>
  <c r="AU60" i="3" s="1"/>
  <c r="H55" i="1"/>
  <c r="H59" i="3" s="1"/>
  <c r="AU59" i="3" s="1"/>
  <c r="H54" i="1"/>
  <c r="H58" i="3" s="1"/>
  <c r="AU58" i="3" s="1"/>
  <c r="H51" i="1"/>
  <c r="H55" i="3" s="1"/>
  <c r="AU55" i="3" s="1"/>
  <c r="H47" i="1"/>
  <c r="H51" i="3" s="1"/>
  <c r="AU51" i="3" s="1"/>
  <c r="H43" i="1"/>
  <c r="H47" i="3" s="1"/>
  <c r="AU47" i="3" s="1"/>
  <c r="H42" i="1"/>
  <c r="H46" i="3" s="1"/>
  <c r="AU46" i="3" s="1"/>
  <c r="H40" i="1"/>
  <c r="H44" i="3" s="1"/>
  <c r="AU44" i="3" s="1"/>
  <c r="H39" i="1"/>
  <c r="H43" i="3" s="1"/>
  <c r="AU43" i="3" s="1"/>
  <c r="H38" i="1"/>
  <c r="H42" i="3" s="1"/>
  <c r="AU42" i="3" s="1"/>
  <c r="H35" i="1"/>
  <c r="H39" i="3" s="1"/>
  <c r="AU39" i="3" s="1"/>
  <c r="H34" i="1"/>
  <c r="H38" i="3" s="1"/>
  <c r="AU38" i="3" s="1"/>
  <c r="H31" i="1"/>
  <c r="H35" i="3" s="1"/>
  <c r="AU35" i="3" s="1"/>
  <c r="H30" i="1"/>
  <c r="H34" i="3" s="1"/>
  <c r="AU34" i="3" s="1"/>
  <c r="H27" i="1"/>
  <c r="H31" i="3" s="1"/>
  <c r="AU31" i="3" s="1"/>
  <c r="H26" i="1"/>
  <c r="H30" i="3" s="1"/>
  <c r="AU30" i="3" s="1"/>
  <c r="H24" i="1"/>
  <c r="H28" i="3" s="1"/>
  <c r="AU28" i="3" s="1"/>
  <c r="H23" i="1"/>
  <c r="H27" i="3" s="1"/>
  <c r="AU27" i="3" s="1"/>
  <c r="H22" i="1"/>
  <c r="H26" i="3" s="1"/>
  <c r="AU26" i="3" s="1"/>
  <c r="H19" i="1"/>
  <c r="H23" i="3" s="1"/>
  <c r="AU23" i="3" s="1"/>
  <c r="H15" i="1"/>
  <c r="H19" i="3" s="1"/>
  <c r="AU19" i="3" s="1"/>
  <c r="H11" i="1"/>
  <c r="H15" i="3" s="1"/>
  <c r="AU15" i="3" s="1"/>
  <c r="H10" i="1"/>
  <c r="H14" i="3" s="1"/>
  <c r="AU14" i="3" s="1"/>
  <c r="H8" i="1"/>
  <c r="H12" i="3" s="1"/>
  <c r="AU12" i="3" s="1"/>
  <c r="H7" i="1"/>
  <c r="H11" i="3" s="1"/>
  <c r="AU11" i="3" s="1"/>
  <c r="H6" i="1"/>
  <c r="H10" i="3" s="1"/>
  <c r="AU10" i="3" s="1"/>
  <c r="H3" i="1"/>
  <c r="H7" i="3" s="1"/>
  <c r="AU7" i="3" s="1"/>
  <c r="H2" i="1"/>
  <c r="H6" i="3" s="1"/>
  <c r="AU6" i="3" s="1"/>
  <c r="G2" i="1"/>
  <c r="G6" i="3" s="1"/>
  <c r="AT6" i="3" s="1"/>
  <c r="G3" i="1"/>
  <c r="G7" i="3" s="1"/>
  <c r="AT7" i="3" s="1"/>
  <c r="G4" i="1"/>
  <c r="G8" i="3" s="1"/>
  <c r="AT8" i="3" s="1"/>
  <c r="H4" i="1"/>
  <c r="H8" i="3" s="1"/>
  <c r="AU8" i="3" s="1"/>
  <c r="G5" i="1"/>
  <c r="G9" i="3" s="1"/>
  <c r="AT9" i="3" s="1"/>
  <c r="H5" i="1"/>
  <c r="H9" i="3" s="1"/>
  <c r="AU9" i="3" s="1"/>
  <c r="G6" i="1"/>
  <c r="G10" i="3" s="1"/>
  <c r="AT10" i="3" s="1"/>
  <c r="G7" i="1"/>
  <c r="G11" i="3" s="1"/>
  <c r="AT11" i="3" s="1"/>
  <c r="G8" i="1"/>
  <c r="G12" i="3" s="1"/>
  <c r="AT12" i="3" s="1"/>
  <c r="G9" i="1"/>
  <c r="G13" i="3" s="1"/>
  <c r="AT13" i="3" s="1"/>
  <c r="H9" i="1"/>
  <c r="H13" i="3" s="1"/>
  <c r="AU13" i="3" s="1"/>
  <c r="G10" i="1"/>
  <c r="G14" i="3" s="1"/>
  <c r="AT14" i="3" s="1"/>
  <c r="G11" i="1"/>
  <c r="G15" i="3" s="1"/>
  <c r="AT15" i="3" s="1"/>
  <c r="G12" i="1"/>
  <c r="G16" i="3" s="1"/>
  <c r="AT16" i="3" s="1"/>
  <c r="H12" i="1"/>
  <c r="H16" i="3" s="1"/>
  <c r="AU16" i="3" s="1"/>
  <c r="G13" i="1"/>
  <c r="G17" i="3" s="1"/>
  <c r="AT17" i="3" s="1"/>
  <c r="H13" i="1"/>
  <c r="H17" i="3" s="1"/>
  <c r="AU17" i="3" s="1"/>
  <c r="G14" i="1"/>
  <c r="G18" i="3" s="1"/>
  <c r="AT18" i="3" s="1"/>
  <c r="H14" i="1"/>
  <c r="H18" i="3" s="1"/>
  <c r="AU18" i="3" s="1"/>
  <c r="G15" i="1"/>
  <c r="G19" i="3" s="1"/>
  <c r="AT19" i="3" s="1"/>
  <c r="G16" i="1"/>
  <c r="G20" i="3" s="1"/>
  <c r="AT20" i="3" s="1"/>
  <c r="H16" i="1"/>
  <c r="H20" i="3" s="1"/>
  <c r="AU20" i="3" s="1"/>
  <c r="G17" i="1"/>
  <c r="G21" i="3" s="1"/>
  <c r="AT21" i="3" s="1"/>
  <c r="H17" i="1"/>
  <c r="H21" i="3" s="1"/>
  <c r="AU21" i="3" s="1"/>
  <c r="G18" i="1"/>
  <c r="G22" i="3" s="1"/>
  <c r="AT22" i="3" s="1"/>
  <c r="H18" i="1"/>
  <c r="H22" i="3" s="1"/>
  <c r="AU22" i="3" s="1"/>
  <c r="G19" i="1"/>
  <c r="G23" i="3" s="1"/>
  <c r="AT23" i="3" s="1"/>
  <c r="G20" i="1"/>
  <c r="G24" i="3" s="1"/>
  <c r="AT24" i="3" s="1"/>
  <c r="H20" i="1"/>
  <c r="H24" i="3" s="1"/>
  <c r="AU24" i="3" s="1"/>
  <c r="G21" i="1"/>
  <c r="G25" i="3" s="1"/>
  <c r="AT25" i="3" s="1"/>
  <c r="H21" i="1"/>
  <c r="H25" i="3" s="1"/>
  <c r="AU25" i="3" s="1"/>
  <c r="G22" i="1"/>
  <c r="G26" i="3" s="1"/>
  <c r="AT26" i="3" s="1"/>
  <c r="G23" i="1"/>
  <c r="G27" i="3" s="1"/>
  <c r="AT27" i="3" s="1"/>
  <c r="G24" i="1"/>
  <c r="G28" i="3" s="1"/>
  <c r="AT28" i="3" s="1"/>
  <c r="G25" i="1"/>
  <c r="G29" i="3" s="1"/>
  <c r="AT29" i="3" s="1"/>
  <c r="H25" i="1"/>
  <c r="H29" i="3" s="1"/>
  <c r="AU29" i="3" s="1"/>
  <c r="G26" i="1"/>
  <c r="G30" i="3" s="1"/>
  <c r="AT30" i="3" s="1"/>
  <c r="G27" i="1"/>
  <c r="G31" i="3" s="1"/>
  <c r="AT31" i="3" s="1"/>
  <c r="G28" i="1"/>
  <c r="G32" i="3" s="1"/>
  <c r="AT32" i="3" s="1"/>
  <c r="H28" i="1"/>
  <c r="H32" i="3" s="1"/>
  <c r="AU32" i="3" s="1"/>
  <c r="G29" i="1"/>
  <c r="G33" i="3" s="1"/>
  <c r="AT33" i="3" s="1"/>
  <c r="H29" i="1"/>
  <c r="H33" i="3" s="1"/>
  <c r="AU33" i="3" s="1"/>
  <c r="G30" i="1"/>
  <c r="G34" i="3" s="1"/>
  <c r="AT34" i="3" s="1"/>
  <c r="G31" i="1"/>
  <c r="G35" i="3" s="1"/>
  <c r="AT35" i="3" s="1"/>
  <c r="G32" i="1"/>
  <c r="G36" i="3" s="1"/>
  <c r="AT36" i="3" s="1"/>
  <c r="H32" i="1"/>
  <c r="H36" i="3" s="1"/>
  <c r="AU36" i="3" s="1"/>
  <c r="G33" i="1"/>
  <c r="G37" i="3" s="1"/>
  <c r="AT37" i="3" s="1"/>
  <c r="H33" i="1"/>
  <c r="H37" i="3" s="1"/>
  <c r="AU37" i="3" s="1"/>
  <c r="G34" i="1"/>
  <c r="G38" i="3" s="1"/>
  <c r="AT38" i="3" s="1"/>
  <c r="G35" i="1"/>
  <c r="G39" i="3" s="1"/>
  <c r="AT39" i="3" s="1"/>
  <c r="G36" i="1"/>
  <c r="G40" i="3" s="1"/>
  <c r="AT40" i="3" s="1"/>
  <c r="H36" i="1"/>
  <c r="H40" i="3" s="1"/>
  <c r="AU40" i="3" s="1"/>
  <c r="G37" i="1"/>
  <c r="G41" i="3" s="1"/>
  <c r="AT41" i="3" s="1"/>
  <c r="H37" i="1"/>
  <c r="H41" i="3" s="1"/>
  <c r="AU41" i="3" s="1"/>
  <c r="G38" i="1"/>
  <c r="G42" i="3" s="1"/>
  <c r="AT42" i="3" s="1"/>
  <c r="G39" i="1"/>
  <c r="G43" i="3" s="1"/>
  <c r="AT43" i="3" s="1"/>
  <c r="G40" i="1"/>
  <c r="G44" i="3" s="1"/>
  <c r="AT44" i="3" s="1"/>
  <c r="G41" i="1"/>
  <c r="G45" i="3" s="1"/>
  <c r="AT45" i="3" s="1"/>
  <c r="H41" i="1"/>
  <c r="H45" i="3" s="1"/>
  <c r="AU45" i="3" s="1"/>
  <c r="G42" i="1"/>
  <c r="G46" i="3" s="1"/>
  <c r="AT46" i="3" s="1"/>
  <c r="G43" i="1"/>
  <c r="G47" i="3" s="1"/>
  <c r="AT47" i="3" s="1"/>
  <c r="G44" i="1"/>
  <c r="G48" i="3" s="1"/>
  <c r="AT48" i="3" s="1"/>
  <c r="H44" i="1"/>
  <c r="H48" i="3" s="1"/>
  <c r="AU48" i="3" s="1"/>
  <c r="G45" i="1"/>
  <c r="G49" i="3" s="1"/>
  <c r="AT49" i="3" s="1"/>
  <c r="H45" i="1"/>
  <c r="H49" i="3" s="1"/>
  <c r="AU49" i="3" s="1"/>
  <c r="G46" i="1"/>
  <c r="G50" i="3" s="1"/>
  <c r="AT50" i="3" s="1"/>
  <c r="H46" i="1"/>
  <c r="H50" i="3" s="1"/>
  <c r="AU50" i="3" s="1"/>
  <c r="G47" i="1"/>
  <c r="G51" i="3" s="1"/>
  <c r="AT51" i="3" s="1"/>
  <c r="G48" i="1"/>
  <c r="G52" i="3" s="1"/>
  <c r="AT52" i="3" s="1"/>
  <c r="H48" i="1"/>
  <c r="H52" i="3" s="1"/>
  <c r="AU52" i="3" s="1"/>
  <c r="G49" i="1"/>
  <c r="G53" i="3" s="1"/>
  <c r="AT53" i="3" s="1"/>
  <c r="H49" i="1"/>
  <c r="H53" i="3" s="1"/>
  <c r="AU53" i="3" s="1"/>
  <c r="G50" i="1"/>
  <c r="G54" i="3" s="1"/>
  <c r="AT54" i="3" s="1"/>
  <c r="H50" i="1"/>
  <c r="H54" i="3" s="1"/>
  <c r="AU54" i="3" s="1"/>
  <c r="G51" i="1"/>
  <c r="G55" i="3" s="1"/>
  <c r="AT55" i="3" s="1"/>
  <c r="G52" i="1"/>
  <c r="G56" i="3" s="1"/>
  <c r="AT56" i="3" s="1"/>
  <c r="H52" i="1"/>
  <c r="H56" i="3" s="1"/>
  <c r="AU56" i="3" s="1"/>
  <c r="G53" i="1"/>
  <c r="G57" i="3" s="1"/>
  <c r="AT57" i="3" s="1"/>
  <c r="H53" i="1"/>
  <c r="H57" i="3" s="1"/>
  <c r="AU57" i="3" s="1"/>
  <c r="G54" i="1"/>
  <c r="G58" i="3" s="1"/>
  <c r="AT58" i="3" s="1"/>
  <c r="G55" i="1"/>
  <c r="G59" i="3" s="1"/>
  <c r="AT59" i="3" s="1"/>
  <c r="G56" i="1"/>
  <c r="G60" i="3" s="1"/>
  <c r="AT60" i="3" s="1"/>
  <c r="G57" i="1"/>
  <c r="G61" i="3" s="1"/>
  <c r="AT61" i="3" s="1"/>
  <c r="H57" i="1"/>
  <c r="H61" i="3" s="1"/>
  <c r="AU61" i="3" s="1"/>
  <c r="G58" i="1"/>
  <c r="G62" i="3" s="1"/>
  <c r="AT62" i="3" s="1"/>
  <c r="G59" i="1"/>
  <c r="G63" i="3" s="1"/>
  <c r="AT63" i="3" s="1"/>
  <c r="G60" i="1"/>
  <c r="G64" i="3" s="1"/>
  <c r="AT64" i="3" s="1"/>
  <c r="H60" i="1"/>
  <c r="H64" i="3" s="1"/>
  <c r="AU64" i="3" s="1"/>
  <c r="G61" i="1"/>
  <c r="G65" i="3" s="1"/>
  <c r="AT65" i="3" s="1"/>
  <c r="H61" i="1"/>
  <c r="H65" i="3" s="1"/>
  <c r="AU65" i="3" s="1"/>
  <c r="G62" i="1"/>
  <c r="G66" i="3" s="1"/>
  <c r="AT66" i="3" s="1"/>
  <c r="G63" i="1"/>
  <c r="G67" i="3" s="1"/>
  <c r="AT67" i="3" s="1"/>
  <c r="G64" i="1"/>
  <c r="G68" i="3" s="1"/>
  <c r="AT68" i="3" s="1"/>
  <c r="H64" i="1"/>
  <c r="H68" i="3" s="1"/>
  <c r="AU68" i="3" s="1"/>
  <c r="G65" i="1"/>
  <c r="G69" i="3" s="1"/>
  <c r="AT69" i="3" s="1"/>
  <c r="H65" i="1"/>
  <c r="H69" i="3" s="1"/>
  <c r="AU69" i="3" s="1"/>
  <c r="G66" i="1"/>
  <c r="G70" i="3" s="1"/>
  <c r="AT70" i="3" s="1"/>
  <c r="G67" i="1"/>
  <c r="G71" i="3" s="1"/>
  <c r="AT71" i="3" s="1"/>
  <c r="G68" i="1"/>
  <c r="G72" i="3" s="1"/>
  <c r="AT72" i="3" s="1"/>
  <c r="H68" i="1"/>
  <c r="H72" i="3" s="1"/>
  <c r="AU72" i="3" s="1"/>
  <c r="G69" i="1"/>
  <c r="G73" i="3" s="1"/>
  <c r="AT73" i="3" s="1"/>
  <c r="H69" i="1"/>
  <c r="H73" i="3" s="1"/>
  <c r="AU73" i="3" s="1"/>
  <c r="G70" i="1"/>
  <c r="G74" i="3" s="1"/>
  <c r="AT74" i="3" s="1"/>
  <c r="G71" i="1"/>
  <c r="G75" i="3" s="1"/>
  <c r="AT75" i="3" s="1"/>
  <c r="G72" i="1"/>
  <c r="G76" i="3" s="1"/>
  <c r="AT76" i="3" s="1"/>
  <c r="G73" i="1"/>
  <c r="G77" i="3" s="1"/>
  <c r="AT77" i="3" s="1"/>
  <c r="H73" i="1"/>
  <c r="H77" i="3" s="1"/>
  <c r="AU77" i="3" s="1"/>
  <c r="G74" i="1"/>
  <c r="G78" i="3" s="1"/>
  <c r="AT78" i="3" s="1"/>
  <c r="G75" i="1"/>
  <c r="G79" i="3" s="1"/>
  <c r="AT79" i="3" s="1"/>
  <c r="G76" i="1"/>
  <c r="G80" i="3" s="1"/>
  <c r="AT80" i="3" s="1"/>
  <c r="H76" i="1"/>
  <c r="H80" i="3" s="1"/>
  <c r="AU80" i="3" s="1"/>
  <c r="G77" i="1"/>
  <c r="G81" i="3" s="1"/>
  <c r="AT81" i="3" s="1"/>
  <c r="H77" i="1"/>
  <c r="H81" i="3" s="1"/>
  <c r="AU81" i="3" s="1"/>
  <c r="G78" i="1"/>
  <c r="G82" i="3" s="1"/>
  <c r="AT82" i="3" s="1"/>
  <c r="H78" i="1"/>
  <c r="H82" i="3" s="1"/>
  <c r="AU82" i="3" s="1"/>
  <c r="G79" i="1"/>
  <c r="G83" i="3" s="1"/>
  <c r="AT83" i="3" s="1"/>
  <c r="G80" i="1"/>
  <c r="G84" i="3" s="1"/>
  <c r="AT84" i="3" s="1"/>
  <c r="H80" i="1"/>
  <c r="H84" i="3" s="1"/>
  <c r="AU84" i="3" s="1"/>
  <c r="G81" i="1"/>
  <c r="G85" i="3" s="1"/>
  <c r="AT85" i="3" s="1"/>
  <c r="H81" i="1"/>
  <c r="H85" i="3" s="1"/>
  <c r="AU85" i="3" s="1"/>
  <c r="G82" i="1"/>
  <c r="G86" i="3" s="1"/>
  <c r="AT86" i="3" s="1"/>
  <c r="H82" i="1"/>
  <c r="H86" i="3" s="1"/>
  <c r="AU86" i="3" s="1"/>
  <c r="G83" i="1"/>
  <c r="G87" i="3" s="1"/>
  <c r="AT87" i="3" s="1"/>
  <c r="G84" i="1"/>
  <c r="G88" i="3" s="1"/>
  <c r="AT88" i="3" s="1"/>
  <c r="H84" i="1"/>
  <c r="H88" i="3" s="1"/>
  <c r="AU88" i="3" s="1"/>
  <c r="G85" i="1"/>
  <c r="G89" i="3" s="1"/>
  <c r="AT89" i="3" s="1"/>
  <c r="H85" i="1"/>
  <c r="H89" i="3" s="1"/>
  <c r="AU89" i="3" s="1"/>
  <c r="G86" i="1"/>
  <c r="G90" i="3" s="1"/>
  <c r="AT90" i="3" s="1"/>
  <c r="G87" i="1"/>
  <c r="G91" i="3" s="1"/>
  <c r="AT91" i="3" s="1"/>
  <c r="G88" i="1"/>
  <c r="G92" i="3" s="1"/>
  <c r="AT92" i="3" s="1"/>
  <c r="G89" i="1"/>
  <c r="G93" i="3" s="1"/>
  <c r="AT93" i="3" s="1"/>
  <c r="H89" i="1"/>
  <c r="H93" i="3" s="1"/>
  <c r="AU93" i="3" s="1"/>
  <c r="G90" i="1"/>
  <c r="G94" i="3" s="1"/>
  <c r="AT94" i="3" s="1"/>
  <c r="G91" i="1"/>
  <c r="G95" i="3" s="1"/>
  <c r="AT95" i="3" s="1"/>
  <c r="G92" i="1"/>
  <c r="G96" i="3" s="1"/>
  <c r="AT96" i="3" s="1"/>
  <c r="H92" i="1"/>
  <c r="H96" i="3" s="1"/>
  <c r="AU96" i="3" s="1"/>
  <c r="G93" i="1"/>
  <c r="G97" i="3" s="1"/>
  <c r="AT97" i="3" s="1"/>
  <c r="H93" i="1"/>
  <c r="H97" i="3" s="1"/>
  <c r="AU97" i="3" s="1"/>
  <c r="G94" i="1"/>
  <c r="G98" i="3" s="1"/>
  <c r="AT98" i="3" s="1"/>
  <c r="G95" i="1"/>
  <c r="G99" i="3" s="1"/>
  <c r="AT99" i="3" s="1"/>
  <c r="G96" i="1"/>
  <c r="G100" i="3" s="1"/>
  <c r="AT100" i="3" s="1"/>
  <c r="H96" i="1"/>
  <c r="H100" i="3" s="1"/>
  <c r="AU100" i="3" s="1"/>
  <c r="G97" i="1"/>
  <c r="G101" i="3" s="1"/>
  <c r="AT101" i="3" s="1"/>
  <c r="H97" i="1"/>
  <c r="H101" i="3" s="1"/>
  <c r="AU101" i="3" s="1"/>
  <c r="G98" i="1"/>
  <c r="G102" i="3" s="1"/>
  <c r="AT102" i="3" s="1"/>
  <c r="G99" i="1"/>
  <c r="G103" i="3" s="1"/>
  <c r="AT103" i="3" s="1"/>
  <c r="G100" i="1"/>
  <c r="G104" i="3" s="1"/>
  <c r="AT104" i="3" s="1"/>
  <c r="H100" i="1"/>
  <c r="H104" i="3" s="1"/>
  <c r="AU104" i="3" s="1"/>
  <c r="G101" i="1"/>
  <c r="G105" i="3" s="1"/>
  <c r="AT105" i="3" s="1"/>
  <c r="H101" i="1"/>
  <c r="H105" i="3" s="1"/>
  <c r="AU105" i="3" s="1"/>
  <c r="G102" i="1"/>
  <c r="G106" i="3" s="1"/>
  <c r="AT106" i="3" s="1"/>
  <c r="G103" i="1"/>
  <c r="G107" i="3" s="1"/>
  <c r="AT107" i="3" s="1"/>
  <c r="G104" i="1"/>
  <c r="G108" i="3" s="1"/>
  <c r="AT108" i="3" s="1"/>
  <c r="G105" i="1"/>
  <c r="G109" i="3" s="1"/>
  <c r="AT109" i="3" s="1"/>
  <c r="H105" i="1"/>
  <c r="H109" i="3" s="1"/>
  <c r="AU109" i="3" s="1"/>
  <c r="G106" i="1"/>
  <c r="G110" i="3" s="1"/>
  <c r="AT110" i="3" s="1"/>
  <c r="G107" i="1"/>
  <c r="G111" i="3" s="1"/>
  <c r="AT111" i="3" s="1"/>
  <c r="G108" i="1"/>
  <c r="G112" i="3" s="1"/>
  <c r="AT112" i="3" s="1"/>
  <c r="H108" i="1"/>
  <c r="H112" i="3" s="1"/>
  <c r="AU112" i="3" s="1"/>
  <c r="G109" i="1"/>
  <c r="G113" i="3" s="1"/>
  <c r="AT113" i="3" s="1"/>
  <c r="H109" i="1"/>
  <c r="H113" i="3" s="1"/>
  <c r="AU113" i="3" s="1"/>
  <c r="G110" i="1"/>
  <c r="G114" i="3" s="1"/>
  <c r="AT114" i="3" s="1"/>
  <c r="H110" i="1"/>
  <c r="H114" i="3" s="1"/>
  <c r="AU114" i="3" s="1"/>
  <c r="G111" i="1"/>
  <c r="G115" i="3" s="1"/>
  <c r="AT115" i="3" s="1"/>
  <c r="G112" i="1"/>
  <c r="G116" i="3" s="1"/>
  <c r="AT116" i="3" s="1"/>
  <c r="H112" i="1"/>
  <c r="H116" i="3" s="1"/>
  <c r="AU116" i="3" s="1"/>
  <c r="G113" i="1"/>
  <c r="G117" i="3" s="1"/>
  <c r="AT117" i="3" s="1"/>
  <c r="H113" i="1"/>
  <c r="H117" i="3" s="1"/>
  <c r="AU117" i="3" s="1"/>
  <c r="G114" i="1"/>
  <c r="G118" i="3" s="1"/>
  <c r="AT118" i="3" s="1"/>
  <c r="H114" i="1"/>
  <c r="H118" i="3" s="1"/>
  <c r="AU118" i="3" s="1"/>
  <c r="G115" i="1"/>
  <c r="G119" i="3" s="1"/>
  <c r="AT119" i="3" s="1"/>
  <c r="G116" i="1"/>
  <c r="G120" i="3" s="1"/>
  <c r="AT120" i="3" s="1"/>
  <c r="H116" i="1"/>
  <c r="H120" i="3" s="1"/>
  <c r="AU120" i="3" s="1"/>
  <c r="G117" i="1"/>
  <c r="G121" i="3" s="1"/>
  <c r="AT121" i="3" s="1"/>
  <c r="H117" i="1"/>
  <c r="H121" i="3" s="1"/>
  <c r="AU121" i="3" s="1"/>
  <c r="G118" i="1"/>
  <c r="G122" i="3" s="1"/>
  <c r="AT122" i="3" s="1"/>
  <c r="G119" i="1"/>
  <c r="G123" i="3" s="1"/>
  <c r="AT123" i="3" s="1"/>
  <c r="G120" i="1"/>
  <c r="G124" i="3" s="1"/>
  <c r="AT124" i="3" s="1"/>
  <c r="G121" i="1"/>
  <c r="G125" i="3" s="1"/>
  <c r="AT125" i="3" s="1"/>
  <c r="H121" i="1"/>
  <c r="H125" i="3" s="1"/>
  <c r="AU125" i="3" s="1"/>
  <c r="G122" i="1"/>
  <c r="G126" i="3" s="1"/>
  <c r="AT126" i="3" s="1"/>
  <c r="G123" i="1"/>
  <c r="G127" i="3" s="1"/>
  <c r="AT127" i="3" s="1"/>
  <c r="G124" i="1"/>
  <c r="G128" i="3" s="1"/>
  <c r="AT128" i="3" s="1"/>
  <c r="H124" i="1"/>
  <c r="H128" i="3" s="1"/>
  <c r="AU128" i="3" s="1"/>
  <c r="G125" i="1"/>
  <c r="G129" i="3" s="1"/>
  <c r="AT129" i="3" s="1"/>
  <c r="H125" i="1"/>
  <c r="H129" i="3" s="1"/>
  <c r="AU129" i="3" s="1"/>
  <c r="G126" i="1"/>
  <c r="G130" i="3" s="1"/>
  <c r="AT130" i="3" s="1"/>
  <c r="G127" i="1"/>
  <c r="G131" i="3" s="1"/>
  <c r="AT131" i="3" s="1"/>
  <c r="G128" i="1"/>
  <c r="G132" i="3" s="1"/>
  <c r="AT132" i="3" s="1"/>
  <c r="H128" i="1"/>
  <c r="H132" i="3" s="1"/>
  <c r="AU132" i="3" s="1"/>
  <c r="G129" i="1"/>
  <c r="G133" i="3" s="1"/>
  <c r="AT133" i="3" s="1"/>
  <c r="H129" i="1"/>
  <c r="H133" i="3" s="1"/>
  <c r="AU133" i="3" s="1"/>
  <c r="G130" i="1"/>
  <c r="G134" i="3" s="1"/>
  <c r="AT134" i="3" s="1"/>
  <c r="G131" i="1"/>
  <c r="G135" i="3" s="1"/>
  <c r="AT135" i="3" s="1"/>
  <c r="G132" i="1"/>
  <c r="G136" i="3" s="1"/>
  <c r="AT136" i="3" s="1"/>
  <c r="H132" i="1"/>
  <c r="H136" i="3" s="1"/>
  <c r="AU136" i="3" s="1"/>
  <c r="G133" i="1"/>
  <c r="G137" i="3" s="1"/>
  <c r="AT137" i="3" s="1"/>
  <c r="H133" i="1"/>
  <c r="H137" i="3" s="1"/>
  <c r="AU137" i="3" s="1"/>
  <c r="G134" i="1"/>
  <c r="G138" i="3" s="1"/>
  <c r="AT138" i="3" s="1"/>
  <c r="G135" i="1"/>
  <c r="G139" i="3" s="1"/>
  <c r="AT139" i="3" s="1"/>
  <c r="G136" i="1"/>
  <c r="G140" i="3" s="1"/>
  <c r="AT140" i="3" s="1"/>
  <c r="G137" i="1"/>
  <c r="G141" i="3" s="1"/>
  <c r="AT141" i="3" s="1"/>
  <c r="H137" i="1"/>
  <c r="H141" i="3" s="1"/>
  <c r="AU141" i="3" s="1"/>
  <c r="G138" i="1"/>
  <c r="G142" i="3" s="1"/>
  <c r="AT142" i="3" s="1"/>
  <c r="G139" i="1"/>
  <c r="G143" i="3" s="1"/>
  <c r="AT143" i="3" s="1"/>
  <c r="G140" i="1"/>
  <c r="G144" i="3" s="1"/>
  <c r="AT144" i="3" s="1"/>
  <c r="H140" i="1"/>
  <c r="H144" i="3" s="1"/>
  <c r="AU144" i="3" s="1"/>
  <c r="G141" i="1"/>
  <c r="G145" i="3" s="1"/>
  <c r="AT145" i="3" s="1"/>
  <c r="H141" i="1"/>
  <c r="H145" i="3" s="1"/>
  <c r="AU145" i="3" s="1"/>
  <c r="G142" i="1"/>
  <c r="G146" i="3" s="1"/>
  <c r="AT146" i="3" s="1"/>
  <c r="H142" i="1"/>
  <c r="H146" i="3" s="1"/>
  <c r="AU146" i="3" s="1"/>
  <c r="G143" i="1"/>
  <c r="G147" i="3" s="1"/>
  <c r="AT147" i="3" s="1"/>
  <c r="G144" i="1"/>
  <c r="G148" i="3" s="1"/>
  <c r="AT148" i="3" s="1"/>
  <c r="H144" i="1"/>
  <c r="H148" i="3" s="1"/>
  <c r="AU148" i="3" s="1"/>
  <c r="G145" i="1"/>
  <c r="G149" i="3" s="1"/>
  <c r="AT149" i="3" s="1"/>
  <c r="H145" i="1"/>
  <c r="H149" i="3" s="1"/>
  <c r="AU149" i="3" s="1"/>
  <c r="G146" i="1"/>
  <c r="G150" i="3" s="1"/>
  <c r="AT150" i="3" s="1"/>
  <c r="H146" i="1"/>
  <c r="H150" i="3" s="1"/>
  <c r="AU150" i="3" s="1"/>
  <c r="G147" i="1"/>
  <c r="G151" i="3" s="1"/>
  <c r="AT151" i="3" s="1"/>
  <c r="G148" i="1"/>
  <c r="G152" i="3" s="1"/>
  <c r="AT152" i="3" s="1"/>
  <c r="H148" i="1"/>
  <c r="H152" i="3" s="1"/>
  <c r="AU152" i="3" s="1"/>
  <c r="G149" i="1"/>
  <c r="G153" i="3" s="1"/>
  <c r="AT153" i="3" s="1"/>
  <c r="H149" i="1"/>
  <c r="H153" i="3" s="1"/>
  <c r="AU153" i="3" s="1"/>
  <c r="G150" i="1"/>
  <c r="G154" i="3" s="1"/>
  <c r="AT154" i="3" s="1"/>
  <c r="G151" i="1"/>
  <c r="G155" i="3" s="1"/>
  <c r="AT155" i="3" s="1"/>
  <c r="G152" i="1"/>
  <c r="G156" i="3" s="1"/>
  <c r="AT156" i="3" s="1"/>
  <c r="G153" i="1"/>
  <c r="G157" i="3" s="1"/>
  <c r="AT157" i="3" s="1"/>
  <c r="H153" i="1"/>
  <c r="H157" i="3" s="1"/>
  <c r="AU157" i="3" s="1"/>
  <c r="G154" i="1"/>
  <c r="G158" i="3" s="1"/>
  <c r="AT158" i="3" s="1"/>
  <c r="G155" i="1"/>
  <c r="G159" i="3" s="1"/>
  <c r="AT159" i="3" s="1"/>
  <c r="G156" i="1"/>
  <c r="G160" i="3" s="1"/>
  <c r="AT160" i="3" s="1"/>
  <c r="H156" i="1"/>
  <c r="H160" i="3" s="1"/>
  <c r="AU160" i="3" s="1"/>
  <c r="G157" i="1"/>
  <c r="G161" i="3" s="1"/>
  <c r="AT161" i="3" s="1"/>
  <c r="H157" i="1"/>
  <c r="H161" i="3" s="1"/>
  <c r="AU161" i="3" s="1"/>
  <c r="G158" i="1"/>
  <c r="G162" i="3" s="1"/>
  <c r="AT162" i="3" s="1"/>
  <c r="G159" i="1"/>
  <c r="G163" i="3" s="1"/>
  <c r="G160" i="1"/>
  <c r="G164" i="3" s="1"/>
  <c r="AT164" i="3" s="1"/>
  <c r="H160" i="1"/>
  <c r="H164" i="3" s="1"/>
  <c r="AU164" i="3" s="1"/>
  <c r="G161" i="1"/>
  <c r="G165" i="3" s="1"/>
  <c r="AT165" i="3" s="1"/>
  <c r="H161" i="1"/>
  <c r="H165" i="3" s="1"/>
  <c r="AU165" i="3" s="1"/>
  <c r="G162" i="1"/>
  <c r="G166" i="3" s="1"/>
  <c r="AT166" i="3" s="1"/>
  <c r="G163" i="1"/>
  <c r="G167" i="3" s="1"/>
  <c r="G164" i="1"/>
  <c r="G168" i="3" s="1"/>
  <c r="AT168" i="3" s="1"/>
  <c r="H164" i="1"/>
  <c r="H168" i="3" s="1"/>
  <c r="AU168" i="3" s="1"/>
  <c r="G165" i="1"/>
  <c r="G169" i="3" s="1"/>
  <c r="H165" i="1"/>
  <c r="H169" i="3" s="1"/>
  <c r="AU169" i="3" s="1"/>
  <c r="G166" i="1"/>
  <c r="G170" i="3" s="1"/>
  <c r="AT170" i="3" s="1"/>
  <c r="G167" i="1"/>
  <c r="G171" i="3" s="1"/>
  <c r="G168" i="1"/>
  <c r="G172" i="3" s="1"/>
  <c r="AT172" i="3" s="1"/>
  <c r="G169" i="1"/>
  <c r="G173" i="3" s="1"/>
  <c r="H169" i="1"/>
  <c r="H173" i="3" s="1"/>
  <c r="AU173" i="3" s="1"/>
  <c r="G170" i="1"/>
  <c r="G174" i="3" s="1"/>
  <c r="AT174" i="3" s="1"/>
  <c r="G171" i="1"/>
  <c r="G175" i="3" s="1"/>
  <c r="G172" i="1"/>
  <c r="G176" i="3" s="1"/>
  <c r="AT176" i="3" s="1"/>
  <c r="H172" i="1"/>
  <c r="H176" i="3" s="1"/>
  <c r="AU176" i="3" s="1"/>
  <c r="G173" i="1"/>
  <c r="G177" i="3" s="1"/>
  <c r="H173" i="1"/>
  <c r="H177" i="3" s="1"/>
  <c r="AU177" i="3" s="1"/>
  <c r="G174" i="1"/>
  <c r="G178" i="3" s="1"/>
  <c r="AT178" i="3" s="1"/>
  <c r="H174" i="1"/>
  <c r="H178" i="3" s="1"/>
  <c r="AU178" i="3" s="1"/>
  <c r="G175" i="1"/>
  <c r="G179" i="3" s="1"/>
  <c r="G176" i="1"/>
  <c r="G180" i="3" s="1"/>
  <c r="AT180" i="3" s="1"/>
  <c r="H176" i="1"/>
  <c r="H180" i="3" s="1"/>
  <c r="AU180" i="3" s="1"/>
  <c r="G177" i="1"/>
  <c r="G181" i="3" s="1"/>
  <c r="H177" i="1"/>
  <c r="H181" i="3" s="1"/>
  <c r="AU181" i="3" s="1"/>
  <c r="G178" i="1"/>
  <c r="G182" i="3" s="1"/>
  <c r="AT182" i="3" s="1"/>
  <c r="H178" i="1"/>
  <c r="H182" i="3" s="1"/>
  <c r="AU182" i="3" s="1"/>
  <c r="G179" i="1"/>
  <c r="G183" i="3" s="1"/>
  <c r="G180" i="1"/>
  <c r="G184" i="3" s="1"/>
  <c r="AT184" i="3" s="1"/>
  <c r="H180" i="1"/>
  <c r="H184" i="3" s="1"/>
  <c r="AU184" i="3" s="1"/>
  <c r="G181" i="1"/>
  <c r="G185" i="3" s="1"/>
  <c r="H181" i="1"/>
  <c r="H185" i="3" s="1"/>
  <c r="AU185" i="3" s="1"/>
  <c r="G182" i="1"/>
  <c r="G186" i="3" s="1"/>
  <c r="AT186" i="3" s="1"/>
  <c r="G183" i="1"/>
  <c r="G187" i="3" s="1"/>
  <c r="G184" i="1"/>
  <c r="G188" i="3" s="1"/>
  <c r="AT188" i="3" s="1"/>
  <c r="G185" i="1"/>
  <c r="G189" i="3" s="1"/>
  <c r="H185" i="1"/>
  <c r="H189" i="3" s="1"/>
  <c r="AU189" i="3" s="1"/>
  <c r="G186" i="1"/>
  <c r="G190" i="3" s="1"/>
  <c r="AT190" i="3" s="1"/>
  <c r="G187" i="1"/>
  <c r="G191" i="3" s="1"/>
  <c r="G188" i="1"/>
  <c r="G192" i="3" s="1"/>
  <c r="AT192" i="3" s="1"/>
  <c r="H188" i="1"/>
  <c r="H192" i="3" s="1"/>
  <c r="AU192" i="3" s="1"/>
  <c r="G189" i="1"/>
  <c r="G193" i="3" s="1"/>
  <c r="H189" i="1"/>
  <c r="H193" i="3" s="1"/>
  <c r="AU193" i="3" s="1"/>
  <c r="G190" i="1"/>
  <c r="G194" i="3" s="1"/>
  <c r="AT194" i="3" s="1"/>
  <c r="G191" i="1"/>
  <c r="G195" i="3" s="1"/>
  <c r="G192" i="1"/>
  <c r="G196" i="3" s="1"/>
  <c r="AT196" i="3" s="1"/>
  <c r="H192" i="1"/>
  <c r="H196" i="3" s="1"/>
  <c r="AU196" i="3" s="1"/>
  <c r="G193" i="1"/>
  <c r="G197" i="3" s="1"/>
  <c r="H193" i="1"/>
  <c r="H197" i="3" s="1"/>
  <c r="AU197" i="3" s="1"/>
  <c r="G194" i="1"/>
  <c r="G198" i="3" s="1"/>
  <c r="AT198" i="3" s="1"/>
  <c r="G195" i="1"/>
  <c r="G199" i="3" s="1"/>
  <c r="G196" i="1"/>
  <c r="G200" i="3" s="1"/>
  <c r="AT200" i="3" s="1"/>
  <c r="H196" i="1"/>
  <c r="H200" i="3" s="1"/>
  <c r="AU200" i="3" s="1"/>
  <c r="G197" i="1"/>
  <c r="G201" i="3" s="1"/>
  <c r="H197" i="1"/>
  <c r="H201" i="3" s="1"/>
  <c r="AU201" i="3" s="1"/>
  <c r="G198" i="1"/>
  <c r="G202" i="3" s="1"/>
  <c r="AT202" i="3" s="1"/>
  <c r="G199" i="1"/>
  <c r="G203" i="3" s="1"/>
  <c r="G200" i="1"/>
  <c r="G204" i="3" s="1"/>
  <c r="AT204" i="3" s="1"/>
  <c r="G201" i="1"/>
  <c r="G205" i="3" s="1"/>
  <c r="H201" i="1"/>
  <c r="H205" i="3" s="1"/>
  <c r="AU205" i="3" s="1"/>
  <c r="G202" i="1"/>
  <c r="G206" i="3" s="1"/>
  <c r="AT206" i="3" s="1"/>
  <c r="G203" i="1"/>
  <c r="G207" i="3" s="1"/>
  <c r="G204" i="1"/>
  <c r="G208" i="3" s="1"/>
  <c r="AT208" i="3" s="1"/>
  <c r="H204" i="1"/>
  <c r="H208" i="3" s="1"/>
  <c r="AU208" i="3" s="1"/>
  <c r="G205" i="1"/>
  <c r="G209" i="3" s="1"/>
  <c r="H205" i="1"/>
  <c r="H209" i="3" s="1"/>
  <c r="AU209" i="3" s="1"/>
  <c r="G206" i="1"/>
  <c r="G210" i="3" s="1"/>
  <c r="AT210" i="3" s="1"/>
  <c r="H206" i="1"/>
  <c r="H210" i="3" s="1"/>
  <c r="AU210" i="3" s="1"/>
  <c r="G207" i="1"/>
  <c r="G211" i="3" s="1"/>
  <c r="G208" i="1"/>
  <c r="G212" i="3" s="1"/>
  <c r="AT212" i="3" s="1"/>
  <c r="H208" i="1"/>
  <c r="H212" i="3" s="1"/>
  <c r="AU212" i="3" s="1"/>
  <c r="G209" i="1"/>
  <c r="G213" i="3" s="1"/>
  <c r="H209" i="1"/>
  <c r="H213" i="3" s="1"/>
  <c r="AU213" i="3" s="1"/>
  <c r="G210" i="1"/>
  <c r="G214" i="3" s="1"/>
  <c r="AT214" i="3" s="1"/>
  <c r="H210" i="1"/>
  <c r="H214" i="3" s="1"/>
  <c r="AU214" i="3" s="1"/>
  <c r="G211" i="1"/>
  <c r="G215" i="3" s="1"/>
  <c r="G212" i="1"/>
  <c r="G216" i="3" s="1"/>
  <c r="AT216" i="3" s="1"/>
  <c r="H212" i="1"/>
  <c r="H216" i="3" s="1"/>
  <c r="AU216" i="3" s="1"/>
  <c r="G213" i="1"/>
  <c r="G217" i="3" s="1"/>
  <c r="H213" i="1"/>
  <c r="H217" i="3" s="1"/>
  <c r="AU217" i="3" s="1"/>
  <c r="G214" i="1"/>
  <c r="G218" i="3" s="1"/>
  <c r="AT218" i="3" s="1"/>
  <c r="G215" i="1"/>
  <c r="G219" i="3" s="1"/>
  <c r="G216" i="1"/>
  <c r="G220" i="3" s="1"/>
  <c r="AT220" i="3" s="1"/>
  <c r="G217" i="1"/>
  <c r="G221" i="3" s="1"/>
  <c r="H217" i="1"/>
  <c r="H221" i="3" s="1"/>
  <c r="AU221" i="3" s="1"/>
  <c r="G218" i="1"/>
  <c r="G222" i="3" s="1"/>
  <c r="AT222" i="3" s="1"/>
  <c r="G219" i="1"/>
  <c r="G223" i="3" s="1"/>
  <c r="G220" i="1"/>
  <c r="G224" i="3" s="1"/>
  <c r="AT224" i="3" s="1"/>
  <c r="H220" i="1"/>
  <c r="H224" i="3" s="1"/>
  <c r="AU224" i="3" s="1"/>
  <c r="G221" i="1"/>
  <c r="G225" i="3" s="1"/>
  <c r="H221" i="1"/>
  <c r="H225" i="3" s="1"/>
  <c r="AU225" i="3" s="1"/>
  <c r="G222" i="1"/>
  <c r="G226" i="3" s="1"/>
  <c r="AT226" i="3" s="1"/>
  <c r="G223" i="1"/>
  <c r="G227" i="3" s="1"/>
  <c r="G224" i="1"/>
  <c r="G228" i="3" s="1"/>
  <c r="AT228" i="3" s="1"/>
  <c r="H224" i="1"/>
  <c r="H228" i="3" s="1"/>
  <c r="AU228" i="3" s="1"/>
  <c r="G225" i="1"/>
  <c r="G229" i="3" s="1"/>
  <c r="H225" i="1"/>
  <c r="H229" i="3" s="1"/>
  <c r="AU229" i="3" s="1"/>
  <c r="G226" i="1"/>
  <c r="G230" i="3" s="1"/>
  <c r="AT230" i="3" s="1"/>
  <c r="G227" i="1"/>
  <c r="G231" i="3" s="1"/>
  <c r="G228" i="1"/>
  <c r="G232" i="3" s="1"/>
  <c r="AT232" i="3" s="1"/>
  <c r="H228" i="1"/>
  <c r="H232" i="3" s="1"/>
  <c r="AU232" i="3" s="1"/>
  <c r="G229" i="1"/>
  <c r="G233" i="3" s="1"/>
  <c r="H229" i="1"/>
  <c r="H233" i="3" s="1"/>
  <c r="AU233" i="3" s="1"/>
  <c r="G230" i="1"/>
  <c r="G234" i="3" s="1"/>
  <c r="AT234" i="3" s="1"/>
  <c r="G231" i="1"/>
  <c r="G235" i="3" s="1"/>
  <c r="G232" i="1"/>
  <c r="G236" i="3" s="1"/>
  <c r="AT236" i="3" s="1"/>
  <c r="G233" i="1"/>
  <c r="G237" i="3" s="1"/>
  <c r="H233" i="1"/>
  <c r="H237" i="3" s="1"/>
  <c r="AU237" i="3" s="1"/>
  <c r="G234" i="1"/>
  <c r="G238" i="3" s="1"/>
  <c r="AT238" i="3" s="1"/>
  <c r="G235" i="1"/>
  <c r="G239" i="3" s="1"/>
  <c r="G236" i="1"/>
  <c r="G240" i="3" s="1"/>
  <c r="AT240" i="3" s="1"/>
  <c r="H236" i="1"/>
  <c r="H240" i="3" s="1"/>
  <c r="AU240" i="3" s="1"/>
  <c r="G237" i="1"/>
  <c r="G241" i="3" s="1"/>
  <c r="H237" i="1"/>
  <c r="H241" i="3" s="1"/>
  <c r="AU241" i="3" s="1"/>
  <c r="G238" i="1"/>
  <c r="G242" i="3" s="1"/>
  <c r="AT242" i="3" s="1"/>
  <c r="H238" i="1"/>
  <c r="H242" i="3" s="1"/>
  <c r="AU242" i="3" s="1"/>
  <c r="G239" i="1"/>
  <c r="G243" i="3" s="1"/>
  <c r="G240" i="1"/>
  <c r="G244" i="3" s="1"/>
  <c r="AT244" i="3" s="1"/>
  <c r="H240" i="1"/>
  <c r="H244" i="3" s="1"/>
  <c r="AU244" i="3" s="1"/>
  <c r="G241" i="1"/>
  <c r="G245" i="3" s="1"/>
  <c r="H241" i="1"/>
  <c r="H245" i="3" s="1"/>
  <c r="AU245" i="3" s="1"/>
  <c r="G242" i="1"/>
  <c r="G246" i="3" s="1"/>
  <c r="AT246" i="3" s="1"/>
  <c r="H242" i="1"/>
  <c r="H246" i="3" s="1"/>
  <c r="AU246" i="3" s="1"/>
  <c r="G243" i="1"/>
  <c r="G247" i="3" s="1"/>
  <c r="G244" i="1"/>
  <c r="G248" i="3" s="1"/>
  <c r="AT248" i="3" s="1"/>
  <c r="H244" i="1"/>
  <c r="H248" i="3" s="1"/>
  <c r="AU248" i="3" s="1"/>
  <c r="G245" i="1"/>
  <c r="G249" i="3" s="1"/>
  <c r="H245" i="1"/>
  <c r="H249" i="3" s="1"/>
  <c r="AU249" i="3" s="1"/>
  <c r="G246" i="1"/>
  <c r="G250" i="3" s="1"/>
  <c r="AT250" i="3" s="1"/>
  <c r="G247" i="1"/>
  <c r="G251" i="3" s="1"/>
  <c r="G248" i="1"/>
  <c r="G252" i="3" s="1"/>
  <c r="AT252" i="3" s="1"/>
  <c r="G249" i="1"/>
  <c r="G253" i="3" s="1"/>
  <c r="H249" i="1"/>
  <c r="H253" i="3" s="1"/>
  <c r="AU253" i="3" s="1"/>
  <c r="G250" i="1"/>
  <c r="G254" i="3" s="1"/>
  <c r="AT254" i="3" s="1"/>
  <c r="G251" i="1"/>
  <c r="G255" i="3" s="1"/>
  <c r="G252" i="1"/>
  <c r="G256" i="3" s="1"/>
  <c r="AT256" i="3" s="1"/>
  <c r="H252" i="1"/>
  <c r="H256" i="3" s="1"/>
  <c r="AU256" i="3" s="1"/>
  <c r="G253" i="1"/>
  <c r="G257" i="3" s="1"/>
  <c r="H253" i="1"/>
  <c r="H257" i="3" s="1"/>
  <c r="AU257" i="3" s="1"/>
  <c r="G254" i="1"/>
  <c r="G258" i="3" s="1"/>
  <c r="AT258" i="3" s="1"/>
  <c r="G255" i="1"/>
  <c r="G259" i="3" s="1"/>
  <c r="G256" i="1"/>
  <c r="G260" i="3" s="1"/>
  <c r="AT260" i="3" s="1"/>
  <c r="H256" i="1"/>
  <c r="H260" i="3" s="1"/>
  <c r="AU260" i="3" s="1"/>
  <c r="G257" i="1"/>
  <c r="G261" i="3" s="1"/>
  <c r="H257" i="1"/>
  <c r="H261" i="3" s="1"/>
  <c r="AU261" i="3" s="1"/>
  <c r="G258" i="1"/>
  <c r="G262" i="3" s="1"/>
  <c r="AT262" i="3" s="1"/>
  <c r="G259" i="1"/>
  <c r="G263" i="3" s="1"/>
  <c r="G260" i="1"/>
  <c r="G264" i="3" s="1"/>
  <c r="AT264" i="3" s="1"/>
  <c r="H260" i="1"/>
  <c r="H264" i="3" s="1"/>
  <c r="AU264" i="3" s="1"/>
  <c r="G261" i="1"/>
  <c r="G265" i="3" s="1"/>
  <c r="H261" i="1"/>
  <c r="H265" i="3" s="1"/>
  <c r="AU265" i="3" s="1"/>
  <c r="G262" i="1"/>
  <c r="G266" i="3" s="1"/>
  <c r="AT266" i="3" s="1"/>
  <c r="G263" i="1"/>
  <c r="G267" i="3" s="1"/>
  <c r="G264" i="1"/>
  <c r="G268" i="3" s="1"/>
  <c r="AT268" i="3" s="1"/>
  <c r="G265" i="1"/>
  <c r="G269" i="3" s="1"/>
  <c r="H265" i="1"/>
  <c r="H269" i="3" s="1"/>
  <c r="AU269" i="3" s="1"/>
  <c r="G266" i="1"/>
  <c r="G270" i="3" s="1"/>
  <c r="AT270" i="3" s="1"/>
  <c r="G267" i="1"/>
  <c r="G271" i="3" s="1"/>
  <c r="G268" i="1"/>
  <c r="G272" i="3" s="1"/>
  <c r="AT272" i="3" s="1"/>
  <c r="H268" i="1"/>
  <c r="H272" i="3" s="1"/>
  <c r="AU272" i="3" s="1"/>
  <c r="G269" i="1"/>
  <c r="G273" i="3" s="1"/>
  <c r="H269" i="1"/>
  <c r="H273" i="3" s="1"/>
  <c r="AU273" i="3" s="1"/>
  <c r="G270" i="1"/>
  <c r="G274" i="3" s="1"/>
  <c r="AT274" i="3" s="1"/>
  <c r="H270" i="1"/>
  <c r="H274" i="3" s="1"/>
  <c r="AU274" i="3" s="1"/>
  <c r="G271" i="1"/>
  <c r="G275" i="3" s="1"/>
  <c r="G272" i="1"/>
  <c r="G276" i="3" s="1"/>
  <c r="AT276" i="3" s="1"/>
  <c r="H272" i="1"/>
  <c r="H276" i="3" s="1"/>
  <c r="AU276" i="3" s="1"/>
  <c r="G273" i="1"/>
  <c r="G277" i="3" s="1"/>
  <c r="H273" i="1"/>
  <c r="H277" i="3" s="1"/>
  <c r="AU277" i="3" s="1"/>
  <c r="G274" i="1"/>
  <c r="G278" i="3" s="1"/>
  <c r="AT278" i="3" s="1"/>
  <c r="H274" i="1"/>
  <c r="H278" i="3" s="1"/>
  <c r="AU278" i="3" s="1"/>
  <c r="G275" i="1"/>
  <c r="G279" i="3" s="1"/>
  <c r="G276" i="1"/>
  <c r="G280" i="3" s="1"/>
  <c r="AT280" i="3" s="1"/>
  <c r="H276" i="1"/>
  <c r="H280" i="3" s="1"/>
  <c r="AU280" i="3" s="1"/>
  <c r="G277" i="1"/>
  <c r="G281" i="3" s="1"/>
  <c r="H277" i="1"/>
  <c r="H281" i="3" s="1"/>
  <c r="AU281" i="3" s="1"/>
  <c r="G278" i="1"/>
  <c r="G282" i="3" s="1"/>
  <c r="AT282" i="3" s="1"/>
  <c r="G279" i="1"/>
  <c r="G283" i="3" s="1"/>
  <c r="G280" i="1"/>
  <c r="G284" i="3" s="1"/>
  <c r="AT284" i="3" s="1"/>
  <c r="G281" i="1"/>
  <c r="G285" i="3" s="1"/>
  <c r="H281" i="1"/>
  <c r="H285" i="3" s="1"/>
  <c r="AU285" i="3" s="1"/>
  <c r="G282" i="1"/>
  <c r="G286" i="3" s="1"/>
  <c r="AT286" i="3" s="1"/>
  <c r="G283" i="1"/>
  <c r="G287" i="3" s="1"/>
  <c r="G284" i="1"/>
  <c r="G288" i="3" s="1"/>
  <c r="H284" i="1"/>
  <c r="H288" i="3" s="1"/>
  <c r="AU288" i="3" s="1"/>
  <c r="G285" i="1"/>
  <c r="G289" i="3" s="1"/>
  <c r="H285" i="1"/>
  <c r="H289" i="3" s="1"/>
  <c r="AU289" i="3" s="1"/>
  <c r="G286" i="1"/>
  <c r="G290" i="3" s="1"/>
  <c r="G287" i="1"/>
  <c r="G291" i="3" s="1"/>
  <c r="G288" i="1"/>
  <c r="G292" i="3" s="1"/>
  <c r="H288" i="1"/>
  <c r="H292" i="3" s="1"/>
  <c r="AU292" i="3" s="1"/>
  <c r="G289" i="1"/>
  <c r="G293" i="3" s="1"/>
  <c r="H289" i="1"/>
  <c r="H293" i="3" s="1"/>
  <c r="AU293" i="3" s="1"/>
  <c r="G290" i="1"/>
  <c r="G294" i="3" s="1"/>
  <c r="G291" i="1"/>
  <c r="G295" i="3" s="1"/>
  <c r="G292" i="1"/>
  <c r="G296" i="3" s="1"/>
  <c r="H292" i="1"/>
  <c r="H296" i="3" s="1"/>
  <c r="AU296" i="3" s="1"/>
  <c r="G293" i="1"/>
  <c r="G297" i="3" s="1"/>
  <c r="H293" i="1"/>
  <c r="H297" i="3" s="1"/>
  <c r="AU297" i="3" s="1"/>
  <c r="G294" i="1"/>
  <c r="G298" i="3" s="1"/>
  <c r="G295" i="1"/>
  <c r="G299" i="3" s="1"/>
  <c r="G296" i="1"/>
  <c r="G300" i="3" s="1"/>
  <c r="G297" i="1"/>
  <c r="G301" i="3" s="1"/>
  <c r="H297" i="1"/>
  <c r="H301" i="3" s="1"/>
  <c r="AU301" i="3" s="1"/>
  <c r="G298" i="1"/>
  <c r="G302" i="3" s="1"/>
  <c r="G299" i="1"/>
  <c r="G303" i="3" s="1"/>
  <c r="G300" i="1"/>
  <c r="G304" i="3" s="1"/>
  <c r="H300" i="1"/>
  <c r="H304" i="3" s="1"/>
  <c r="AU304" i="3" s="1"/>
  <c r="G301" i="1"/>
  <c r="G305" i="3" s="1"/>
  <c r="H301" i="1"/>
  <c r="H305" i="3" s="1"/>
  <c r="AU305" i="3" s="1"/>
  <c r="G302" i="1"/>
  <c r="G306" i="3" s="1"/>
  <c r="H302" i="1"/>
  <c r="H306" i="3" s="1"/>
  <c r="AU306" i="3" s="1"/>
  <c r="G303" i="1"/>
  <c r="G307" i="3" s="1"/>
  <c r="G304" i="1"/>
  <c r="G308" i="3" s="1"/>
  <c r="H304" i="1"/>
  <c r="H308" i="3" s="1"/>
  <c r="AU308" i="3" s="1"/>
  <c r="G305" i="1"/>
  <c r="G309" i="3" s="1"/>
  <c r="H305" i="1"/>
  <c r="H309" i="3" s="1"/>
  <c r="AU309" i="3" s="1"/>
  <c r="G306" i="1"/>
  <c r="G310" i="3" s="1"/>
  <c r="H306" i="1"/>
  <c r="H310" i="3" s="1"/>
  <c r="AU310" i="3" s="1"/>
  <c r="G307" i="1"/>
  <c r="G311" i="3" s="1"/>
  <c r="G308" i="1"/>
  <c r="G312" i="3" s="1"/>
  <c r="H308" i="1"/>
  <c r="H312" i="3" s="1"/>
  <c r="AU312" i="3" s="1"/>
  <c r="G309" i="1"/>
  <c r="G313" i="3" s="1"/>
  <c r="H309" i="1"/>
  <c r="H313" i="3" s="1"/>
  <c r="AU313" i="3" s="1"/>
  <c r="G310" i="1"/>
  <c r="G314" i="3" s="1"/>
  <c r="G311" i="1"/>
  <c r="G315" i="3" s="1"/>
  <c r="G312" i="1"/>
  <c r="G316" i="3" s="1"/>
  <c r="G313" i="1"/>
  <c r="G317" i="3" s="1"/>
  <c r="H313" i="1"/>
  <c r="H317" i="3" s="1"/>
  <c r="AU317" i="3" s="1"/>
  <c r="G314" i="1"/>
  <c r="G318" i="3" s="1"/>
  <c r="G315" i="1"/>
  <c r="G319" i="3" s="1"/>
  <c r="G316" i="1"/>
  <c r="G320" i="3" s="1"/>
  <c r="H316" i="1"/>
  <c r="H320" i="3" s="1"/>
  <c r="AU320" i="3" s="1"/>
  <c r="G317" i="1"/>
  <c r="G321" i="3" s="1"/>
  <c r="H317" i="1"/>
  <c r="H321" i="3" s="1"/>
  <c r="AU321" i="3" s="1"/>
  <c r="G318" i="1"/>
  <c r="G322" i="3" s="1"/>
  <c r="G319" i="1"/>
  <c r="G323" i="3" s="1"/>
  <c r="G320" i="1"/>
  <c r="G324" i="3" s="1"/>
  <c r="H320" i="1"/>
  <c r="H324" i="3" s="1"/>
  <c r="AU324" i="3" s="1"/>
  <c r="G321" i="1"/>
  <c r="G325" i="3" s="1"/>
  <c r="H321" i="1"/>
  <c r="H325" i="3" s="1"/>
  <c r="AU325" i="3" s="1"/>
  <c r="G322" i="1"/>
  <c r="G326" i="3" s="1"/>
  <c r="G323" i="1"/>
  <c r="G327" i="3" s="1"/>
  <c r="G324" i="1"/>
  <c r="G328" i="3" s="1"/>
  <c r="H324" i="1"/>
  <c r="H328" i="3" s="1"/>
  <c r="AU328" i="3" s="1"/>
  <c r="G325" i="1"/>
  <c r="G329" i="3" s="1"/>
  <c r="H325" i="1"/>
  <c r="H329" i="3" s="1"/>
  <c r="AU329" i="3" s="1"/>
  <c r="G326" i="1"/>
  <c r="G330" i="3" s="1"/>
  <c r="G327" i="1"/>
  <c r="G331" i="3" s="1"/>
  <c r="G328" i="1"/>
  <c r="G332" i="3" s="1"/>
  <c r="G329" i="1"/>
  <c r="G333" i="3" s="1"/>
  <c r="H329" i="1"/>
  <c r="H333" i="3" s="1"/>
  <c r="AU333" i="3" s="1"/>
  <c r="G330" i="1"/>
  <c r="G334" i="3" s="1"/>
  <c r="G331" i="1"/>
  <c r="G335" i="3" s="1"/>
  <c r="G332" i="1"/>
  <c r="G336" i="3" s="1"/>
  <c r="H332" i="1"/>
  <c r="H336" i="3" s="1"/>
  <c r="AU336" i="3" s="1"/>
  <c r="G333" i="1"/>
  <c r="G337" i="3" s="1"/>
  <c r="H333" i="1"/>
  <c r="H337" i="3" s="1"/>
  <c r="AU337" i="3" s="1"/>
  <c r="G334" i="1"/>
  <c r="G338" i="3" s="1"/>
  <c r="H334" i="1"/>
  <c r="H338" i="3" s="1"/>
  <c r="AU338" i="3" s="1"/>
  <c r="G335" i="1"/>
  <c r="G339" i="3" s="1"/>
  <c r="G336" i="1"/>
  <c r="G340" i="3" s="1"/>
  <c r="H336" i="1"/>
  <c r="H340" i="3" s="1"/>
  <c r="AU340" i="3" s="1"/>
  <c r="G337" i="1"/>
  <c r="G341" i="3" s="1"/>
  <c r="H337" i="1"/>
  <c r="H341" i="3" s="1"/>
  <c r="AU341" i="3" s="1"/>
  <c r="G338" i="1"/>
  <c r="G342" i="3" s="1"/>
  <c r="H338" i="1"/>
  <c r="H342" i="3" s="1"/>
  <c r="AU342" i="3" s="1"/>
  <c r="G339" i="1"/>
  <c r="G343" i="3" s="1"/>
  <c r="G340" i="1"/>
  <c r="G344" i="3" s="1"/>
  <c r="H340" i="1"/>
  <c r="H344" i="3" s="1"/>
  <c r="AU344" i="3" s="1"/>
  <c r="G341" i="1"/>
  <c r="G345" i="3" s="1"/>
  <c r="H341" i="1"/>
  <c r="H345" i="3" s="1"/>
  <c r="AU345" i="3" s="1"/>
  <c r="G342" i="1"/>
  <c r="G346" i="3" s="1"/>
  <c r="G343" i="1"/>
  <c r="G347" i="3" s="1"/>
  <c r="H343" i="1"/>
  <c r="H347" i="3" s="1"/>
  <c r="AU347" i="3" s="1"/>
  <c r="G344" i="1"/>
  <c r="G348" i="3" s="1"/>
  <c r="G345" i="1"/>
  <c r="G349" i="3" s="1"/>
  <c r="H345" i="1"/>
  <c r="H349" i="3" s="1"/>
  <c r="AU349" i="3" s="1"/>
  <c r="G346" i="1"/>
  <c r="G350" i="3" s="1"/>
  <c r="G347" i="1"/>
  <c r="G351" i="3" s="1"/>
  <c r="H347" i="1"/>
  <c r="H351" i="3" s="1"/>
  <c r="AU351" i="3" s="1"/>
  <c r="G348" i="1"/>
  <c r="G352" i="3" s="1"/>
  <c r="H348" i="1"/>
  <c r="H352" i="3" s="1"/>
  <c r="AU352" i="3" s="1"/>
  <c r="G349" i="1"/>
  <c r="G353" i="3" s="1"/>
  <c r="H349" i="1"/>
  <c r="H353" i="3" s="1"/>
  <c r="AU353" i="3" s="1"/>
  <c r="G350" i="1"/>
  <c r="G354" i="3" s="1"/>
  <c r="G351" i="1"/>
  <c r="G355" i="3" s="1"/>
  <c r="H351" i="1"/>
  <c r="H355" i="3" s="1"/>
  <c r="AU355" i="3" s="1"/>
  <c r="G352" i="1"/>
  <c r="G356" i="3" s="1"/>
  <c r="G353" i="1"/>
  <c r="G357" i="3" s="1"/>
  <c r="H353" i="1"/>
  <c r="H357" i="3" s="1"/>
  <c r="AU357" i="3" s="1"/>
  <c r="G354" i="1"/>
  <c r="G358" i="3" s="1"/>
  <c r="G355" i="1"/>
  <c r="G359" i="3" s="1"/>
  <c r="H355" i="1"/>
  <c r="H359" i="3" s="1"/>
  <c r="AU359" i="3" s="1"/>
  <c r="G356" i="1"/>
  <c r="G360" i="3" s="1"/>
  <c r="H356" i="1"/>
  <c r="H360" i="3" s="1"/>
  <c r="AU360" i="3" s="1"/>
  <c r="G357" i="1"/>
  <c r="G361" i="3" s="1"/>
  <c r="H357" i="1"/>
  <c r="H361" i="3" s="1"/>
  <c r="AU361" i="3" s="1"/>
  <c r="G358" i="1"/>
  <c r="G362" i="3" s="1"/>
  <c r="G359" i="1"/>
  <c r="G363" i="3" s="1"/>
  <c r="H359" i="1"/>
  <c r="H363" i="3" s="1"/>
  <c r="AU363" i="3" s="1"/>
  <c r="G360" i="1"/>
  <c r="G364" i="3" s="1"/>
  <c r="G361" i="1"/>
  <c r="G365" i="3" s="1"/>
  <c r="H361" i="1"/>
  <c r="H365" i="3" s="1"/>
  <c r="AU365" i="3" s="1"/>
  <c r="G362" i="1"/>
  <c r="G366" i="3" s="1"/>
  <c r="G363" i="1"/>
  <c r="G367" i="3" s="1"/>
  <c r="H363" i="1"/>
  <c r="H367" i="3" s="1"/>
  <c r="AU367" i="3" s="1"/>
  <c r="G364" i="1"/>
  <c r="G368" i="3" s="1"/>
  <c r="H364" i="1"/>
  <c r="H368" i="3" s="1"/>
  <c r="AU368" i="3" s="1"/>
  <c r="G365" i="1"/>
  <c r="G369" i="3" s="1"/>
  <c r="H365" i="1"/>
  <c r="H369" i="3" s="1"/>
  <c r="AU369" i="3" s="1"/>
  <c r="G366" i="1"/>
  <c r="G370" i="3" s="1"/>
  <c r="G367" i="1"/>
  <c r="G371" i="3" s="1"/>
  <c r="H367" i="1"/>
  <c r="H371" i="3" s="1"/>
  <c r="AU371" i="3" s="1"/>
  <c r="G368" i="1"/>
  <c r="G372" i="3" s="1"/>
  <c r="G369" i="1"/>
  <c r="G373" i="3" s="1"/>
  <c r="H369" i="1"/>
  <c r="H373" i="3" s="1"/>
  <c r="AU373" i="3" s="1"/>
  <c r="G370" i="1"/>
  <c r="G374" i="3" s="1"/>
  <c r="G371" i="1"/>
  <c r="G375" i="3" s="1"/>
  <c r="H371" i="1"/>
  <c r="H375" i="3" s="1"/>
  <c r="AU375" i="3" s="1"/>
  <c r="G372" i="1"/>
  <c r="G376" i="3" s="1"/>
  <c r="H372" i="1"/>
  <c r="H376" i="3" s="1"/>
  <c r="AU376" i="3" s="1"/>
  <c r="G373" i="1"/>
  <c r="G377" i="3" s="1"/>
  <c r="H373" i="1"/>
  <c r="H377" i="3" s="1"/>
  <c r="AU377" i="3" s="1"/>
  <c r="G374" i="1"/>
  <c r="G378" i="3" s="1"/>
  <c r="G375" i="1"/>
  <c r="G379" i="3" s="1"/>
  <c r="H375" i="1"/>
  <c r="H379" i="3" s="1"/>
  <c r="AU379" i="3" s="1"/>
  <c r="G376" i="1"/>
  <c r="G380" i="3" s="1"/>
  <c r="G377" i="1"/>
  <c r="G381" i="3" s="1"/>
  <c r="H377" i="1"/>
  <c r="H381" i="3" s="1"/>
  <c r="AU381" i="3" s="1"/>
  <c r="G378" i="1"/>
  <c r="G382" i="3" s="1"/>
  <c r="G379" i="1"/>
  <c r="G383" i="3" s="1"/>
  <c r="H379" i="1"/>
  <c r="H383" i="3" s="1"/>
  <c r="AU383" i="3" s="1"/>
  <c r="G380" i="1"/>
  <c r="G384" i="3" s="1"/>
  <c r="H380" i="1"/>
  <c r="H384" i="3" s="1"/>
  <c r="AU384" i="3" s="1"/>
  <c r="G381" i="1"/>
  <c r="G385" i="3" s="1"/>
  <c r="H381" i="1"/>
  <c r="H385" i="3" s="1"/>
  <c r="AU385" i="3" s="1"/>
  <c r="G382" i="1"/>
  <c r="G386" i="3" s="1"/>
  <c r="G383" i="1"/>
  <c r="G387" i="3" s="1"/>
  <c r="H383" i="1"/>
  <c r="H387" i="3" s="1"/>
  <c r="AU387" i="3" s="1"/>
  <c r="G384" i="1"/>
  <c r="G388" i="3" s="1"/>
  <c r="G385" i="1"/>
  <c r="G389" i="3" s="1"/>
  <c r="H385" i="1"/>
  <c r="H389" i="3" s="1"/>
  <c r="AU389" i="3" s="1"/>
  <c r="G386" i="1"/>
  <c r="G390" i="3" s="1"/>
  <c r="G387" i="1"/>
  <c r="G391" i="3" s="1"/>
  <c r="H387" i="1"/>
  <c r="H391" i="3" s="1"/>
  <c r="AU391" i="3" s="1"/>
  <c r="G388" i="1"/>
  <c r="G392" i="3" s="1"/>
  <c r="H388" i="1"/>
  <c r="H392" i="3" s="1"/>
  <c r="AU392" i="3" s="1"/>
  <c r="G389" i="1"/>
  <c r="G393" i="3" s="1"/>
  <c r="H389" i="1"/>
  <c r="H393" i="3" s="1"/>
  <c r="AU393" i="3" s="1"/>
  <c r="G390" i="1"/>
  <c r="G394" i="3" s="1"/>
  <c r="G391" i="1"/>
  <c r="G395" i="3" s="1"/>
  <c r="H391" i="1"/>
  <c r="H395" i="3" s="1"/>
  <c r="AU395" i="3" s="1"/>
  <c r="G392" i="1"/>
  <c r="G396" i="3" s="1"/>
  <c r="G393" i="1"/>
  <c r="G397" i="3" s="1"/>
  <c r="H393" i="1"/>
  <c r="H397" i="3" s="1"/>
  <c r="AU397" i="3" s="1"/>
  <c r="G394" i="1"/>
  <c r="G398" i="3" s="1"/>
  <c r="G395" i="1"/>
  <c r="G399" i="3" s="1"/>
  <c r="H395" i="1"/>
  <c r="H399" i="3" s="1"/>
  <c r="AU399" i="3" s="1"/>
  <c r="G396" i="1"/>
  <c r="G400" i="3" s="1"/>
  <c r="H396" i="1"/>
  <c r="H400" i="3" s="1"/>
  <c r="AU400" i="3" s="1"/>
  <c r="G397" i="1"/>
  <c r="G401" i="3" s="1"/>
  <c r="H397" i="1"/>
  <c r="H401" i="3" s="1"/>
  <c r="AU401" i="3" s="1"/>
  <c r="G398" i="1"/>
  <c r="G402" i="3" s="1"/>
  <c r="G399" i="1"/>
  <c r="G403" i="3" s="1"/>
  <c r="H399" i="1"/>
  <c r="H403" i="3" s="1"/>
  <c r="AU403" i="3" s="1"/>
  <c r="G400" i="1"/>
  <c r="G404" i="3" s="1"/>
  <c r="G401" i="1"/>
  <c r="G405" i="3" s="1"/>
  <c r="H401" i="1"/>
  <c r="H405" i="3" s="1"/>
  <c r="AU405" i="3" s="1"/>
  <c r="G402" i="1"/>
  <c r="G406" i="3" s="1"/>
  <c r="G403" i="1"/>
  <c r="G407" i="3" s="1"/>
  <c r="H403" i="1"/>
  <c r="H407" i="3" s="1"/>
  <c r="AU407" i="3" s="1"/>
  <c r="G404" i="1"/>
  <c r="G408" i="3" s="1"/>
  <c r="H404" i="1"/>
  <c r="H408" i="3" s="1"/>
  <c r="AU408" i="3" s="1"/>
  <c r="G405" i="1"/>
  <c r="G409" i="3" s="1"/>
  <c r="H405" i="1"/>
  <c r="H409" i="3" s="1"/>
  <c r="AU409" i="3" s="1"/>
  <c r="G406" i="1"/>
  <c r="G410" i="3" s="1"/>
  <c r="G407" i="1"/>
  <c r="G411" i="3" s="1"/>
  <c r="H407" i="1"/>
  <c r="H411" i="3" s="1"/>
  <c r="AU411" i="3" s="1"/>
  <c r="G408" i="1"/>
  <c r="G412" i="3" s="1"/>
  <c r="G409" i="1"/>
  <c r="G413" i="3" s="1"/>
  <c r="H409" i="1"/>
  <c r="H413" i="3" s="1"/>
  <c r="AU413" i="3" s="1"/>
  <c r="G410" i="1"/>
  <c r="G414" i="3" s="1"/>
  <c r="G411" i="1"/>
  <c r="G415" i="3" s="1"/>
  <c r="H411" i="1"/>
  <c r="H415" i="3" s="1"/>
  <c r="AU415" i="3" s="1"/>
  <c r="G412" i="1"/>
  <c r="G416" i="3" s="1"/>
  <c r="H412" i="1"/>
  <c r="H416" i="3" s="1"/>
  <c r="AU416" i="3" s="1"/>
  <c r="G413" i="1"/>
  <c r="G417" i="3" s="1"/>
  <c r="H413" i="1"/>
  <c r="H417" i="3" s="1"/>
  <c r="AU417" i="3" s="1"/>
  <c r="G414" i="1"/>
  <c r="G418" i="3" s="1"/>
  <c r="G415" i="1"/>
  <c r="G419" i="3" s="1"/>
  <c r="H415" i="1"/>
  <c r="H419" i="3" s="1"/>
  <c r="AU419" i="3" s="1"/>
  <c r="G416" i="1"/>
  <c r="G420" i="3" s="1"/>
  <c r="G417" i="1"/>
  <c r="G421" i="3" s="1"/>
  <c r="H417" i="1"/>
  <c r="H421" i="3" s="1"/>
  <c r="AU421" i="3" s="1"/>
  <c r="G418" i="1"/>
  <c r="G422" i="3" s="1"/>
  <c r="G419" i="1"/>
  <c r="G423" i="3" s="1"/>
  <c r="H419" i="1"/>
  <c r="H423" i="3" s="1"/>
  <c r="AU423" i="3" s="1"/>
  <c r="G420" i="1"/>
  <c r="G424" i="3" s="1"/>
  <c r="H420" i="1"/>
  <c r="H424" i="3" s="1"/>
  <c r="AU424" i="3" s="1"/>
  <c r="G421" i="1"/>
  <c r="G425" i="3" s="1"/>
  <c r="H421" i="1"/>
  <c r="H425" i="3" s="1"/>
  <c r="AU425" i="3" s="1"/>
  <c r="G422" i="1"/>
  <c r="G426" i="3" s="1"/>
  <c r="G423" i="1"/>
  <c r="G427" i="3" s="1"/>
  <c r="H423" i="1"/>
  <c r="H427" i="3" s="1"/>
  <c r="AU427" i="3" s="1"/>
  <c r="G424" i="1"/>
  <c r="G428" i="3" s="1"/>
  <c r="G425" i="1"/>
  <c r="G429" i="3" s="1"/>
  <c r="H425" i="1"/>
  <c r="H429" i="3" s="1"/>
  <c r="AU429" i="3" s="1"/>
  <c r="G426" i="1"/>
  <c r="G430" i="3" s="1"/>
  <c r="G427" i="1"/>
  <c r="G431" i="3" s="1"/>
  <c r="H427" i="1"/>
  <c r="H431" i="3" s="1"/>
  <c r="AU431" i="3" s="1"/>
  <c r="G428" i="1"/>
  <c r="G432" i="3" s="1"/>
  <c r="H428" i="1"/>
  <c r="H432" i="3" s="1"/>
  <c r="AU432" i="3" s="1"/>
  <c r="G429" i="1"/>
  <c r="G433" i="3" s="1"/>
  <c r="H429" i="1"/>
  <c r="H433" i="3" s="1"/>
  <c r="AU433" i="3" s="1"/>
  <c r="G430" i="1"/>
  <c r="G434" i="3" s="1"/>
  <c r="G431" i="1"/>
  <c r="G435" i="3" s="1"/>
  <c r="H431" i="1"/>
  <c r="H435" i="3" s="1"/>
  <c r="AU435" i="3" s="1"/>
  <c r="G432" i="1"/>
  <c r="G436" i="3" s="1"/>
  <c r="G433" i="1"/>
  <c r="G437" i="3" s="1"/>
  <c r="H433" i="1"/>
  <c r="H437" i="3" s="1"/>
  <c r="AU437" i="3" s="1"/>
  <c r="G434" i="1"/>
  <c r="G438" i="3" s="1"/>
  <c r="G435" i="1"/>
  <c r="G439" i="3" s="1"/>
  <c r="H435" i="1"/>
  <c r="H439" i="3" s="1"/>
  <c r="AU439" i="3" s="1"/>
  <c r="G436" i="1"/>
  <c r="G440" i="3" s="1"/>
  <c r="H436" i="1"/>
  <c r="H440" i="3" s="1"/>
  <c r="AU440" i="3" s="1"/>
  <c r="G437" i="1"/>
  <c r="G441" i="3" s="1"/>
  <c r="H437" i="1"/>
  <c r="H441" i="3" s="1"/>
  <c r="AU441" i="3" s="1"/>
  <c r="G438" i="1"/>
  <c r="G442" i="3" s="1"/>
  <c r="G439" i="1"/>
  <c r="G443" i="3" s="1"/>
  <c r="H439" i="1"/>
  <c r="H443" i="3" s="1"/>
  <c r="AU443" i="3" s="1"/>
  <c r="G440" i="1"/>
  <c r="G444" i="3" s="1"/>
  <c r="G441" i="1"/>
  <c r="G445" i="3" s="1"/>
  <c r="H441" i="1"/>
  <c r="H445" i="3" s="1"/>
  <c r="AU445" i="3" s="1"/>
  <c r="G442" i="1"/>
  <c r="G446" i="3" s="1"/>
  <c r="G443" i="1"/>
  <c r="G447" i="3" s="1"/>
  <c r="H443" i="1"/>
  <c r="H447" i="3" s="1"/>
  <c r="AU447" i="3" s="1"/>
  <c r="G444" i="1"/>
  <c r="G448" i="3" s="1"/>
  <c r="H444" i="1"/>
  <c r="H448" i="3" s="1"/>
  <c r="AU448" i="3" s="1"/>
  <c r="G445" i="1"/>
  <c r="G449" i="3" s="1"/>
  <c r="H445" i="1"/>
  <c r="H449" i="3" s="1"/>
  <c r="AU449" i="3" s="1"/>
  <c r="G446" i="1"/>
  <c r="G450" i="3" s="1"/>
  <c r="G447" i="1"/>
  <c r="G451" i="3" s="1"/>
  <c r="H447" i="1"/>
  <c r="H451" i="3" s="1"/>
  <c r="AU451" i="3" s="1"/>
  <c r="G448" i="1"/>
  <c r="G452" i="3" s="1"/>
  <c r="G449" i="1"/>
  <c r="G453" i="3" s="1"/>
  <c r="H449" i="1"/>
  <c r="H453" i="3" s="1"/>
  <c r="AU453" i="3" s="1"/>
  <c r="G450" i="1"/>
  <c r="G454" i="3" s="1"/>
  <c r="G451" i="1"/>
  <c r="G455" i="3" s="1"/>
  <c r="H451" i="1"/>
  <c r="H455" i="3" s="1"/>
  <c r="AU455" i="3" s="1"/>
  <c r="G452" i="1"/>
  <c r="G456" i="3" s="1"/>
  <c r="H452" i="1"/>
  <c r="H456" i="3" s="1"/>
  <c r="AU456" i="3" s="1"/>
  <c r="G453" i="1"/>
  <c r="G457" i="3" s="1"/>
  <c r="H453" i="1"/>
  <c r="H457" i="3" s="1"/>
  <c r="AU457" i="3" s="1"/>
  <c r="G454" i="1"/>
  <c r="G458" i="3" s="1"/>
  <c r="G455" i="1"/>
  <c r="G459" i="3" s="1"/>
  <c r="H455" i="1"/>
  <c r="H459" i="3" s="1"/>
  <c r="AU459" i="3" s="1"/>
  <c r="G456" i="1"/>
  <c r="G460" i="3" s="1"/>
  <c r="G457" i="1"/>
  <c r="G461" i="3" s="1"/>
  <c r="H457" i="1"/>
  <c r="H461" i="3" s="1"/>
  <c r="AU461" i="3" s="1"/>
  <c r="G458" i="1"/>
  <c r="G462" i="3" s="1"/>
  <c r="G459" i="1"/>
  <c r="G463" i="3" s="1"/>
  <c r="H459" i="1"/>
  <c r="H463" i="3" s="1"/>
  <c r="AU463" i="3" s="1"/>
  <c r="G460" i="1"/>
  <c r="G464" i="3" s="1"/>
  <c r="H460" i="1"/>
  <c r="H464" i="3" s="1"/>
  <c r="AU464" i="3" s="1"/>
  <c r="G461" i="1"/>
  <c r="G465" i="3" s="1"/>
  <c r="H461" i="1"/>
  <c r="H465" i="3" s="1"/>
  <c r="AU465" i="3" s="1"/>
  <c r="AT433" i="3" l="1"/>
  <c r="Y433" i="3"/>
  <c r="AT399" i="3"/>
  <c r="Y399" i="3"/>
  <c r="AT369" i="3"/>
  <c r="Y369" i="3"/>
  <c r="AT462" i="3"/>
  <c r="Y462" i="3"/>
  <c r="AT388" i="3"/>
  <c r="Y388" i="3"/>
  <c r="AT344" i="3"/>
  <c r="Y344" i="3"/>
  <c r="AT437" i="3"/>
  <c r="Y437" i="3"/>
  <c r="AT422" i="3"/>
  <c r="Y422" i="3"/>
  <c r="AT402" i="3"/>
  <c r="Y402" i="3"/>
  <c r="AT373" i="3"/>
  <c r="Y373" i="3"/>
  <c r="AT455" i="3"/>
  <c r="Y455" i="3"/>
  <c r="AT445" i="3"/>
  <c r="Y445" i="3"/>
  <c r="AT440" i="3"/>
  <c r="Y440" i="3"/>
  <c r="AT435" i="3"/>
  <c r="Y435" i="3"/>
  <c r="AT430" i="3"/>
  <c r="Y430" i="3"/>
  <c r="AT425" i="3"/>
  <c r="Y425" i="3"/>
  <c r="AT420" i="3"/>
  <c r="Y420" i="3"/>
  <c r="AT410" i="3"/>
  <c r="Y410" i="3"/>
  <c r="AT391" i="3"/>
  <c r="Y391" i="3"/>
  <c r="AT381" i="3"/>
  <c r="Y381" i="3"/>
  <c r="AT376" i="3"/>
  <c r="Y376" i="3"/>
  <c r="AT371" i="3"/>
  <c r="Y371" i="3"/>
  <c r="AT366" i="3"/>
  <c r="Y366" i="3"/>
  <c r="AT361" i="3"/>
  <c r="Y361" i="3"/>
  <c r="AT356" i="3"/>
  <c r="Y356" i="3"/>
  <c r="AT346" i="3"/>
  <c r="Y346" i="3"/>
  <c r="AT337" i="3"/>
  <c r="Y337" i="3"/>
  <c r="AT331" i="3"/>
  <c r="Y331" i="3"/>
  <c r="AT314" i="3"/>
  <c r="Y314" i="3"/>
  <c r="AT305" i="3"/>
  <c r="Y305" i="3"/>
  <c r="AT299" i="3"/>
  <c r="Y299" i="3"/>
  <c r="AT273" i="3"/>
  <c r="Y273" i="3"/>
  <c r="AT267" i="3"/>
  <c r="Y267" i="3"/>
  <c r="AT241" i="3"/>
  <c r="Y241" i="3"/>
  <c r="AT235" i="3"/>
  <c r="Y235" i="3"/>
  <c r="AT209" i="3"/>
  <c r="Y209" i="3"/>
  <c r="AT203" i="3"/>
  <c r="Y203" i="3"/>
  <c r="AT177" i="3"/>
  <c r="Y177" i="3"/>
  <c r="AT171" i="3"/>
  <c r="Y171" i="3"/>
  <c r="Y254" i="3"/>
  <c r="Y17" i="3"/>
  <c r="Y33" i="3"/>
  <c r="Y194" i="3"/>
  <c r="Y252" i="3"/>
  <c r="Y59" i="3"/>
  <c r="Y131" i="3"/>
  <c r="Y93" i="3"/>
  <c r="Y218" i="3"/>
  <c r="Y68" i="3"/>
  <c r="Y84" i="3"/>
  <c r="Y50" i="3"/>
  <c r="Y113" i="3"/>
  <c r="Y157" i="3"/>
  <c r="Y91" i="3"/>
  <c r="Y168" i="3"/>
  <c r="Y161" i="3"/>
  <c r="Y149" i="3"/>
  <c r="Y51" i="3"/>
  <c r="Y182" i="3"/>
  <c r="Y8" i="3"/>
  <c r="Y24" i="3"/>
  <c r="Y228" i="3"/>
  <c r="Y240" i="3"/>
  <c r="Y57" i="3"/>
  <c r="Y110" i="3"/>
  <c r="Y126" i="3"/>
  <c r="Y142" i="3"/>
  <c r="Y158" i="3"/>
  <c r="AT448" i="3"/>
  <c r="Y448" i="3"/>
  <c r="AT418" i="3"/>
  <c r="Y418" i="3"/>
  <c r="AT379" i="3"/>
  <c r="Y379" i="3"/>
  <c r="AT442" i="3"/>
  <c r="Y442" i="3"/>
  <c r="AT454" i="3"/>
  <c r="Y454" i="3"/>
  <c r="AT444" i="3"/>
  <c r="Y444" i="3"/>
  <c r="AT434" i="3"/>
  <c r="Y434" i="3"/>
  <c r="AT415" i="3"/>
  <c r="Y415" i="3"/>
  <c r="AT400" i="3"/>
  <c r="Y400" i="3"/>
  <c r="AT390" i="3"/>
  <c r="Y390" i="3"/>
  <c r="AT351" i="3"/>
  <c r="Y351" i="3"/>
  <c r="AT341" i="3"/>
  <c r="Y341" i="3"/>
  <c r="AT330" i="3"/>
  <c r="Y330" i="3"/>
  <c r="AT320" i="3"/>
  <c r="Y320" i="3"/>
  <c r="AT309" i="3"/>
  <c r="Y309" i="3"/>
  <c r="AT298" i="3"/>
  <c r="Y298" i="3"/>
  <c r="AT229" i="3"/>
  <c r="Y229" i="3"/>
  <c r="AT213" i="3"/>
  <c r="Y213" i="3"/>
  <c r="AT197" i="3"/>
  <c r="Y197" i="3"/>
  <c r="AT181" i="3"/>
  <c r="Y181" i="3"/>
  <c r="Y238" i="3"/>
  <c r="Y19" i="3"/>
  <c r="Y35" i="3"/>
  <c r="Y236" i="3"/>
  <c r="Y99" i="3"/>
  <c r="Y137" i="3"/>
  <c r="Y56" i="3"/>
  <c r="Y202" i="3"/>
  <c r="Y70" i="3"/>
  <c r="Y86" i="3"/>
  <c r="Y48" i="3"/>
  <c r="Y119" i="3"/>
  <c r="Y280" i="3"/>
  <c r="Y164" i="3"/>
  <c r="Y159" i="3"/>
  <c r="Y43" i="3"/>
  <c r="Y166" i="3"/>
  <c r="Y160" i="3"/>
  <c r="Y10" i="3"/>
  <c r="Y26" i="3"/>
  <c r="Y40" i="3"/>
  <c r="Y226" i="3"/>
  <c r="Y212" i="3"/>
  <c r="Y224" i="3"/>
  <c r="Y96" i="3"/>
  <c r="Y112" i="3"/>
  <c r="Y128" i="3"/>
  <c r="Y144" i="3"/>
  <c r="Y39" i="3"/>
  <c r="AT364" i="3"/>
  <c r="Y364" i="3"/>
  <c r="AT457" i="3"/>
  <c r="Y457" i="3"/>
  <c r="AT423" i="3"/>
  <c r="Y423" i="3"/>
  <c r="AT398" i="3"/>
  <c r="Y398" i="3"/>
  <c r="AT378" i="3"/>
  <c r="Y378" i="3"/>
  <c r="AT464" i="3"/>
  <c r="Y464" i="3"/>
  <c r="AT459" i="3"/>
  <c r="Y459" i="3"/>
  <c r="AT449" i="3"/>
  <c r="Y449" i="3"/>
  <c r="AT405" i="3"/>
  <c r="Y405" i="3"/>
  <c r="AT395" i="3"/>
  <c r="Y395" i="3"/>
  <c r="AT385" i="3"/>
  <c r="Y385" i="3"/>
  <c r="AT380" i="3"/>
  <c r="Y380" i="3"/>
  <c r="AT370" i="3"/>
  <c r="Y370" i="3"/>
  <c r="AT325" i="3"/>
  <c r="Y325" i="3"/>
  <c r="AT293" i="3"/>
  <c r="Y293" i="3"/>
  <c r="AT288" i="3"/>
  <c r="Y288" i="3"/>
  <c r="AT277" i="3"/>
  <c r="Y277" i="3"/>
  <c r="AT261" i="3"/>
  <c r="Y261" i="3"/>
  <c r="AT245" i="3"/>
  <c r="Y245" i="3"/>
  <c r="AT458" i="3"/>
  <c r="Y458" i="3"/>
  <c r="AT439" i="3"/>
  <c r="Y439" i="3"/>
  <c r="AT429" i="3"/>
  <c r="Y429" i="3"/>
  <c r="AT424" i="3"/>
  <c r="Y424" i="3"/>
  <c r="AT419" i="3"/>
  <c r="Y419" i="3"/>
  <c r="AT414" i="3"/>
  <c r="Y414" i="3"/>
  <c r="AT409" i="3"/>
  <c r="Y409" i="3"/>
  <c r="AT404" i="3"/>
  <c r="Y404" i="3"/>
  <c r="AT394" i="3"/>
  <c r="Y394" i="3"/>
  <c r="AT375" i="3"/>
  <c r="Y375" i="3"/>
  <c r="AT365" i="3"/>
  <c r="Y365" i="3"/>
  <c r="AT360" i="3"/>
  <c r="Y360" i="3"/>
  <c r="AT355" i="3"/>
  <c r="Y355" i="3"/>
  <c r="AT350" i="3"/>
  <c r="Y350" i="3"/>
  <c r="AT345" i="3"/>
  <c r="Y345" i="3"/>
  <c r="AT336" i="3"/>
  <c r="Y336" i="3"/>
  <c r="AT319" i="3"/>
  <c r="Y319" i="3"/>
  <c r="AT313" i="3"/>
  <c r="Y313" i="3"/>
  <c r="AT304" i="3"/>
  <c r="Y304" i="3"/>
  <c r="AT287" i="3"/>
  <c r="Y287" i="3"/>
  <c r="AT281" i="3"/>
  <c r="Y281" i="3"/>
  <c r="AT255" i="3"/>
  <c r="Y255" i="3"/>
  <c r="AT249" i="3"/>
  <c r="Y249" i="3"/>
  <c r="AT223" i="3"/>
  <c r="Y223" i="3"/>
  <c r="AT217" i="3"/>
  <c r="Y217" i="3"/>
  <c r="AT191" i="3"/>
  <c r="Y191" i="3"/>
  <c r="AT185" i="3"/>
  <c r="Y185" i="3"/>
  <c r="Y222" i="3"/>
  <c r="Y58" i="3"/>
  <c r="Y21" i="3"/>
  <c r="Y37" i="3"/>
  <c r="Y220" i="3"/>
  <c r="Y103" i="3"/>
  <c r="Y143" i="3"/>
  <c r="Y53" i="3"/>
  <c r="Y186" i="3"/>
  <c r="Y72" i="3"/>
  <c r="Y88" i="3"/>
  <c r="Y46" i="3"/>
  <c r="Y125" i="3"/>
  <c r="Y264" i="3"/>
  <c r="Y61" i="3"/>
  <c r="Y41" i="3"/>
  <c r="Y274" i="3"/>
  <c r="Y278" i="3"/>
  <c r="Y12" i="3"/>
  <c r="Y28" i="3"/>
  <c r="Y196" i="3"/>
  <c r="Y208" i="3"/>
  <c r="Y98" i="3"/>
  <c r="Y114" i="3"/>
  <c r="Y130" i="3"/>
  <c r="Y146" i="3"/>
  <c r="Y242" i="3"/>
  <c r="AT463" i="3"/>
  <c r="Y463" i="3"/>
  <c r="AT443" i="3"/>
  <c r="Y443" i="3"/>
  <c r="AT384" i="3"/>
  <c r="Y384" i="3"/>
  <c r="AT374" i="3"/>
  <c r="Y374" i="3"/>
  <c r="AT340" i="3"/>
  <c r="Y340" i="3"/>
  <c r="AT335" i="3"/>
  <c r="Y335" i="3"/>
  <c r="AT329" i="3"/>
  <c r="Y329" i="3"/>
  <c r="AT324" i="3"/>
  <c r="Y324" i="3"/>
  <c r="AT318" i="3"/>
  <c r="Y318" i="3"/>
  <c r="AT308" i="3"/>
  <c r="Y308" i="3"/>
  <c r="AT303" i="3"/>
  <c r="Y303" i="3"/>
  <c r="AT297" i="3"/>
  <c r="Y297" i="3"/>
  <c r="AT292" i="3"/>
  <c r="Y292" i="3"/>
  <c r="AT271" i="3"/>
  <c r="Y271" i="3"/>
  <c r="AT265" i="3"/>
  <c r="Y265" i="3"/>
  <c r="AT239" i="3"/>
  <c r="Y239" i="3"/>
  <c r="AT233" i="3"/>
  <c r="Y233" i="3"/>
  <c r="AT207" i="3"/>
  <c r="Y207" i="3"/>
  <c r="AT201" i="3"/>
  <c r="Y201" i="3"/>
  <c r="AT175" i="3"/>
  <c r="Y175" i="3"/>
  <c r="AT169" i="3"/>
  <c r="Y169" i="3"/>
  <c r="Y206" i="3"/>
  <c r="Y7" i="3"/>
  <c r="Y23" i="3"/>
  <c r="Y69" i="3"/>
  <c r="Y204" i="3"/>
  <c r="Y107" i="3"/>
  <c r="Y145" i="3"/>
  <c r="Y47" i="3"/>
  <c r="Y170" i="3"/>
  <c r="Y165" i="3"/>
  <c r="Y74" i="3"/>
  <c r="Y90" i="3"/>
  <c r="Y44" i="3"/>
  <c r="Y129" i="3"/>
  <c r="Y248" i="3"/>
  <c r="Y105" i="3"/>
  <c r="Y63" i="3"/>
  <c r="Y210" i="3"/>
  <c r="Y262" i="3"/>
  <c r="Y14" i="3"/>
  <c r="Y30" i="3"/>
  <c r="Y83" i="3"/>
  <c r="Y180" i="3"/>
  <c r="Y192" i="3"/>
  <c r="Y100" i="3"/>
  <c r="Y116" i="3"/>
  <c r="Y132" i="3"/>
  <c r="Y148" i="3"/>
  <c r="Y178" i="3"/>
  <c r="AT453" i="3"/>
  <c r="Y453" i="3"/>
  <c r="AT428" i="3"/>
  <c r="Y428" i="3"/>
  <c r="AT389" i="3"/>
  <c r="Y389" i="3"/>
  <c r="AT408" i="3"/>
  <c r="Y408" i="3"/>
  <c r="AT323" i="3"/>
  <c r="Y323" i="3"/>
  <c r="AT312" i="3"/>
  <c r="Y312" i="3"/>
  <c r="AT307" i="3"/>
  <c r="Y307" i="3"/>
  <c r="AT302" i="3"/>
  <c r="Y302" i="3"/>
  <c r="AT291" i="3"/>
  <c r="Y291" i="3"/>
  <c r="AT275" i="3"/>
  <c r="Y275" i="3"/>
  <c r="AT259" i="3"/>
  <c r="Y259" i="3"/>
  <c r="AT243" i="3"/>
  <c r="Y243" i="3"/>
  <c r="AT227" i="3"/>
  <c r="Y227" i="3"/>
  <c r="AT211" i="3"/>
  <c r="Y211" i="3"/>
  <c r="AT195" i="3"/>
  <c r="Y195" i="3"/>
  <c r="AT179" i="3"/>
  <c r="Y179" i="3"/>
  <c r="AT163" i="3"/>
  <c r="Y163" i="3"/>
  <c r="Y190" i="3"/>
  <c r="Y9" i="3"/>
  <c r="Y25" i="3"/>
  <c r="Y77" i="3"/>
  <c r="Y188" i="3"/>
  <c r="Y111" i="3"/>
  <c r="Y153" i="3"/>
  <c r="Y282" i="3"/>
  <c r="Y76" i="3"/>
  <c r="Y92" i="3"/>
  <c r="Y135" i="3"/>
  <c r="Y232" i="3"/>
  <c r="Y115" i="3"/>
  <c r="Y246" i="3"/>
  <c r="Y16" i="3"/>
  <c r="Y32" i="3"/>
  <c r="Y49" i="3"/>
  <c r="Y176" i="3"/>
  <c r="Y102" i="3"/>
  <c r="Y118" i="3"/>
  <c r="Y134" i="3"/>
  <c r="Y150" i="3"/>
  <c r="AT403" i="3"/>
  <c r="Y403" i="3"/>
  <c r="AT339" i="3"/>
  <c r="Y339" i="3"/>
  <c r="AT432" i="3"/>
  <c r="Y432" i="3"/>
  <c r="AT412" i="3"/>
  <c r="Y412" i="3"/>
  <c r="AT383" i="3"/>
  <c r="Y383" i="3"/>
  <c r="AT368" i="3"/>
  <c r="Y368" i="3"/>
  <c r="AT353" i="3"/>
  <c r="Y353" i="3"/>
  <c r="AT343" i="3"/>
  <c r="Y343" i="3"/>
  <c r="AT322" i="3"/>
  <c r="Y322" i="3"/>
  <c r="AT311" i="3"/>
  <c r="Y311" i="3"/>
  <c r="AT290" i="3"/>
  <c r="Y290" i="3"/>
  <c r="AT247" i="3"/>
  <c r="Y247" i="3"/>
  <c r="AT221" i="3"/>
  <c r="Y221" i="3"/>
  <c r="AT215" i="3"/>
  <c r="Y215" i="3"/>
  <c r="AT189" i="3"/>
  <c r="Y189" i="3"/>
  <c r="AT183" i="3"/>
  <c r="Y183" i="3"/>
  <c r="Y174" i="3"/>
  <c r="Y11" i="3"/>
  <c r="Y27" i="3"/>
  <c r="Y89" i="3"/>
  <c r="Y172" i="3"/>
  <c r="Y117" i="3"/>
  <c r="Y155" i="3"/>
  <c r="Y65" i="3"/>
  <c r="Y266" i="3"/>
  <c r="Y78" i="3"/>
  <c r="Y94" i="3"/>
  <c r="Y97" i="3"/>
  <c r="Y141" i="3"/>
  <c r="Y67" i="3"/>
  <c r="Y216" i="3"/>
  <c r="Y123" i="3"/>
  <c r="Y75" i="3"/>
  <c r="Y230" i="3"/>
  <c r="Y54" i="3"/>
  <c r="Y18" i="3"/>
  <c r="Y34" i="3"/>
  <c r="Y276" i="3"/>
  <c r="Y162" i="3"/>
  <c r="Y104" i="3"/>
  <c r="Y120" i="3"/>
  <c r="Y136" i="3"/>
  <c r="Y152" i="3"/>
  <c r="AT438" i="3"/>
  <c r="Y438" i="3"/>
  <c r="AT354" i="3"/>
  <c r="Y354" i="3"/>
  <c r="AT452" i="3"/>
  <c r="Y452" i="3"/>
  <c r="AT413" i="3"/>
  <c r="Y413" i="3"/>
  <c r="AT359" i="3"/>
  <c r="Y359" i="3"/>
  <c r="AT334" i="3"/>
  <c r="Y334" i="3"/>
  <c r="AT447" i="3"/>
  <c r="Y447" i="3"/>
  <c r="AT417" i="3"/>
  <c r="Y417" i="3"/>
  <c r="AT317" i="3"/>
  <c r="Y317" i="3"/>
  <c r="AT285" i="3"/>
  <c r="Y285" i="3"/>
  <c r="AT456" i="3"/>
  <c r="Y456" i="3"/>
  <c r="AT446" i="3"/>
  <c r="Y446" i="3"/>
  <c r="AT436" i="3"/>
  <c r="Y436" i="3"/>
  <c r="AT426" i="3"/>
  <c r="Y426" i="3"/>
  <c r="AT407" i="3"/>
  <c r="Y407" i="3"/>
  <c r="AT397" i="3"/>
  <c r="Y397" i="3"/>
  <c r="AT392" i="3"/>
  <c r="Y392" i="3"/>
  <c r="AT387" i="3"/>
  <c r="Y387" i="3"/>
  <c r="AT382" i="3"/>
  <c r="Y382" i="3"/>
  <c r="AT377" i="3"/>
  <c r="Y377" i="3"/>
  <c r="AT372" i="3"/>
  <c r="Y372" i="3"/>
  <c r="AT362" i="3"/>
  <c r="Y362" i="3"/>
  <c r="AT338" i="3"/>
  <c r="Y338" i="3"/>
  <c r="AT333" i="3"/>
  <c r="Y333" i="3"/>
  <c r="AT327" i="3"/>
  <c r="Y327" i="3"/>
  <c r="AT316" i="3"/>
  <c r="Y316" i="3"/>
  <c r="AT306" i="3"/>
  <c r="Y306" i="3"/>
  <c r="AT301" i="3"/>
  <c r="Y301" i="3"/>
  <c r="AT295" i="3"/>
  <c r="Y295" i="3"/>
  <c r="AT269" i="3"/>
  <c r="Y269" i="3"/>
  <c r="AT263" i="3"/>
  <c r="Y263" i="3"/>
  <c r="AT237" i="3"/>
  <c r="Y237" i="3"/>
  <c r="AT231" i="3"/>
  <c r="Y231" i="3"/>
  <c r="AT205" i="3"/>
  <c r="Y205" i="3"/>
  <c r="AT199" i="3"/>
  <c r="Y199" i="3"/>
  <c r="AT173" i="3"/>
  <c r="Y173" i="3"/>
  <c r="AT167" i="3"/>
  <c r="Y167" i="3"/>
  <c r="Y286" i="3"/>
  <c r="Y13" i="3"/>
  <c r="Y29" i="3"/>
  <c r="Y284" i="3"/>
  <c r="Y42" i="3"/>
  <c r="Y121" i="3"/>
  <c r="Y55" i="3"/>
  <c r="Y71" i="3"/>
  <c r="Y250" i="3"/>
  <c r="Y64" i="3"/>
  <c r="Y80" i="3"/>
  <c r="Y60" i="3"/>
  <c r="Y101" i="3"/>
  <c r="Y147" i="3"/>
  <c r="Y73" i="3"/>
  <c r="Y200" i="3"/>
  <c r="Y133" i="3"/>
  <c r="Y87" i="3"/>
  <c r="Y214" i="3"/>
  <c r="Y62" i="3"/>
  <c r="Y20" i="3"/>
  <c r="Y36" i="3"/>
  <c r="Y260" i="3"/>
  <c r="Y272" i="3"/>
  <c r="Y106" i="3"/>
  <c r="Y122" i="3"/>
  <c r="Y138" i="3"/>
  <c r="Y154" i="3"/>
  <c r="Y85" i="3"/>
  <c r="AT393" i="3"/>
  <c r="Y393" i="3"/>
  <c r="AT349" i="3"/>
  <c r="Y349" i="3"/>
  <c r="AT427" i="3"/>
  <c r="Y427" i="3"/>
  <c r="AT363" i="3"/>
  <c r="Y363" i="3"/>
  <c r="AT358" i="3"/>
  <c r="Y358" i="3"/>
  <c r="AT348" i="3"/>
  <c r="Y348" i="3"/>
  <c r="AT328" i="3"/>
  <c r="Y328" i="3"/>
  <c r="AT296" i="3"/>
  <c r="Y296" i="3"/>
  <c r="AT279" i="3"/>
  <c r="Y279" i="3"/>
  <c r="AT253" i="3"/>
  <c r="Y253" i="3"/>
  <c r="AT461" i="3"/>
  <c r="Y461" i="3"/>
  <c r="AT451" i="3"/>
  <c r="Y451" i="3"/>
  <c r="AT441" i="3"/>
  <c r="Y441" i="3"/>
  <c r="AT465" i="3"/>
  <c r="Y465" i="3"/>
  <c r="AT460" i="3"/>
  <c r="Y460" i="3"/>
  <c r="AT450" i="3"/>
  <c r="Y450" i="3"/>
  <c r="AT431" i="3"/>
  <c r="Y431" i="3"/>
  <c r="AT421" i="3"/>
  <c r="Y421" i="3"/>
  <c r="AT416" i="3"/>
  <c r="Y416" i="3"/>
  <c r="AT411" i="3"/>
  <c r="Y411" i="3"/>
  <c r="AT406" i="3"/>
  <c r="Y406" i="3"/>
  <c r="AT401" i="3"/>
  <c r="Y401" i="3"/>
  <c r="AT396" i="3"/>
  <c r="Y396" i="3"/>
  <c r="AT386" i="3"/>
  <c r="Y386" i="3"/>
  <c r="AT367" i="3"/>
  <c r="Y367" i="3"/>
  <c r="AT357" i="3"/>
  <c r="Y357" i="3"/>
  <c r="AT352" i="3"/>
  <c r="Y352" i="3"/>
  <c r="AT347" i="3"/>
  <c r="Y347" i="3"/>
  <c r="AT342" i="3"/>
  <c r="Y342" i="3"/>
  <c r="AT332" i="3"/>
  <c r="Y332" i="3"/>
  <c r="AT326" i="3"/>
  <c r="Y326" i="3"/>
  <c r="AT321" i="3"/>
  <c r="Y321" i="3"/>
  <c r="AT315" i="3"/>
  <c r="Y315" i="3"/>
  <c r="AT310" i="3"/>
  <c r="Y310" i="3"/>
  <c r="AT300" i="3"/>
  <c r="Y300" i="3"/>
  <c r="AT294" i="3"/>
  <c r="Y294" i="3"/>
  <c r="AT289" i="3"/>
  <c r="Y289" i="3"/>
  <c r="AT283" i="3"/>
  <c r="Y283" i="3"/>
  <c r="AT257" i="3"/>
  <c r="Y257" i="3"/>
  <c r="AT251" i="3"/>
  <c r="Y251" i="3"/>
  <c r="AT225" i="3"/>
  <c r="Y225" i="3"/>
  <c r="AT219" i="3"/>
  <c r="Y219" i="3"/>
  <c r="AT193" i="3"/>
  <c r="Y193" i="3"/>
  <c r="AT187" i="3"/>
  <c r="Y187" i="3"/>
  <c r="Y270" i="3"/>
  <c r="Y15" i="3"/>
  <c r="Y31" i="3"/>
  <c r="Y258" i="3"/>
  <c r="Y268" i="3"/>
  <c r="Y127" i="3"/>
  <c r="Y79" i="3"/>
  <c r="Y234" i="3"/>
  <c r="Y66" i="3"/>
  <c r="Y82" i="3"/>
  <c r="Y52" i="3"/>
  <c r="Y109" i="3"/>
  <c r="Y151" i="3"/>
  <c r="Y81" i="3"/>
  <c r="Y184" i="3"/>
  <c r="Y139" i="3"/>
  <c r="Y95" i="3"/>
  <c r="Y198" i="3"/>
  <c r="Y6" i="3"/>
  <c r="Y22" i="3"/>
  <c r="Y38" i="3"/>
  <c r="Y244" i="3"/>
  <c r="Y256" i="3"/>
  <c r="Y108" i="3"/>
  <c r="Y124" i="3"/>
  <c r="Y140" i="3"/>
  <c r="Y156" i="3"/>
  <c r="Y45" i="3"/>
  <c r="I10" i="2" l="1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A108" i="1" l="1"/>
  <c r="A112" i="3" s="1"/>
  <c r="S112" i="3" s="1"/>
  <c r="A388" i="1" l="1"/>
  <c r="A392" i="3" s="1"/>
  <c r="S392" i="3" s="1"/>
  <c r="A7" i="1" l="1"/>
  <c r="A11" i="3" s="1"/>
  <c r="S11" i="3" s="1"/>
  <c r="A5" i="1"/>
  <c r="A9" i="3" s="1"/>
  <c r="S9" i="3" s="1"/>
  <c r="A4" i="1"/>
  <c r="A8" i="3" s="1"/>
  <c r="S8" i="3" s="1"/>
  <c r="A3" i="1"/>
  <c r="A7" i="3" s="1"/>
  <c r="S7" i="3" s="1"/>
  <c r="A67" i="1"/>
  <c r="A71" i="3" s="1"/>
  <c r="S71" i="3" s="1"/>
  <c r="A66" i="1"/>
  <c r="A70" i="3" s="1"/>
  <c r="S70" i="3" s="1"/>
  <c r="A65" i="1"/>
  <c r="A69" i="3" s="1"/>
  <c r="S69" i="3" s="1"/>
  <c r="A377" i="1" l="1"/>
  <c r="A381" i="3" s="1"/>
  <c r="S381" i="3" s="1"/>
  <c r="A376" i="1"/>
  <c r="A380" i="3" s="1"/>
  <c r="S380" i="3" s="1"/>
  <c r="A375" i="1"/>
  <c r="A379" i="3" s="1"/>
  <c r="S379" i="3" s="1"/>
  <c r="A324" i="1"/>
  <c r="A328" i="3" s="1"/>
  <c r="S328" i="3" s="1"/>
  <c r="A323" i="1"/>
  <c r="A327" i="3" s="1"/>
  <c r="S327" i="3" s="1"/>
  <c r="A322" i="1"/>
  <c r="A326" i="3" s="1"/>
  <c r="S326" i="3" s="1"/>
  <c r="A172" i="1"/>
  <c r="A176" i="3" s="1"/>
  <c r="S176" i="3" s="1"/>
  <c r="A171" i="1"/>
  <c r="A175" i="3" s="1"/>
  <c r="S175" i="3" s="1"/>
  <c r="A170" i="1"/>
  <c r="A174" i="3" s="1"/>
  <c r="S174" i="3" s="1"/>
  <c r="A136" i="1"/>
  <c r="A140" i="3" s="1"/>
  <c r="S140" i="3" s="1"/>
  <c r="A135" i="1"/>
  <c r="A139" i="3" s="1"/>
  <c r="S139" i="3" s="1"/>
  <c r="A134" i="1"/>
  <c r="A138" i="3" s="1"/>
  <c r="S138" i="3" s="1"/>
  <c r="A88" i="1"/>
  <c r="A92" i="3" s="1"/>
  <c r="S92" i="3" s="1"/>
  <c r="A87" i="1"/>
  <c r="A91" i="3" s="1"/>
  <c r="S91" i="3" s="1"/>
  <c r="A86" i="1"/>
  <c r="A90" i="3" s="1"/>
  <c r="S90" i="3" s="1"/>
  <c r="A85" i="1"/>
  <c r="A89" i="3" s="1"/>
  <c r="S89" i="3" s="1"/>
  <c r="A90" i="1"/>
  <c r="A94" i="3" s="1"/>
  <c r="S94" i="3" s="1"/>
  <c r="A89" i="1"/>
  <c r="A93" i="3" s="1"/>
  <c r="S93" i="3" s="1"/>
  <c r="A50" i="1"/>
  <c r="A54" i="3" s="1"/>
  <c r="S54" i="3" s="1"/>
  <c r="A49" i="1"/>
  <c r="A53" i="3" s="1"/>
  <c r="S53" i="3" s="1"/>
  <c r="A51" i="1" l="1"/>
  <c r="A55" i="3" s="1"/>
  <c r="S55" i="3" s="1"/>
  <c r="A6" i="1" l="1"/>
  <c r="A10" i="3" s="1"/>
  <c r="S10" i="3" s="1"/>
  <c r="A8" i="1"/>
  <c r="A12" i="3" s="1"/>
  <c r="S12" i="3" s="1"/>
  <c r="A9" i="1"/>
  <c r="A13" i="3" s="1"/>
  <c r="S13" i="3" s="1"/>
  <c r="A10" i="1"/>
  <c r="A14" i="3" s="1"/>
  <c r="S14" i="3" s="1"/>
  <c r="A11" i="1"/>
  <c r="A15" i="3" s="1"/>
  <c r="S15" i="3" s="1"/>
  <c r="A12" i="1"/>
  <c r="A16" i="3" s="1"/>
  <c r="S16" i="3" s="1"/>
  <c r="A13" i="1"/>
  <c r="A17" i="3" s="1"/>
  <c r="S17" i="3" s="1"/>
  <c r="A14" i="1"/>
  <c r="A18" i="3" s="1"/>
  <c r="S18" i="3" s="1"/>
  <c r="A15" i="1"/>
  <c r="A19" i="3" s="1"/>
  <c r="S19" i="3" s="1"/>
  <c r="A16" i="1"/>
  <c r="A20" i="3" s="1"/>
  <c r="S20" i="3" s="1"/>
  <c r="A17" i="1"/>
  <c r="A21" i="3" s="1"/>
  <c r="S21" i="3" s="1"/>
  <c r="A18" i="1"/>
  <c r="A22" i="3" s="1"/>
  <c r="S22" i="3" s="1"/>
  <c r="A19" i="1"/>
  <c r="A23" i="3" s="1"/>
  <c r="S23" i="3" s="1"/>
  <c r="A20" i="1"/>
  <c r="A24" i="3" s="1"/>
  <c r="S24" i="3" s="1"/>
  <c r="A21" i="1"/>
  <c r="A25" i="3" s="1"/>
  <c r="S25" i="3" s="1"/>
  <c r="A22" i="1"/>
  <c r="A26" i="3" s="1"/>
  <c r="S26" i="3" s="1"/>
  <c r="A23" i="1"/>
  <c r="A27" i="3" s="1"/>
  <c r="S27" i="3" s="1"/>
  <c r="A24" i="1"/>
  <c r="A28" i="3" s="1"/>
  <c r="S28" i="3" s="1"/>
  <c r="A25" i="1"/>
  <c r="A29" i="3" s="1"/>
  <c r="S29" i="3" s="1"/>
  <c r="A26" i="1"/>
  <c r="A30" i="3" s="1"/>
  <c r="S30" i="3" s="1"/>
  <c r="A27" i="1"/>
  <c r="A31" i="3" s="1"/>
  <c r="S31" i="3" s="1"/>
  <c r="A28" i="1"/>
  <c r="A32" i="3" s="1"/>
  <c r="S32" i="3" s="1"/>
  <c r="A29" i="1"/>
  <c r="A33" i="3" s="1"/>
  <c r="S33" i="3" s="1"/>
  <c r="A30" i="1"/>
  <c r="A34" i="3" s="1"/>
  <c r="S34" i="3" s="1"/>
  <c r="A31" i="1"/>
  <c r="A35" i="3" s="1"/>
  <c r="S35" i="3" s="1"/>
  <c r="A32" i="1"/>
  <c r="A36" i="3" s="1"/>
  <c r="S36" i="3" s="1"/>
  <c r="A33" i="1"/>
  <c r="A37" i="3" s="1"/>
  <c r="S37" i="3" s="1"/>
  <c r="A34" i="1"/>
  <c r="A38" i="3" s="1"/>
  <c r="S38" i="3" s="1"/>
  <c r="A35" i="1"/>
  <c r="A39" i="3" s="1"/>
  <c r="S39" i="3" s="1"/>
  <c r="A36" i="1"/>
  <c r="A40" i="3" s="1"/>
  <c r="S40" i="3" s="1"/>
  <c r="A37" i="1"/>
  <c r="A41" i="3" s="1"/>
  <c r="S41" i="3" s="1"/>
  <c r="A38" i="1"/>
  <c r="A42" i="3" s="1"/>
  <c r="S42" i="3" s="1"/>
  <c r="A39" i="1"/>
  <c r="A43" i="3" s="1"/>
  <c r="S43" i="3" s="1"/>
  <c r="A40" i="1"/>
  <c r="A44" i="3" s="1"/>
  <c r="S44" i="3" s="1"/>
  <c r="A41" i="1"/>
  <c r="A45" i="3" s="1"/>
  <c r="S45" i="3" s="1"/>
  <c r="A42" i="1"/>
  <c r="A46" i="3" s="1"/>
  <c r="S46" i="3" s="1"/>
  <c r="A43" i="1"/>
  <c r="A47" i="3" s="1"/>
  <c r="S47" i="3" s="1"/>
  <c r="A44" i="1"/>
  <c r="A48" i="3" s="1"/>
  <c r="S48" i="3" s="1"/>
  <c r="A45" i="1"/>
  <c r="A49" i="3" s="1"/>
  <c r="S49" i="3" s="1"/>
  <c r="A46" i="1"/>
  <c r="A50" i="3" s="1"/>
  <c r="S50" i="3" s="1"/>
  <c r="A47" i="1"/>
  <c r="A51" i="3" s="1"/>
  <c r="S51" i="3" s="1"/>
  <c r="A48" i="1"/>
  <c r="A52" i="3" s="1"/>
  <c r="S52" i="3" s="1"/>
  <c r="A52" i="1"/>
  <c r="A56" i="3" s="1"/>
  <c r="S56" i="3" s="1"/>
  <c r="A53" i="1"/>
  <c r="A57" i="3" s="1"/>
  <c r="S57" i="3" s="1"/>
  <c r="A54" i="1"/>
  <c r="A58" i="3" s="1"/>
  <c r="S58" i="3" s="1"/>
  <c r="A55" i="1"/>
  <c r="A59" i="3" s="1"/>
  <c r="S59" i="3" s="1"/>
  <c r="A56" i="1"/>
  <c r="A60" i="3" s="1"/>
  <c r="S60" i="3" s="1"/>
  <c r="A57" i="1"/>
  <c r="A61" i="3" s="1"/>
  <c r="S61" i="3" s="1"/>
  <c r="A58" i="1"/>
  <c r="A62" i="3" s="1"/>
  <c r="S62" i="3" s="1"/>
  <c r="A59" i="1"/>
  <c r="A63" i="3" s="1"/>
  <c r="S63" i="3" s="1"/>
  <c r="A60" i="1"/>
  <c r="A64" i="3" s="1"/>
  <c r="S64" i="3" s="1"/>
  <c r="A61" i="1"/>
  <c r="A65" i="3" s="1"/>
  <c r="S65" i="3" s="1"/>
  <c r="A62" i="1"/>
  <c r="A66" i="3" s="1"/>
  <c r="S66" i="3" s="1"/>
  <c r="A63" i="1"/>
  <c r="A67" i="3" s="1"/>
  <c r="S67" i="3" s="1"/>
  <c r="A64" i="1"/>
  <c r="A68" i="3" s="1"/>
  <c r="S68" i="3" s="1"/>
  <c r="A68" i="1"/>
  <c r="A72" i="3" s="1"/>
  <c r="S72" i="3" s="1"/>
  <c r="A69" i="1"/>
  <c r="A73" i="3" s="1"/>
  <c r="S73" i="3" s="1"/>
  <c r="A70" i="1"/>
  <c r="A74" i="3" s="1"/>
  <c r="S74" i="3" s="1"/>
  <c r="A71" i="1"/>
  <c r="A75" i="3" s="1"/>
  <c r="S75" i="3" s="1"/>
  <c r="A72" i="1"/>
  <c r="A76" i="3" s="1"/>
  <c r="S76" i="3" s="1"/>
  <c r="A73" i="1"/>
  <c r="A77" i="3" s="1"/>
  <c r="S77" i="3" s="1"/>
  <c r="A74" i="1"/>
  <c r="A78" i="3" s="1"/>
  <c r="S78" i="3" s="1"/>
  <c r="A75" i="1"/>
  <c r="A79" i="3" s="1"/>
  <c r="S79" i="3" s="1"/>
  <c r="A76" i="1"/>
  <c r="A80" i="3" s="1"/>
  <c r="S80" i="3" s="1"/>
  <c r="A77" i="1"/>
  <c r="A81" i="3" s="1"/>
  <c r="S81" i="3" s="1"/>
  <c r="A78" i="1"/>
  <c r="A82" i="3" s="1"/>
  <c r="S82" i="3" s="1"/>
  <c r="A79" i="1"/>
  <c r="A83" i="3" s="1"/>
  <c r="S83" i="3" s="1"/>
  <c r="A80" i="1"/>
  <c r="A84" i="3" s="1"/>
  <c r="S84" i="3" s="1"/>
  <c r="A81" i="1"/>
  <c r="A85" i="3" s="1"/>
  <c r="S85" i="3" s="1"/>
  <c r="A82" i="1"/>
  <c r="A86" i="3" s="1"/>
  <c r="S86" i="3" s="1"/>
  <c r="A83" i="1"/>
  <c r="A87" i="3" s="1"/>
  <c r="S87" i="3" s="1"/>
  <c r="A84" i="1"/>
  <c r="A88" i="3" s="1"/>
  <c r="S88" i="3" s="1"/>
  <c r="A91" i="1"/>
  <c r="A95" i="3" s="1"/>
  <c r="S95" i="3" s="1"/>
  <c r="A92" i="1"/>
  <c r="A96" i="3" s="1"/>
  <c r="S96" i="3" s="1"/>
  <c r="A93" i="1"/>
  <c r="A97" i="3" s="1"/>
  <c r="S97" i="3" s="1"/>
  <c r="A94" i="1"/>
  <c r="A98" i="3" s="1"/>
  <c r="S98" i="3" s="1"/>
  <c r="A95" i="1"/>
  <c r="A99" i="3" s="1"/>
  <c r="S99" i="3" s="1"/>
  <c r="A96" i="1"/>
  <c r="A100" i="3" s="1"/>
  <c r="S100" i="3" s="1"/>
  <c r="A97" i="1"/>
  <c r="A101" i="3" s="1"/>
  <c r="S101" i="3" s="1"/>
  <c r="A98" i="1"/>
  <c r="A102" i="3" s="1"/>
  <c r="S102" i="3" s="1"/>
  <c r="A99" i="1"/>
  <c r="A103" i="3" s="1"/>
  <c r="S103" i="3" s="1"/>
  <c r="A100" i="1"/>
  <c r="A104" i="3" s="1"/>
  <c r="S104" i="3" s="1"/>
  <c r="A101" i="1"/>
  <c r="A105" i="3" s="1"/>
  <c r="S105" i="3" s="1"/>
  <c r="A102" i="1"/>
  <c r="A106" i="3" s="1"/>
  <c r="S106" i="3" s="1"/>
  <c r="A103" i="1"/>
  <c r="A107" i="3" s="1"/>
  <c r="S107" i="3" s="1"/>
  <c r="A104" i="1"/>
  <c r="A108" i="3" s="1"/>
  <c r="S108" i="3" s="1"/>
  <c r="A105" i="1"/>
  <c r="A109" i="3" s="1"/>
  <c r="S109" i="3" s="1"/>
  <c r="A106" i="1"/>
  <c r="A110" i="3" s="1"/>
  <c r="S110" i="3" s="1"/>
  <c r="A107" i="1"/>
  <c r="A111" i="3" s="1"/>
  <c r="S111" i="3" s="1"/>
  <c r="A109" i="1"/>
  <c r="A113" i="3" s="1"/>
  <c r="S113" i="3" s="1"/>
  <c r="A110" i="1"/>
  <c r="A114" i="3" s="1"/>
  <c r="S114" i="3" s="1"/>
  <c r="A111" i="1"/>
  <c r="A115" i="3" s="1"/>
  <c r="S115" i="3" s="1"/>
  <c r="A112" i="1"/>
  <c r="A116" i="3" s="1"/>
  <c r="S116" i="3" s="1"/>
  <c r="A113" i="1"/>
  <c r="A117" i="3" s="1"/>
  <c r="S117" i="3" s="1"/>
  <c r="A114" i="1"/>
  <c r="A118" i="3" s="1"/>
  <c r="S118" i="3" s="1"/>
  <c r="A115" i="1"/>
  <c r="A119" i="3" s="1"/>
  <c r="S119" i="3" s="1"/>
  <c r="A116" i="1"/>
  <c r="A120" i="3" s="1"/>
  <c r="S120" i="3" s="1"/>
  <c r="A117" i="1"/>
  <c r="A121" i="3" s="1"/>
  <c r="S121" i="3" s="1"/>
  <c r="A118" i="1"/>
  <c r="A122" i="3" s="1"/>
  <c r="S122" i="3" s="1"/>
  <c r="A119" i="1"/>
  <c r="A123" i="3" s="1"/>
  <c r="S123" i="3" s="1"/>
  <c r="A120" i="1"/>
  <c r="A124" i="3" s="1"/>
  <c r="S124" i="3" s="1"/>
  <c r="A121" i="1"/>
  <c r="A125" i="3" s="1"/>
  <c r="S125" i="3" s="1"/>
  <c r="A122" i="1"/>
  <c r="A126" i="3" s="1"/>
  <c r="S126" i="3" s="1"/>
  <c r="A123" i="1"/>
  <c r="A127" i="3" s="1"/>
  <c r="S127" i="3" s="1"/>
  <c r="A124" i="1"/>
  <c r="A128" i="3" s="1"/>
  <c r="S128" i="3" s="1"/>
  <c r="A125" i="1"/>
  <c r="A129" i="3" s="1"/>
  <c r="S129" i="3" s="1"/>
  <c r="A126" i="1"/>
  <c r="A130" i="3" s="1"/>
  <c r="S130" i="3" s="1"/>
  <c r="A127" i="1"/>
  <c r="A131" i="3" s="1"/>
  <c r="S131" i="3" s="1"/>
  <c r="A128" i="1"/>
  <c r="A132" i="3" s="1"/>
  <c r="S132" i="3" s="1"/>
  <c r="A129" i="1"/>
  <c r="A133" i="3" s="1"/>
  <c r="S133" i="3" s="1"/>
  <c r="A130" i="1"/>
  <c r="A134" i="3" s="1"/>
  <c r="S134" i="3" s="1"/>
  <c r="A131" i="1"/>
  <c r="A135" i="3" s="1"/>
  <c r="S135" i="3" s="1"/>
  <c r="A132" i="1"/>
  <c r="A136" i="3" s="1"/>
  <c r="S136" i="3" s="1"/>
  <c r="A133" i="1"/>
  <c r="A137" i="3" s="1"/>
  <c r="S137" i="3" s="1"/>
  <c r="A137" i="1"/>
  <c r="A141" i="3" s="1"/>
  <c r="S141" i="3" s="1"/>
  <c r="A138" i="1"/>
  <c r="A142" i="3" s="1"/>
  <c r="S142" i="3" s="1"/>
  <c r="A139" i="1"/>
  <c r="A143" i="3" s="1"/>
  <c r="S143" i="3" s="1"/>
  <c r="A140" i="1"/>
  <c r="A144" i="3" s="1"/>
  <c r="S144" i="3" s="1"/>
  <c r="A141" i="1"/>
  <c r="A145" i="3" s="1"/>
  <c r="S145" i="3" s="1"/>
  <c r="A142" i="1"/>
  <c r="A146" i="3" s="1"/>
  <c r="S146" i="3" s="1"/>
  <c r="A143" i="1"/>
  <c r="A147" i="3" s="1"/>
  <c r="S147" i="3" s="1"/>
  <c r="A144" i="1"/>
  <c r="A148" i="3" s="1"/>
  <c r="S148" i="3" s="1"/>
  <c r="A145" i="1"/>
  <c r="A149" i="3" s="1"/>
  <c r="S149" i="3" s="1"/>
  <c r="A146" i="1"/>
  <c r="A150" i="3" s="1"/>
  <c r="S150" i="3" s="1"/>
  <c r="A147" i="1"/>
  <c r="A151" i="3" s="1"/>
  <c r="S151" i="3" s="1"/>
  <c r="A148" i="1"/>
  <c r="A152" i="3" s="1"/>
  <c r="S152" i="3" s="1"/>
  <c r="A149" i="1"/>
  <c r="A153" i="3" s="1"/>
  <c r="S153" i="3" s="1"/>
  <c r="A150" i="1"/>
  <c r="A154" i="3" s="1"/>
  <c r="S154" i="3" s="1"/>
  <c r="A151" i="1"/>
  <c r="A155" i="3" s="1"/>
  <c r="S155" i="3" s="1"/>
  <c r="A152" i="1"/>
  <c r="A156" i="3" s="1"/>
  <c r="S156" i="3" s="1"/>
  <c r="A153" i="1"/>
  <c r="A157" i="3" s="1"/>
  <c r="S157" i="3" s="1"/>
  <c r="A154" i="1"/>
  <c r="A158" i="3" s="1"/>
  <c r="S158" i="3" s="1"/>
  <c r="A155" i="1"/>
  <c r="A159" i="3" s="1"/>
  <c r="S159" i="3" s="1"/>
  <c r="A156" i="1"/>
  <c r="A160" i="3" s="1"/>
  <c r="S160" i="3" s="1"/>
  <c r="A157" i="1"/>
  <c r="A161" i="3" s="1"/>
  <c r="S161" i="3" s="1"/>
  <c r="A158" i="1"/>
  <c r="A162" i="3" s="1"/>
  <c r="S162" i="3" s="1"/>
  <c r="A159" i="1"/>
  <c r="A163" i="3" s="1"/>
  <c r="S163" i="3" s="1"/>
  <c r="A160" i="1"/>
  <c r="A164" i="3" s="1"/>
  <c r="S164" i="3" s="1"/>
  <c r="A161" i="1"/>
  <c r="A165" i="3" s="1"/>
  <c r="S165" i="3" s="1"/>
  <c r="A162" i="1"/>
  <c r="A166" i="3" s="1"/>
  <c r="S166" i="3" s="1"/>
  <c r="A163" i="1"/>
  <c r="A167" i="3" s="1"/>
  <c r="S167" i="3" s="1"/>
  <c r="A164" i="1"/>
  <c r="A168" i="3" s="1"/>
  <c r="S168" i="3" s="1"/>
  <c r="A165" i="1"/>
  <c r="A169" i="3" s="1"/>
  <c r="S169" i="3" s="1"/>
  <c r="A166" i="1"/>
  <c r="A170" i="3" s="1"/>
  <c r="S170" i="3" s="1"/>
  <c r="A167" i="1"/>
  <c r="A171" i="3" s="1"/>
  <c r="S171" i="3" s="1"/>
  <c r="A168" i="1"/>
  <c r="A172" i="3" s="1"/>
  <c r="S172" i="3" s="1"/>
  <c r="A169" i="1"/>
  <c r="A173" i="3" s="1"/>
  <c r="S173" i="3" s="1"/>
  <c r="A173" i="1"/>
  <c r="A177" i="3" s="1"/>
  <c r="S177" i="3" s="1"/>
  <c r="A174" i="1"/>
  <c r="A178" i="3" s="1"/>
  <c r="S178" i="3" s="1"/>
  <c r="A175" i="1"/>
  <c r="A179" i="3" s="1"/>
  <c r="S179" i="3" s="1"/>
  <c r="A176" i="1"/>
  <c r="A180" i="3" s="1"/>
  <c r="S180" i="3" s="1"/>
  <c r="A177" i="1"/>
  <c r="A181" i="3" s="1"/>
  <c r="S181" i="3" s="1"/>
  <c r="A178" i="1"/>
  <c r="A182" i="3" s="1"/>
  <c r="S182" i="3" s="1"/>
  <c r="A179" i="1"/>
  <c r="A183" i="3" s="1"/>
  <c r="S183" i="3" s="1"/>
  <c r="A180" i="1"/>
  <c r="A184" i="3" s="1"/>
  <c r="S184" i="3" s="1"/>
  <c r="A181" i="1"/>
  <c r="A185" i="3" s="1"/>
  <c r="S185" i="3" s="1"/>
  <c r="A182" i="1"/>
  <c r="A186" i="3" s="1"/>
  <c r="S186" i="3" s="1"/>
  <c r="A183" i="1"/>
  <c r="A187" i="3" s="1"/>
  <c r="S187" i="3" s="1"/>
  <c r="A184" i="1"/>
  <c r="A188" i="3" s="1"/>
  <c r="S188" i="3" s="1"/>
  <c r="A185" i="1"/>
  <c r="A189" i="3" s="1"/>
  <c r="S189" i="3" s="1"/>
  <c r="A186" i="1"/>
  <c r="A190" i="3" s="1"/>
  <c r="S190" i="3" s="1"/>
  <c r="A187" i="1"/>
  <c r="A191" i="3" s="1"/>
  <c r="S191" i="3" s="1"/>
  <c r="A188" i="1"/>
  <c r="A192" i="3" s="1"/>
  <c r="S192" i="3" s="1"/>
  <c r="A189" i="1"/>
  <c r="A193" i="3" s="1"/>
  <c r="S193" i="3" s="1"/>
  <c r="A190" i="1"/>
  <c r="A194" i="3" s="1"/>
  <c r="S194" i="3" s="1"/>
  <c r="A191" i="1"/>
  <c r="A195" i="3" s="1"/>
  <c r="S195" i="3" s="1"/>
  <c r="A192" i="1"/>
  <c r="A196" i="3" s="1"/>
  <c r="S196" i="3" s="1"/>
  <c r="A193" i="1"/>
  <c r="A197" i="3" s="1"/>
  <c r="S197" i="3" s="1"/>
  <c r="A194" i="1"/>
  <c r="A198" i="3" s="1"/>
  <c r="S198" i="3" s="1"/>
  <c r="A195" i="1"/>
  <c r="A199" i="3" s="1"/>
  <c r="S199" i="3" s="1"/>
  <c r="A196" i="1"/>
  <c r="A200" i="3" s="1"/>
  <c r="S200" i="3" s="1"/>
  <c r="A197" i="1"/>
  <c r="A201" i="3" s="1"/>
  <c r="S201" i="3" s="1"/>
  <c r="A198" i="1"/>
  <c r="A202" i="3" s="1"/>
  <c r="S202" i="3" s="1"/>
  <c r="A199" i="1"/>
  <c r="A203" i="3" s="1"/>
  <c r="S203" i="3" s="1"/>
  <c r="A200" i="1"/>
  <c r="A204" i="3" s="1"/>
  <c r="S204" i="3" s="1"/>
  <c r="A201" i="1"/>
  <c r="A205" i="3" s="1"/>
  <c r="S205" i="3" s="1"/>
  <c r="A202" i="1"/>
  <c r="A206" i="3" s="1"/>
  <c r="S206" i="3" s="1"/>
  <c r="A203" i="1"/>
  <c r="A207" i="3" s="1"/>
  <c r="S207" i="3" s="1"/>
  <c r="A204" i="1"/>
  <c r="A208" i="3" s="1"/>
  <c r="S208" i="3" s="1"/>
  <c r="A205" i="1"/>
  <c r="A209" i="3" s="1"/>
  <c r="S209" i="3" s="1"/>
  <c r="A206" i="1"/>
  <c r="A210" i="3" s="1"/>
  <c r="S210" i="3" s="1"/>
  <c r="A207" i="1"/>
  <c r="A211" i="3" s="1"/>
  <c r="S211" i="3" s="1"/>
  <c r="A208" i="1"/>
  <c r="A212" i="3" s="1"/>
  <c r="S212" i="3" s="1"/>
  <c r="A209" i="1"/>
  <c r="A213" i="3" s="1"/>
  <c r="S213" i="3" s="1"/>
  <c r="A210" i="1"/>
  <c r="A214" i="3" s="1"/>
  <c r="S214" i="3" s="1"/>
  <c r="A211" i="1"/>
  <c r="A215" i="3" s="1"/>
  <c r="S215" i="3" s="1"/>
  <c r="A212" i="1"/>
  <c r="A216" i="3" s="1"/>
  <c r="S216" i="3" s="1"/>
  <c r="A213" i="1"/>
  <c r="A217" i="3" s="1"/>
  <c r="S217" i="3" s="1"/>
  <c r="A214" i="1"/>
  <c r="A218" i="3" s="1"/>
  <c r="S218" i="3" s="1"/>
  <c r="A215" i="1"/>
  <c r="A219" i="3" s="1"/>
  <c r="S219" i="3" s="1"/>
  <c r="A216" i="1"/>
  <c r="A220" i="3" s="1"/>
  <c r="S220" i="3" s="1"/>
  <c r="A217" i="1"/>
  <c r="A221" i="3" s="1"/>
  <c r="S221" i="3" s="1"/>
  <c r="A218" i="1"/>
  <c r="A222" i="3" s="1"/>
  <c r="S222" i="3" s="1"/>
  <c r="A219" i="1"/>
  <c r="A223" i="3" s="1"/>
  <c r="S223" i="3" s="1"/>
  <c r="A220" i="1"/>
  <c r="A224" i="3" s="1"/>
  <c r="S224" i="3" s="1"/>
  <c r="A221" i="1"/>
  <c r="A225" i="3" s="1"/>
  <c r="S225" i="3" s="1"/>
  <c r="A222" i="1"/>
  <c r="A226" i="3" s="1"/>
  <c r="S226" i="3" s="1"/>
  <c r="A223" i="1"/>
  <c r="A227" i="3" s="1"/>
  <c r="S227" i="3" s="1"/>
  <c r="A224" i="1"/>
  <c r="A228" i="3" s="1"/>
  <c r="S228" i="3" s="1"/>
  <c r="A225" i="1"/>
  <c r="A229" i="3" s="1"/>
  <c r="S229" i="3" s="1"/>
  <c r="A226" i="1"/>
  <c r="A230" i="3" s="1"/>
  <c r="S230" i="3" s="1"/>
  <c r="A227" i="1"/>
  <c r="A231" i="3" s="1"/>
  <c r="S231" i="3" s="1"/>
  <c r="A228" i="1"/>
  <c r="A232" i="3" s="1"/>
  <c r="S232" i="3" s="1"/>
  <c r="A229" i="1"/>
  <c r="A233" i="3" s="1"/>
  <c r="S233" i="3" s="1"/>
  <c r="A230" i="1"/>
  <c r="A234" i="3" s="1"/>
  <c r="S234" i="3" s="1"/>
  <c r="A231" i="1"/>
  <c r="A235" i="3" s="1"/>
  <c r="S235" i="3" s="1"/>
  <c r="A232" i="1"/>
  <c r="A236" i="3" s="1"/>
  <c r="S236" i="3" s="1"/>
  <c r="A233" i="1"/>
  <c r="A237" i="3" s="1"/>
  <c r="S237" i="3" s="1"/>
  <c r="A234" i="1"/>
  <c r="A238" i="3" s="1"/>
  <c r="S238" i="3" s="1"/>
  <c r="A235" i="1"/>
  <c r="A239" i="3" s="1"/>
  <c r="S239" i="3" s="1"/>
  <c r="A236" i="1"/>
  <c r="A240" i="3" s="1"/>
  <c r="S240" i="3" s="1"/>
  <c r="A237" i="1"/>
  <c r="A241" i="3" s="1"/>
  <c r="S241" i="3" s="1"/>
  <c r="A238" i="1"/>
  <c r="A242" i="3" s="1"/>
  <c r="S242" i="3" s="1"/>
  <c r="A239" i="1"/>
  <c r="A243" i="3" s="1"/>
  <c r="S243" i="3" s="1"/>
  <c r="A240" i="1"/>
  <c r="A244" i="3" s="1"/>
  <c r="S244" i="3" s="1"/>
  <c r="A241" i="1"/>
  <c r="A245" i="3" s="1"/>
  <c r="S245" i="3" s="1"/>
  <c r="A242" i="1"/>
  <c r="A246" i="3" s="1"/>
  <c r="S246" i="3" s="1"/>
  <c r="A243" i="1"/>
  <c r="A247" i="3" s="1"/>
  <c r="S247" i="3" s="1"/>
  <c r="A244" i="1"/>
  <c r="A248" i="3" s="1"/>
  <c r="S248" i="3" s="1"/>
  <c r="A245" i="1"/>
  <c r="A249" i="3" s="1"/>
  <c r="S249" i="3" s="1"/>
  <c r="A246" i="1"/>
  <c r="A250" i="3" s="1"/>
  <c r="S250" i="3" s="1"/>
  <c r="A247" i="1"/>
  <c r="A251" i="3" s="1"/>
  <c r="S251" i="3" s="1"/>
  <c r="A248" i="1"/>
  <c r="A252" i="3" s="1"/>
  <c r="S252" i="3" s="1"/>
  <c r="A249" i="1"/>
  <c r="A253" i="3" s="1"/>
  <c r="S253" i="3" s="1"/>
  <c r="A250" i="1"/>
  <c r="A254" i="3" s="1"/>
  <c r="S254" i="3" s="1"/>
  <c r="A251" i="1"/>
  <c r="A255" i="3" s="1"/>
  <c r="S255" i="3" s="1"/>
  <c r="A252" i="1"/>
  <c r="A256" i="3" s="1"/>
  <c r="S256" i="3" s="1"/>
  <c r="A253" i="1"/>
  <c r="A257" i="3" s="1"/>
  <c r="S257" i="3" s="1"/>
  <c r="A254" i="1"/>
  <c r="A258" i="3" s="1"/>
  <c r="S258" i="3" s="1"/>
  <c r="A255" i="1"/>
  <c r="A259" i="3" s="1"/>
  <c r="S259" i="3" s="1"/>
  <c r="A256" i="1"/>
  <c r="A260" i="3" s="1"/>
  <c r="S260" i="3" s="1"/>
  <c r="A257" i="1"/>
  <c r="A261" i="3" s="1"/>
  <c r="S261" i="3" s="1"/>
  <c r="A258" i="1"/>
  <c r="A262" i="3" s="1"/>
  <c r="S262" i="3" s="1"/>
  <c r="A259" i="1"/>
  <c r="A263" i="3" s="1"/>
  <c r="S263" i="3" s="1"/>
  <c r="A260" i="1"/>
  <c r="A264" i="3" s="1"/>
  <c r="S264" i="3" s="1"/>
  <c r="A261" i="1"/>
  <c r="A265" i="3" s="1"/>
  <c r="S265" i="3" s="1"/>
  <c r="A262" i="1"/>
  <c r="A266" i="3" s="1"/>
  <c r="S266" i="3" s="1"/>
  <c r="A263" i="1"/>
  <c r="A267" i="3" s="1"/>
  <c r="S267" i="3" s="1"/>
  <c r="A264" i="1"/>
  <c r="A268" i="3" s="1"/>
  <c r="S268" i="3" s="1"/>
  <c r="A265" i="1"/>
  <c r="A269" i="3" s="1"/>
  <c r="S269" i="3" s="1"/>
  <c r="A266" i="1"/>
  <c r="A270" i="3" s="1"/>
  <c r="S270" i="3" s="1"/>
  <c r="A267" i="1"/>
  <c r="A271" i="3" s="1"/>
  <c r="S271" i="3" s="1"/>
  <c r="A268" i="1"/>
  <c r="A272" i="3" s="1"/>
  <c r="S272" i="3" s="1"/>
  <c r="A269" i="1"/>
  <c r="A273" i="3" s="1"/>
  <c r="S273" i="3" s="1"/>
  <c r="A270" i="1"/>
  <c r="A274" i="3" s="1"/>
  <c r="S274" i="3" s="1"/>
  <c r="A271" i="1"/>
  <c r="A275" i="3" s="1"/>
  <c r="S275" i="3" s="1"/>
  <c r="A272" i="1"/>
  <c r="A276" i="3" s="1"/>
  <c r="S276" i="3" s="1"/>
  <c r="A273" i="1"/>
  <c r="A277" i="3" s="1"/>
  <c r="S277" i="3" s="1"/>
  <c r="A274" i="1"/>
  <c r="A278" i="3" s="1"/>
  <c r="S278" i="3" s="1"/>
  <c r="A275" i="1"/>
  <c r="A279" i="3" s="1"/>
  <c r="S279" i="3" s="1"/>
  <c r="A276" i="1"/>
  <c r="A280" i="3" s="1"/>
  <c r="S280" i="3" s="1"/>
  <c r="A277" i="1"/>
  <c r="A281" i="3" s="1"/>
  <c r="S281" i="3" s="1"/>
  <c r="A278" i="1"/>
  <c r="A282" i="3" s="1"/>
  <c r="S282" i="3" s="1"/>
  <c r="A279" i="1"/>
  <c r="A283" i="3" s="1"/>
  <c r="S283" i="3" s="1"/>
  <c r="A280" i="1"/>
  <c r="A284" i="3" s="1"/>
  <c r="S284" i="3" s="1"/>
  <c r="A281" i="1"/>
  <c r="A285" i="3" s="1"/>
  <c r="S285" i="3" s="1"/>
  <c r="A282" i="1"/>
  <c r="A286" i="3" s="1"/>
  <c r="S286" i="3" s="1"/>
  <c r="A283" i="1"/>
  <c r="A287" i="3" s="1"/>
  <c r="S287" i="3" s="1"/>
  <c r="A284" i="1"/>
  <c r="A288" i="3" s="1"/>
  <c r="S288" i="3" s="1"/>
  <c r="A285" i="1"/>
  <c r="A289" i="3" s="1"/>
  <c r="S289" i="3" s="1"/>
  <c r="A286" i="1"/>
  <c r="A290" i="3" s="1"/>
  <c r="S290" i="3" s="1"/>
  <c r="A287" i="1"/>
  <c r="A291" i="3" s="1"/>
  <c r="S291" i="3" s="1"/>
  <c r="A288" i="1"/>
  <c r="A292" i="3" s="1"/>
  <c r="S292" i="3" s="1"/>
  <c r="A289" i="1"/>
  <c r="A293" i="3" s="1"/>
  <c r="S293" i="3" s="1"/>
  <c r="A290" i="1"/>
  <c r="A294" i="3" s="1"/>
  <c r="S294" i="3" s="1"/>
  <c r="A291" i="1"/>
  <c r="A295" i="3" s="1"/>
  <c r="S295" i="3" s="1"/>
  <c r="A292" i="1"/>
  <c r="A296" i="3" s="1"/>
  <c r="S296" i="3" s="1"/>
  <c r="A293" i="1"/>
  <c r="A297" i="3" s="1"/>
  <c r="S297" i="3" s="1"/>
  <c r="A294" i="1"/>
  <c r="A298" i="3" s="1"/>
  <c r="S298" i="3" s="1"/>
  <c r="A295" i="1"/>
  <c r="A299" i="3" s="1"/>
  <c r="S299" i="3" s="1"/>
  <c r="A296" i="1"/>
  <c r="A300" i="3" s="1"/>
  <c r="S300" i="3" s="1"/>
  <c r="A297" i="1"/>
  <c r="A301" i="3" s="1"/>
  <c r="S301" i="3" s="1"/>
  <c r="A298" i="1"/>
  <c r="A302" i="3" s="1"/>
  <c r="S302" i="3" s="1"/>
  <c r="A299" i="1"/>
  <c r="A303" i="3" s="1"/>
  <c r="S303" i="3" s="1"/>
  <c r="A300" i="1"/>
  <c r="A304" i="3" s="1"/>
  <c r="S304" i="3" s="1"/>
  <c r="A301" i="1"/>
  <c r="A305" i="3" s="1"/>
  <c r="S305" i="3" s="1"/>
  <c r="A302" i="1"/>
  <c r="A306" i="3" s="1"/>
  <c r="S306" i="3" s="1"/>
  <c r="A303" i="1"/>
  <c r="A307" i="3" s="1"/>
  <c r="S307" i="3" s="1"/>
  <c r="A304" i="1"/>
  <c r="A308" i="3" s="1"/>
  <c r="S308" i="3" s="1"/>
  <c r="A305" i="1"/>
  <c r="A309" i="3" s="1"/>
  <c r="S309" i="3" s="1"/>
  <c r="A306" i="1"/>
  <c r="A310" i="3" s="1"/>
  <c r="S310" i="3" s="1"/>
  <c r="A307" i="1"/>
  <c r="A311" i="3" s="1"/>
  <c r="S311" i="3" s="1"/>
  <c r="A308" i="1"/>
  <c r="A312" i="3" s="1"/>
  <c r="S312" i="3" s="1"/>
  <c r="A309" i="1"/>
  <c r="A313" i="3" s="1"/>
  <c r="S313" i="3" s="1"/>
  <c r="A310" i="1"/>
  <c r="A314" i="3" s="1"/>
  <c r="S314" i="3" s="1"/>
  <c r="A311" i="1"/>
  <c r="A315" i="3" s="1"/>
  <c r="S315" i="3" s="1"/>
  <c r="A312" i="1"/>
  <c r="A316" i="3" s="1"/>
  <c r="S316" i="3" s="1"/>
  <c r="A313" i="1"/>
  <c r="A317" i="3" s="1"/>
  <c r="S317" i="3" s="1"/>
  <c r="A314" i="1"/>
  <c r="A318" i="3" s="1"/>
  <c r="S318" i="3" s="1"/>
  <c r="A315" i="1"/>
  <c r="A319" i="3" s="1"/>
  <c r="S319" i="3" s="1"/>
  <c r="A316" i="1"/>
  <c r="A320" i="3" s="1"/>
  <c r="S320" i="3" s="1"/>
  <c r="A317" i="1"/>
  <c r="A321" i="3" s="1"/>
  <c r="S321" i="3" s="1"/>
  <c r="A318" i="1"/>
  <c r="A322" i="3" s="1"/>
  <c r="S322" i="3" s="1"/>
  <c r="A319" i="1"/>
  <c r="A323" i="3" s="1"/>
  <c r="S323" i="3" s="1"/>
  <c r="A320" i="1"/>
  <c r="A324" i="3" s="1"/>
  <c r="S324" i="3" s="1"/>
  <c r="A321" i="1"/>
  <c r="A325" i="3" s="1"/>
  <c r="S325" i="3" s="1"/>
  <c r="A325" i="1"/>
  <c r="A329" i="3" s="1"/>
  <c r="S329" i="3" s="1"/>
  <c r="A326" i="1"/>
  <c r="A330" i="3" s="1"/>
  <c r="S330" i="3" s="1"/>
  <c r="A327" i="1"/>
  <c r="A331" i="3" s="1"/>
  <c r="S331" i="3" s="1"/>
  <c r="A328" i="1"/>
  <c r="A332" i="3" s="1"/>
  <c r="S332" i="3" s="1"/>
  <c r="A329" i="1"/>
  <c r="A333" i="3" s="1"/>
  <c r="S333" i="3" s="1"/>
  <c r="A330" i="1"/>
  <c r="A334" i="3" s="1"/>
  <c r="S334" i="3" s="1"/>
  <c r="A331" i="1"/>
  <c r="A335" i="3" s="1"/>
  <c r="S335" i="3" s="1"/>
  <c r="A332" i="1"/>
  <c r="A336" i="3" s="1"/>
  <c r="S336" i="3" s="1"/>
  <c r="A333" i="1"/>
  <c r="A337" i="3" s="1"/>
  <c r="S337" i="3" s="1"/>
  <c r="A334" i="1"/>
  <c r="A338" i="3" s="1"/>
  <c r="S338" i="3" s="1"/>
  <c r="A335" i="1"/>
  <c r="A339" i="3" s="1"/>
  <c r="S339" i="3" s="1"/>
  <c r="A336" i="1"/>
  <c r="A340" i="3" s="1"/>
  <c r="S340" i="3" s="1"/>
  <c r="A337" i="1"/>
  <c r="A341" i="3" s="1"/>
  <c r="S341" i="3" s="1"/>
  <c r="A338" i="1"/>
  <c r="A342" i="3" s="1"/>
  <c r="S342" i="3" s="1"/>
  <c r="A339" i="1"/>
  <c r="A343" i="3" s="1"/>
  <c r="S343" i="3" s="1"/>
  <c r="A340" i="1"/>
  <c r="A344" i="3" s="1"/>
  <c r="S344" i="3" s="1"/>
  <c r="A341" i="1"/>
  <c r="A345" i="3" s="1"/>
  <c r="S345" i="3" s="1"/>
  <c r="A342" i="1"/>
  <c r="A346" i="3" s="1"/>
  <c r="S346" i="3" s="1"/>
  <c r="A343" i="1"/>
  <c r="A347" i="3" s="1"/>
  <c r="S347" i="3" s="1"/>
  <c r="A344" i="1"/>
  <c r="A348" i="3" s="1"/>
  <c r="S348" i="3" s="1"/>
  <c r="A345" i="1"/>
  <c r="A349" i="3" s="1"/>
  <c r="S349" i="3" s="1"/>
  <c r="A346" i="1"/>
  <c r="A350" i="3" s="1"/>
  <c r="S350" i="3" s="1"/>
  <c r="A347" i="1"/>
  <c r="A351" i="3" s="1"/>
  <c r="S351" i="3" s="1"/>
  <c r="A348" i="1"/>
  <c r="A352" i="3" s="1"/>
  <c r="S352" i="3" s="1"/>
  <c r="A349" i="1"/>
  <c r="A353" i="3" s="1"/>
  <c r="S353" i="3" s="1"/>
  <c r="A350" i="1"/>
  <c r="A354" i="3" s="1"/>
  <c r="S354" i="3" s="1"/>
  <c r="A351" i="1"/>
  <c r="A355" i="3" s="1"/>
  <c r="S355" i="3" s="1"/>
  <c r="A352" i="1"/>
  <c r="A356" i="3" s="1"/>
  <c r="S356" i="3" s="1"/>
  <c r="A353" i="1"/>
  <c r="A357" i="3" s="1"/>
  <c r="S357" i="3" s="1"/>
  <c r="A354" i="1"/>
  <c r="A358" i="3" s="1"/>
  <c r="S358" i="3" s="1"/>
  <c r="A355" i="1"/>
  <c r="A359" i="3" s="1"/>
  <c r="S359" i="3" s="1"/>
  <c r="A356" i="1"/>
  <c r="A360" i="3" s="1"/>
  <c r="S360" i="3" s="1"/>
  <c r="A357" i="1"/>
  <c r="A361" i="3" s="1"/>
  <c r="S361" i="3" s="1"/>
  <c r="A358" i="1"/>
  <c r="A362" i="3" s="1"/>
  <c r="S362" i="3" s="1"/>
  <c r="A359" i="1"/>
  <c r="A363" i="3" s="1"/>
  <c r="S363" i="3" s="1"/>
  <c r="A360" i="1"/>
  <c r="A364" i="3" s="1"/>
  <c r="S364" i="3" s="1"/>
  <c r="A361" i="1"/>
  <c r="A365" i="3" s="1"/>
  <c r="S365" i="3" s="1"/>
  <c r="A362" i="1"/>
  <c r="A366" i="3" s="1"/>
  <c r="S366" i="3" s="1"/>
  <c r="A363" i="1"/>
  <c r="A367" i="3" s="1"/>
  <c r="S367" i="3" s="1"/>
  <c r="A364" i="1"/>
  <c r="A368" i="3" s="1"/>
  <c r="S368" i="3" s="1"/>
  <c r="A365" i="1"/>
  <c r="A369" i="3" s="1"/>
  <c r="S369" i="3" s="1"/>
  <c r="A366" i="1"/>
  <c r="A370" i="3" s="1"/>
  <c r="S370" i="3" s="1"/>
  <c r="A367" i="1"/>
  <c r="A371" i="3" s="1"/>
  <c r="S371" i="3" s="1"/>
  <c r="A368" i="1"/>
  <c r="A372" i="3" s="1"/>
  <c r="S372" i="3" s="1"/>
  <c r="A369" i="1"/>
  <c r="A373" i="3" s="1"/>
  <c r="S373" i="3" s="1"/>
  <c r="A370" i="1"/>
  <c r="A374" i="3" s="1"/>
  <c r="S374" i="3" s="1"/>
  <c r="A371" i="1"/>
  <c r="A375" i="3" s="1"/>
  <c r="S375" i="3" s="1"/>
  <c r="A372" i="1"/>
  <c r="A376" i="3" s="1"/>
  <c r="S376" i="3" s="1"/>
  <c r="A373" i="1"/>
  <c r="A377" i="3" s="1"/>
  <c r="S377" i="3" s="1"/>
  <c r="A374" i="1"/>
  <c r="A378" i="3" s="1"/>
  <c r="S378" i="3" s="1"/>
  <c r="A378" i="1"/>
  <c r="A382" i="3" s="1"/>
  <c r="S382" i="3" s="1"/>
  <c r="A379" i="1"/>
  <c r="A383" i="3" s="1"/>
  <c r="S383" i="3" s="1"/>
  <c r="A380" i="1"/>
  <c r="A384" i="3" s="1"/>
  <c r="S384" i="3" s="1"/>
  <c r="A381" i="1"/>
  <c r="A385" i="3" s="1"/>
  <c r="S385" i="3" s="1"/>
  <c r="A382" i="1"/>
  <c r="A386" i="3" s="1"/>
  <c r="S386" i="3" s="1"/>
  <c r="A383" i="1"/>
  <c r="A387" i="3" s="1"/>
  <c r="S387" i="3" s="1"/>
  <c r="A384" i="1"/>
  <c r="A388" i="3" s="1"/>
  <c r="S388" i="3" s="1"/>
  <c r="A385" i="1"/>
  <c r="A389" i="3" s="1"/>
  <c r="S389" i="3" s="1"/>
  <c r="A386" i="1"/>
  <c r="A390" i="3" s="1"/>
  <c r="S390" i="3" s="1"/>
  <c r="A387" i="1"/>
  <c r="A391" i="3" s="1"/>
  <c r="S391" i="3" s="1"/>
  <c r="A389" i="1"/>
  <c r="A393" i="3" s="1"/>
  <c r="S393" i="3" s="1"/>
  <c r="A390" i="1"/>
  <c r="A394" i="3" s="1"/>
  <c r="S394" i="3" s="1"/>
  <c r="A391" i="1"/>
  <c r="A395" i="3" s="1"/>
  <c r="S395" i="3" s="1"/>
  <c r="A392" i="1"/>
  <c r="A396" i="3" s="1"/>
  <c r="S396" i="3" s="1"/>
  <c r="A393" i="1"/>
  <c r="A397" i="3" s="1"/>
  <c r="S397" i="3" s="1"/>
  <c r="A394" i="1"/>
  <c r="A398" i="3" s="1"/>
  <c r="S398" i="3" s="1"/>
  <c r="A395" i="1"/>
  <c r="A399" i="3" s="1"/>
  <c r="S399" i="3" s="1"/>
  <c r="A396" i="1"/>
  <c r="A400" i="3" s="1"/>
  <c r="S400" i="3" s="1"/>
  <c r="A397" i="1"/>
  <c r="A401" i="3" s="1"/>
  <c r="S401" i="3" s="1"/>
  <c r="A398" i="1"/>
  <c r="A402" i="3" s="1"/>
  <c r="S402" i="3" s="1"/>
  <c r="A399" i="1"/>
  <c r="A403" i="3" s="1"/>
  <c r="S403" i="3" s="1"/>
  <c r="A400" i="1"/>
  <c r="A404" i="3" s="1"/>
  <c r="S404" i="3" s="1"/>
  <c r="A401" i="1"/>
  <c r="A405" i="3" s="1"/>
  <c r="S405" i="3" s="1"/>
  <c r="A402" i="1"/>
  <c r="A406" i="3" s="1"/>
  <c r="S406" i="3" s="1"/>
  <c r="A403" i="1"/>
  <c r="A407" i="3" s="1"/>
  <c r="S407" i="3" s="1"/>
  <c r="A404" i="1"/>
  <c r="A408" i="3" s="1"/>
  <c r="S408" i="3" s="1"/>
  <c r="A405" i="1"/>
  <c r="A409" i="3" s="1"/>
  <c r="S409" i="3" s="1"/>
  <c r="A406" i="1"/>
  <c r="A410" i="3" s="1"/>
  <c r="S410" i="3" s="1"/>
  <c r="A407" i="1"/>
  <c r="A411" i="3" s="1"/>
  <c r="S411" i="3" s="1"/>
  <c r="A408" i="1"/>
  <c r="A412" i="3" s="1"/>
  <c r="S412" i="3" s="1"/>
  <c r="A409" i="1"/>
  <c r="A413" i="3" s="1"/>
  <c r="S413" i="3" s="1"/>
  <c r="A410" i="1"/>
  <c r="A414" i="3" s="1"/>
  <c r="S414" i="3" s="1"/>
  <c r="A411" i="1"/>
  <c r="A415" i="3" s="1"/>
  <c r="S415" i="3" s="1"/>
  <c r="A412" i="1"/>
  <c r="A416" i="3" s="1"/>
  <c r="S416" i="3" s="1"/>
  <c r="A413" i="1"/>
  <c r="A417" i="3" s="1"/>
  <c r="S417" i="3" s="1"/>
  <c r="A414" i="1"/>
  <c r="A418" i="3" s="1"/>
  <c r="S418" i="3" s="1"/>
  <c r="A415" i="1"/>
  <c r="A419" i="3" s="1"/>
  <c r="S419" i="3" s="1"/>
  <c r="A416" i="1"/>
  <c r="A420" i="3" s="1"/>
  <c r="S420" i="3" s="1"/>
  <c r="A417" i="1"/>
  <c r="A421" i="3" s="1"/>
  <c r="S421" i="3" s="1"/>
  <c r="A418" i="1"/>
  <c r="A422" i="3" s="1"/>
  <c r="S422" i="3" s="1"/>
  <c r="A419" i="1"/>
  <c r="A423" i="3" s="1"/>
  <c r="S423" i="3" s="1"/>
  <c r="A420" i="1"/>
  <c r="A424" i="3" s="1"/>
  <c r="S424" i="3" s="1"/>
  <c r="A421" i="1"/>
  <c r="A425" i="3" s="1"/>
  <c r="S425" i="3" s="1"/>
  <c r="A422" i="1"/>
  <c r="A426" i="3" s="1"/>
  <c r="S426" i="3" s="1"/>
  <c r="A423" i="1"/>
  <c r="A427" i="3" s="1"/>
  <c r="S427" i="3" s="1"/>
  <c r="A424" i="1"/>
  <c r="A428" i="3" s="1"/>
  <c r="S428" i="3" s="1"/>
  <c r="A425" i="1"/>
  <c r="A429" i="3" s="1"/>
  <c r="S429" i="3" s="1"/>
  <c r="A426" i="1"/>
  <c r="A430" i="3" s="1"/>
  <c r="S430" i="3" s="1"/>
  <c r="A427" i="1"/>
  <c r="A431" i="3" s="1"/>
  <c r="S431" i="3" s="1"/>
  <c r="A428" i="1"/>
  <c r="A432" i="3" s="1"/>
  <c r="S432" i="3" s="1"/>
  <c r="A429" i="1"/>
  <c r="A433" i="3" s="1"/>
  <c r="S433" i="3" s="1"/>
  <c r="A430" i="1"/>
  <c r="A434" i="3" s="1"/>
  <c r="S434" i="3" s="1"/>
  <c r="A431" i="1"/>
  <c r="A435" i="3" s="1"/>
  <c r="S435" i="3" s="1"/>
  <c r="A432" i="1"/>
  <c r="A436" i="3" s="1"/>
  <c r="S436" i="3" s="1"/>
  <c r="A433" i="1"/>
  <c r="A437" i="3" s="1"/>
  <c r="S437" i="3" s="1"/>
  <c r="A434" i="1"/>
  <c r="A438" i="3" s="1"/>
  <c r="S438" i="3" s="1"/>
  <c r="A435" i="1"/>
  <c r="A439" i="3" s="1"/>
  <c r="S439" i="3" s="1"/>
  <c r="A436" i="1"/>
  <c r="A440" i="3" s="1"/>
  <c r="S440" i="3" s="1"/>
  <c r="A437" i="1"/>
  <c r="A441" i="3" s="1"/>
  <c r="S441" i="3" s="1"/>
  <c r="A438" i="1"/>
  <c r="A442" i="3" s="1"/>
  <c r="S442" i="3" s="1"/>
  <c r="A439" i="1"/>
  <c r="A443" i="3" s="1"/>
  <c r="S443" i="3" s="1"/>
  <c r="A440" i="1"/>
  <c r="A444" i="3" s="1"/>
  <c r="S444" i="3" s="1"/>
  <c r="A441" i="1"/>
  <c r="A445" i="3" s="1"/>
  <c r="S445" i="3" s="1"/>
  <c r="A442" i="1"/>
  <c r="A446" i="3" s="1"/>
  <c r="S446" i="3" s="1"/>
  <c r="A443" i="1"/>
  <c r="A447" i="3" s="1"/>
  <c r="S447" i="3" s="1"/>
  <c r="A444" i="1"/>
  <c r="A448" i="3" s="1"/>
  <c r="S448" i="3" s="1"/>
  <c r="A445" i="1"/>
  <c r="A449" i="3" s="1"/>
  <c r="S449" i="3" s="1"/>
  <c r="A446" i="1"/>
  <c r="A450" i="3" s="1"/>
  <c r="S450" i="3" s="1"/>
  <c r="A447" i="1"/>
  <c r="A451" i="3" s="1"/>
  <c r="S451" i="3" s="1"/>
  <c r="A448" i="1"/>
  <c r="A452" i="3" s="1"/>
  <c r="S452" i="3" s="1"/>
  <c r="A449" i="1"/>
  <c r="A453" i="3" s="1"/>
  <c r="S453" i="3" s="1"/>
  <c r="A450" i="1"/>
  <c r="A454" i="3" s="1"/>
  <c r="S454" i="3" s="1"/>
  <c r="A451" i="1"/>
  <c r="A455" i="3" s="1"/>
  <c r="S455" i="3" s="1"/>
  <c r="A452" i="1"/>
  <c r="A456" i="3" s="1"/>
  <c r="S456" i="3" s="1"/>
  <c r="A453" i="1"/>
  <c r="A457" i="3" s="1"/>
  <c r="S457" i="3" s="1"/>
  <c r="A454" i="1"/>
  <c r="A458" i="3" s="1"/>
  <c r="S458" i="3" s="1"/>
  <c r="A455" i="1"/>
  <c r="A459" i="3" s="1"/>
  <c r="S459" i="3" s="1"/>
  <c r="A456" i="1"/>
  <c r="A460" i="3" s="1"/>
  <c r="S460" i="3" s="1"/>
  <c r="A457" i="1"/>
  <c r="A461" i="3" s="1"/>
  <c r="S461" i="3" s="1"/>
  <c r="A458" i="1"/>
  <c r="A462" i="3" s="1"/>
  <c r="S462" i="3" s="1"/>
  <c r="A459" i="1"/>
  <c r="A463" i="3" s="1"/>
  <c r="S463" i="3" s="1"/>
  <c r="A460" i="1"/>
  <c r="A464" i="3" s="1"/>
  <c r="S464" i="3" s="1"/>
  <c r="A461" i="1"/>
  <c r="A465" i="3" s="1"/>
  <c r="S465" i="3" s="1"/>
  <c r="A2" i="1" l="1"/>
  <c r="A6" i="3" s="1"/>
  <c r="S6" i="3" s="1"/>
</calcChain>
</file>

<file path=xl/sharedStrings.xml><?xml version="1.0" encoding="utf-8"?>
<sst xmlns="http://schemas.openxmlformats.org/spreadsheetml/2006/main" count="15924" uniqueCount="3111">
  <si>
    <t>KOLOMNR</t>
  </si>
  <si>
    <t>NAAM_DBASE</t>
  </si>
  <si>
    <t>ALG__GRONDSOORT</t>
  </si>
  <si>
    <t>ALG__VEENCLASSIFICATIE</t>
  </si>
  <si>
    <t>ALG__KORRELVERDELING</t>
  </si>
  <si>
    <t>ALG__SONDEERWAARDE</t>
  </si>
  <si>
    <t>ALG__CRS</t>
  </si>
  <si>
    <t>ALG__SAMENDRUKKING</t>
  </si>
  <si>
    <t>ALG__DSS</t>
  </si>
  <si>
    <t>ALG__TRIAXIAAL</t>
  </si>
  <si>
    <t>ALG__BORING_MONSTERNR_ID</t>
  </si>
  <si>
    <t>ALG_OPDRACHTGEVER</t>
  </si>
  <si>
    <t>ALG_PROJECTNAAM</t>
  </si>
  <si>
    <t>ALG_PROJECTNUMMER</t>
  </si>
  <si>
    <t>ALG_NAAM_POLDER_DIJK</t>
  </si>
  <si>
    <t>ALG_REFERENTIE</t>
  </si>
  <si>
    <t>ALG_REGIO</t>
  </si>
  <si>
    <t>ALG_TYPE_WATERKERING</t>
  </si>
  <si>
    <t>ALG_AANLEGJAAR</t>
  </si>
  <si>
    <t>ALG_BODEMKAART</t>
  </si>
  <si>
    <t>ALG_GEOLOGIE</t>
  </si>
  <si>
    <t>ALG_FILENAAM_GEOT_PROFIEL</t>
  </si>
  <si>
    <t>BORING_XID</t>
  </si>
  <si>
    <t>BORING_YID</t>
  </si>
  <si>
    <t>BORING_MAAIVELDPEIL</t>
  </si>
  <si>
    <t>BORING_NUMMER</t>
  </si>
  <si>
    <t>BORING_POSITIE</t>
  </si>
  <si>
    <t>BORING_DATUM</t>
  </si>
  <si>
    <t>BORING_FILENAAM_PDF</t>
  </si>
  <si>
    <t>BORING_FILENAAM_GEF</t>
  </si>
  <si>
    <t>BORING_BEDRIJF</t>
  </si>
  <si>
    <t>BORING_BOORMEESTER</t>
  </si>
  <si>
    <t>BORING_METHODE</t>
  </si>
  <si>
    <t>BORING_OPNAME_GWS</t>
  </si>
  <si>
    <t>BORING_GLG</t>
  </si>
  <si>
    <t>MONSTER_ID</t>
  </si>
  <si>
    <t>MONSTER_STEEKMETHODE</t>
  </si>
  <si>
    <t>MONSTER_OPSLAGWIJZE</t>
  </si>
  <si>
    <t>MONSTER_NIVEAU_NAP_VANAF</t>
  </si>
  <si>
    <t>MONSTER_NIVEAU_NAP_TOT</t>
  </si>
  <si>
    <t>MONSTER_NIVEAU_MV_VANAF</t>
  </si>
  <si>
    <t>MONSTER_NIVEAU_MV_TOT</t>
  </si>
  <si>
    <t>MONSTER_TOTAAL_VOLUMEGEWICHT</t>
  </si>
  <si>
    <t>CLAS_FILENAAM_PDF</t>
  </si>
  <si>
    <t>CLAS_FILENAAM_DIGITAAL</t>
  </si>
  <si>
    <t>CLAS_MONSTERID</t>
  </si>
  <si>
    <t>CLAS_LABORATORIUM</t>
  </si>
  <si>
    <t>CLAS_NORMEN</t>
  </si>
  <si>
    <t>CLAS_DATUM</t>
  </si>
  <si>
    <t>CLAS_GRONDSOORT</t>
  </si>
  <si>
    <t>CLAS_OVERIGE_BESTANDDELEN</t>
  </si>
  <si>
    <t>CLAS_MONSTERNIVEAU</t>
  </si>
  <si>
    <t>CLAS_VOLUMEGEWICHT_NAT</t>
  </si>
  <si>
    <t>CLAS_VOLUMEGEWICHT_DRG</t>
  </si>
  <si>
    <t>CLAS_WATERGEHALTE</t>
  </si>
  <si>
    <t>CLAS_POROSITEIT</t>
  </si>
  <si>
    <t>CLAS_PORIENGETAL</t>
  </si>
  <si>
    <t>CLAS_VERZADIGINGSGRAAD</t>
  </si>
  <si>
    <t>CLAS_VOLUMEGEWICHT_VERZADIGD</t>
  </si>
  <si>
    <t>CLAS_SPECIFIEKE_MASSA_INSCHATTING</t>
  </si>
  <si>
    <t>CLAS_SPECIFIEKE_MASSA</t>
  </si>
  <si>
    <t>CLAS_GLOEIVERLIES</t>
  </si>
  <si>
    <t>CLAS_KALKGEHALTE</t>
  </si>
  <si>
    <t>CLAS_POCKETPENETRO</t>
  </si>
  <si>
    <t>CLAS_TORVANE</t>
  </si>
  <si>
    <t>CLAS_FALLINGHEAD_K10</t>
  </si>
  <si>
    <t>CLAS_CONSTANTHEAD_K10</t>
  </si>
  <si>
    <t>CLAS_OPMERKING</t>
  </si>
  <si>
    <t>CLAS_AT_VLOEIGRENS_CAS</t>
  </si>
  <si>
    <t>CLAS_AT_UITROLGRENS</t>
  </si>
  <si>
    <t>CLAS_AT_PI</t>
  </si>
  <si>
    <t>CLAS_AT_IC</t>
  </si>
  <si>
    <t>CLAS_VN_FILENAAM_PDF</t>
  </si>
  <si>
    <t>CLAS_VN_FILENAAM_DIGITAAL</t>
  </si>
  <si>
    <t>CLAS_VN_HOOFDNAAM</t>
  </si>
  <si>
    <t>CLAS_VN_BOTANISCH</t>
  </si>
  <si>
    <t>CLAS_VN_VERWERINGSGRAAD</t>
  </si>
  <si>
    <t>CLAS_VN_WATERGEHALTE</t>
  </si>
  <si>
    <t>CLAS_VN_FIJNEVEZELS</t>
  </si>
  <si>
    <t>CLAS_VN_GROVEVEZELS</t>
  </si>
  <si>
    <t>CLAS_VN_HOUT</t>
  </si>
  <si>
    <t>CLAS_VN_GLOEIVERLIES</t>
  </si>
  <si>
    <t>CLAS_VN_ASGEHALTE</t>
  </si>
  <si>
    <t>KV_FILENAAM_PDF</t>
  </si>
  <si>
    <t>KV_FILENAAM_GEF</t>
  </si>
  <si>
    <t>KV_MONSTERID</t>
  </si>
  <si>
    <t>KV_LABORATORIUM</t>
  </si>
  <si>
    <t>KV_NORMEN</t>
  </si>
  <si>
    <t>KV_DATUM</t>
  </si>
  <si>
    <t>KV_GRONDSOORT</t>
  </si>
  <si>
    <t>KV_OVERIGE_BESTANDDELEN</t>
  </si>
  <si>
    <t>KV_MEDIAAN_ZANDFRACTIE</t>
  </si>
  <si>
    <t>KV_MEDIAAN_ALLEFRACTIES</t>
  </si>
  <si>
    <t>KV_GRIND%</t>
  </si>
  <si>
    <t>KV_ZAND%</t>
  </si>
  <si>
    <t>KV_SILT%</t>
  </si>
  <si>
    <t>KV_DOOR_63MM</t>
  </si>
  <si>
    <t>KV_DOOR_31.5MM</t>
  </si>
  <si>
    <t>KV_DOOR_16MM</t>
  </si>
  <si>
    <t>KV_DOOR_8MM</t>
  </si>
  <si>
    <t>KV_DOOR_4MM</t>
  </si>
  <si>
    <t>KV_DOOR_2MM</t>
  </si>
  <si>
    <t>KV_DOOR_1MM</t>
  </si>
  <si>
    <t>KV_DOOR_500MU</t>
  </si>
  <si>
    <t>KV_DOOR_250MU</t>
  </si>
  <si>
    <t>KV_DOOR_180MU</t>
  </si>
  <si>
    <t>KV_DOOR_125MU</t>
  </si>
  <si>
    <t>KV_DOOR_63MU</t>
  </si>
  <si>
    <t>KV_DOOR_32MU</t>
  </si>
  <si>
    <t>KV_DOOR_20MU</t>
  </si>
  <si>
    <t>KV_DOOR_16MU</t>
  </si>
  <si>
    <t>KV_DOOR_2MU</t>
  </si>
  <si>
    <t>KV_D70</t>
  </si>
  <si>
    <t>KV_D60</t>
  </si>
  <si>
    <t>KV_D50</t>
  </si>
  <si>
    <t>KV_D10</t>
  </si>
  <si>
    <t>KV_CU_ZAND</t>
  </si>
  <si>
    <t>CPT_FILENAAM_PDF</t>
  </si>
  <si>
    <t>CPT_FILENAAM_GEF</t>
  </si>
  <si>
    <t>CPT_NIVEAU</t>
  </si>
  <si>
    <t>CPT_TRAJECTLENGTE_GEM</t>
  </si>
  <si>
    <t>CPT_CONUSWEERSTAND_GEM</t>
  </si>
  <si>
    <t>CPT_WRIJVINGSWEERSTAND_GEM</t>
  </si>
  <si>
    <t>CPT_WRIJVINGSGETAL_GEM</t>
  </si>
  <si>
    <t>CPT_WATERSPANNING_GEM</t>
  </si>
  <si>
    <t>CPT_QNET</t>
  </si>
  <si>
    <t>CPT_QT</t>
  </si>
  <si>
    <t>CPT_VO</t>
  </si>
  <si>
    <t>CPT_KLASSE</t>
  </si>
  <si>
    <t>CPT_A_FACTOR</t>
  </si>
  <si>
    <t>CPT_QBALL</t>
  </si>
  <si>
    <t>CRS_FILENAAM_PDF</t>
  </si>
  <si>
    <t>CRS_FILENAAM_SPANNINGSPAD</t>
  </si>
  <si>
    <t>CRS_MONSTERID</t>
  </si>
  <si>
    <t>CRS_LABORATORIUM</t>
  </si>
  <si>
    <t>CRS_NORM</t>
  </si>
  <si>
    <t>CRS_DATUM</t>
  </si>
  <si>
    <t>CRS_GRONDSOORT</t>
  </si>
  <si>
    <t>CRS_OVERIGE_BESTANDDELEN</t>
  </si>
  <si>
    <t>CRS_MONSTERNIVEAU</t>
  </si>
  <si>
    <t>CRS_TERREINSPANNING</t>
  </si>
  <si>
    <t>CRS_VOLUMEGEWICHT_NAT</t>
  </si>
  <si>
    <t>CRS_VOLUMEGEWICHT_DRG</t>
  </si>
  <si>
    <t>CRS_WATERGEHALTE_VOOR</t>
  </si>
  <si>
    <t>CRS_WATERGEHALTE_NA_PROEF</t>
  </si>
  <si>
    <t>CRS_VERZADIGING</t>
  </si>
  <si>
    <t>CRS_TEMPERATUUR_PROEF_MAX</t>
  </si>
  <si>
    <t>CRS_TEMPERATUUR_PROEF_MIN</t>
  </si>
  <si>
    <t>CRS_PROEFSTUKDIAMETER_VOOR</t>
  </si>
  <si>
    <t>CRS_PROEFSTUKHOOGTE_VOOR</t>
  </si>
  <si>
    <t>CRS_PROEFSTUKHOOGTE_NA_VERZADIGING</t>
  </si>
  <si>
    <t>CRS_PROEFSTUKHOOGTE_NA_PROEF</t>
  </si>
  <si>
    <t>CRS_REKSNELHEID_BELASTEN</t>
  </si>
  <si>
    <t>CRS_REKSNELHEID_ONTLASTEN</t>
  </si>
  <si>
    <t>CRS_RELAXATIEDUUR</t>
  </si>
  <si>
    <t>CRS_EFF_SPANNING_START_RELAXATIE</t>
  </si>
  <si>
    <t>CRS_EFF_SPANNING_EIND_RELAXATIE</t>
  </si>
  <si>
    <t>CRS_EFF_VERT_SPANNING_START_ONTLASTEN</t>
  </si>
  <si>
    <t>CRS_EFF_VERT_SPANNING_EIND_ONTLASTEN</t>
  </si>
  <si>
    <t>CRS_EFF_VERT_SPANNING_EIND_PROEF</t>
  </si>
  <si>
    <t>CRS_MAX_REL_WATEROVERSPANNING_PROEF</t>
  </si>
  <si>
    <t>CRS_GRENSSPANNING_A</t>
  </si>
  <si>
    <t>CRS_REK_BIJ_GRENSSPANNING_A</t>
  </si>
  <si>
    <t>CRS_BOVENGRENS_GRENSSPANNING_B</t>
  </si>
  <si>
    <t>CRS_ISOTACHE_A</t>
  </si>
  <si>
    <t>CRS_ISOTACHE_B</t>
  </si>
  <si>
    <t>CRS_ISOTACHE_C</t>
  </si>
  <si>
    <t>SD_FILENAAM_PDF</t>
  </si>
  <si>
    <t>SD_FILENAAM_SPANNINGSPAD</t>
  </si>
  <si>
    <t>SD_MONSTERID</t>
  </si>
  <si>
    <t>SD_LABORATORIUM</t>
  </si>
  <si>
    <t>SD_NORM</t>
  </si>
  <si>
    <t>SD_DATUM</t>
  </si>
  <si>
    <t>SD_GRONDSOORT</t>
  </si>
  <si>
    <t>SD_OVERIGE_BESTANDDELEN</t>
  </si>
  <si>
    <t>SD_MONSTERNIVEAU</t>
  </si>
  <si>
    <t>SD_TERREINSPANNING</t>
  </si>
  <si>
    <t>SD_VOLUMEGEWICHT_NAT</t>
  </si>
  <si>
    <t>SD_VOLUMEGEWICHT_DR</t>
  </si>
  <si>
    <t>SD_WATERGEHALTE_INI</t>
  </si>
  <si>
    <t>SD_WATERGEHALTE_NA_PROEF</t>
  </si>
  <si>
    <t>SD_PORIENGETAL</t>
  </si>
  <si>
    <t>SD_MAX_TEMPERATUUR_PROEF</t>
  </si>
  <si>
    <t>SD_MIN_TEMPERATUUR_PROEF</t>
  </si>
  <si>
    <t>SD_BELAST_ONTLASTSTAPPEN</t>
  </si>
  <si>
    <t>SD_TYPEPROEF</t>
  </si>
  <si>
    <t>SD_BJERRUM_GRENSSPANNING</t>
  </si>
  <si>
    <t>SD_BJERRUM_REK_BIJ_GRENSSPANNING</t>
  </si>
  <si>
    <t>SD_BJERRUM_CC</t>
  </si>
  <si>
    <t>SD_BJERRUM_CC_TRAP1_2</t>
  </si>
  <si>
    <t>SD_BJERRUM_CC_TRAP2_3</t>
  </si>
  <si>
    <t>SD_BJERRUM_CC_TRAP3_4</t>
  </si>
  <si>
    <t>SD_BJERRUM_CC_TRAP4_5</t>
  </si>
  <si>
    <t>SD_BJERRUM_CC_TRAP5_6</t>
  </si>
  <si>
    <t>SD_BJERRUM_CC_TRAP6_7</t>
  </si>
  <si>
    <t>SD_BJERRUM_CC_TRAP7_8</t>
  </si>
  <si>
    <t>SD_BJERRUM_CC_TRAP8_9</t>
  </si>
  <si>
    <t>SD_BJERRUM_CC_TRAP9_10</t>
  </si>
  <si>
    <t>SD_BJERRUM_CR</t>
  </si>
  <si>
    <t>SD_BJERRUM_CR_TRAP1_2</t>
  </si>
  <si>
    <t>SD_BJERRUM_CR_TRAP2_3</t>
  </si>
  <si>
    <t>SD_BJERRUM_CR_TRAP3_4</t>
  </si>
  <si>
    <t>SD_BJERRUM_CR_TRAP4_5</t>
  </si>
  <si>
    <t>SD_BJERRUM_CR_TRAP5_6</t>
  </si>
  <si>
    <t>SD_BJERRUM_CR_TRAP6_7</t>
  </si>
  <si>
    <t>SD_BJERRUM_CR_TRAP7_8</t>
  </si>
  <si>
    <t>SD_BJERRUM_SR_TRAP8_9</t>
  </si>
  <si>
    <t>SD_BJERRUM_RR_TRAP9_10</t>
  </si>
  <si>
    <t>SD_BJERRUM_CALPHA</t>
  </si>
  <si>
    <t>SD_BJERRUM_CALPHA_TRAP1</t>
  </si>
  <si>
    <t>SD_BJERRUM_CALPHA_TRAP2</t>
  </si>
  <si>
    <t>SD_BJERRUM_CALPHA_TRAP3</t>
  </si>
  <si>
    <t>SD_BJERRUM_CALPHA_TRAP4</t>
  </si>
  <si>
    <t>SD_BJERRUM_CALPHA_TRAP5</t>
  </si>
  <si>
    <t>SD_BJERRUM_CALPHA_TRAP6</t>
  </si>
  <si>
    <t>SD_BJERRUM_CALPHA_TRAP7</t>
  </si>
  <si>
    <t>SD_BJERRUM_CALPHA_TRAP8</t>
  </si>
  <si>
    <t>SD_BJERRUM_CALPHA_TRAP9</t>
  </si>
  <si>
    <t>SD_BJERRUM_CALPHA_TRAP10</t>
  </si>
  <si>
    <t>SD_BJERRUM_V0</t>
  </si>
  <si>
    <t>SD_KOPPEJAN_GRENSSPANNING</t>
  </si>
  <si>
    <t>SD_KOPPEJAN_REK_BIJ_GRENSSPANNING</t>
  </si>
  <si>
    <t>SD_KOPPEJAN_C</t>
  </si>
  <si>
    <t>SD_KOPPEJAN_C'</t>
  </si>
  <si>
    <t>SD_KOPPEJAN_C_TRAP2_3</t>
  </si>
  <si>
    <t>SD_KOPPEJAN_C_TRAP3_4</t>
  </si>
  <si>
    <t>SD_KOPPEJAN_C_TRAP4_5</t>
  </si>
  <si>
    <t>SD_KOPPEJAN_C_TRAP5_6</t>
  </si>
  <si>
    <t>SD_KOPPEJAN_C_TRAP6_7</t>
  </si>
  <si>
    <t>SD_KOPPEJAN_C_TRAP7_8</t>
  </si>
  <si>
    <t>SD_KOPPEJAN_C_TRAP8_9</t>
  </si>
  <si>
    <t>SD_KOPPEJAN_CP</t>
  </si>
  <si>
    <t>SD_KOPPEJAN_C'P</t>
  </si>
  <si>
    <t>SD_KOPPEJAN_CP_TRAP2_3</t>
  </si>
  <si>
    <t>SD_KOPPEJAN_CP_TRAP3_4</t>
  </si>
  <si>
    <t>SD_KOPPEJAN_CP_TRAP4_5</t>
  </si>
  <si>
    <t>SD_KOPPEJAN_CP_TRAP5_6</t>
  </si>
  <si>
    <t>SD_KOPPEJAN_CP_TRAP6_7</t>
  </si>
  <si>
    <t>SD_KOPPEJAN_CP_TRAP7_8</t>
  </si>
  <si>
    <t>SD_KOPPEJAN_CP_TRAP8_9</t>
  </si>
  <si>
    <t>SD_KOPPEJAN_CS</t>
  </si>
  <si>
    <t>SD_KOPPEJAN_C'S</t>
  </si>
  <si>
    <t>SD_KOPPEJAN_CS_TRAP2_3</t>
  </si>
  <si>
    <t>SD_KOPPEJAN_CS_TRAP3_4</t>
  </si>
  <si>
    <t>SD_KOPPEJAN_CS_TRAP4_5</t>
  </si>
  <si>
    <t>SD_KOPPEJAN_CS_TRAP5_6</t>
  </si>
  <si>
    <t>SD_KOPPEJAN_CS_TRAP6_7</t>
  </si>
  <si>
    <t>SD_KOPPEJAN_CS_TRAP7_8</t>
  </si>
  <si>
    <t>SD_KOPPEJAN_CS_TRAP8_9</t>
  </si>
  <si>
    <t>SD_ISOTACHE_A</t>
  </si>
  <si>
    <t>SD_ISOTACHE_B</t>
  </si>
  <si>
    <t>SD_ISOTACHE_C</t>
  </si>
  <si>
    <t>SD_ISOTACHE_GRENSSPANNING_A</t>
  </si>
  <si>
    <t>SD_ISOTACHE_REK_BIJ_GRENSSPANNING_A</t>
  </si>
  <si>
    <t>SD_ISOTACHE_BOVENGRENS_GRENSSPANNING_B</t>
  </si>
  <si>
    <t>SD_CASAGRANDE_CV10_TRAP2</t>
  </si>
  <si>
    <t>SD_CASAGRANDE_CV10_TRAP3</t>
  </si>
  <si>
    <t>SD_CASAGRANDE_CV10_TRAP4</t>
  </si>
  <si>
    <t>SD_CASAGRANDE_CV10_TRAP5</t>
  </si>
  <si>
    <t>SD_CASAGRANDE_CV10_TRAP6</t>
  </si>
  <si>
    <t>SD_CASAGRANDE_CV10_TRAP7</t>
  </si>
  <si>
    <t>SD_CASAGRANDE_CV10_TRAP8</t>
  </si>
  <si>
    <t>SD_CASAGRANDE_CV10_TRAP9</t>
  </si>
  <si>
    <t>SD_CASAGRANDE_K10_TRAP2</t>
  </si>
  <si>
    <t>SD_CASAGRANDE_K10_TRAP3</t>
  </si>
  <si>
    <t>SD_CASAGRANDE_K10_TRAP4</t>
  </si>
  <si>
    <t>SD_CASAGRANDE_K10_TRAP5</t>
  </si>
  <si>
    <t>SD_CASAGRANDE_K10_TRAP6</t>
  </si>
  <si>
    <t>SD_CASAGRANDE_K10_TRAP7</t>
  </si>
  <si>
    <t>SD_CASAGRANDE_K10_TRAP8</t>
  </si>
  <si>
    <t>SD_CASAGRANDE_K10_TRAP9</t>
  </si>
  <si>
    <t>SD_CASAGRANDE_MV_TRAP2</t>
  </si>
  <si>
    <t>SD_CASAGRANDE_MV_TRAP3</t>
  </si>
  <si>
    <t>SD_CASAGRANDE_MV_TRAP4</t>
  </si>
  <si>
    <t>SD_CASAGRANDE_MV_TRAP5</t>
  </si>
  <si>
    <t>SD_CASAGRANDE_MV_TRAP6</t>
  </si>
  <si>
    <t>SD_CASAGRANDE_MV_TRAP7</t>
  </si>
  <si>
    <t>SD_CASAGRANDE_MV_TRAP8</t>
  </si>
  <si>
    <t>SD_CASAGRANDE_MV_TRAP9</t>
  </si>
  <si>
    <t>SD_CASAGRANDE_SPANNING_CV10_TRAP2</t>
  </si>
  <si>
    <t>SD_CASAGRANDE_SPANNING_CV10_TRAP3</t>
  </si>
  <si>
    <t>SD_CASAGRANDE_SPANNING_CV10_TRAP4</t>
  </si>
  <si>
    <t>SD_CASAGRANDE_SPANNING_CV10_TRAP5</t>
  </si>
  <si>
    <t>SD_CASAGRANDE_SPANNING_CV10_TRAP6</t>
  </si>
  <si>
    <t>SD_CASAGRANDE_SPANNING_CV10_TRAP7</t>
  </si>
  <si>
    <t>SD_CASAGRANDE_SPANNING_CV10_TRAP8</t>
  </si>
  <si>
    <t>SD_CASAGRANDE_SPANNING_CV10_TRAP9</t>
  </si>
  <si>
    <t>SD_TAYLOR_CV10_TRAP2</t>
  </si>
  <si>
    <t>SD_TAYLOR_CV10_TRAP3</t>
  </si>
  <si>
    <t>SD_TAYLOR_CV10_TRAP4</t>
  </si>
  <si>
    <t>SD_TAYLOR_CV10_TRAP5</t>
  </si>
  <si>
    <t>SD_TAYLOR_CV10_TRAP6</t>
  </si>
  <si>
    <t>SD_TAYLOR_CV10_TRAP7</t>
  </si>
  <si>
    <t>SD_TAYLOR_CV10_TRAP8</t>
  </si>
  <si>
    <t>SD_TAYLOR_CV10_TRAP9</t>
  </si>
  <si>
    <t>SD_TAYLOR_K10_TRAP2</t>
  </si>
  <si>
    <t>SD_TAYLOR_K10_TRAP3</t>
  </si>
  <si>
    <t>SD_TAYLOR_K10_TRAP4</t>
  </si>
  <si>
    <t>SD_TAYLOR_K10_TRAP5</t>
  </si>
  <si>
    <t>SD_TAYLOR_K10_TRAP6</t>
  </si>
  <si>
    <t>SD_TAYLOR_K10_TRAP7</t>
  </si>
  <si>
    <t>SD_TAYLOR_K10_TRAP8</t>
  </si>
  <si>
    <t>SD_TAYLOR_K10_TRAP9</t>
  </si>
  <si>
    <t>SD_TAYLOR_MV_TRAP2</t>
  </si>
  <si>
    <t>SD_TAYLOR_MV_TRAP3</t>
  </si>
  <si>
    <t>SD_TAYLOR_MV_TRAP4</t>
  </si>
  <si>
    <t>SD_TAYLOR_MV_TRAP5</t>
  </si>
  <si>
    <t>SD_TAYLOR_MV_TRAP6</t>
  </si>
  <si>
    <t>SD_TAYLOR_MV_TRAP7</t>
  </si>
  <si>
    <t>SD_TAYLOR_MV_TRAP8</t>
  </si>
  <si>
    <t>SD_TAYLOR_MV_TRAP9</t>
  </si>
  <si>
    <t>SD_TAYLOR_SPANNING_CV10_TRAP2</t>
  </si>
  <si>
    <t>SD_TAYLOR_SPANNING_CV10_TRAP3</t>
  </si>
  <si>
    <t>SD_TAYLOR_SPANNING_CV10_TRAP4</t>
  </si>
  <si>
    <t>SD_TAYLOR_SPANNING_CV10_TRAP5</t>
  </si>
  <si>
    <t>SD_TAYLOR_SPANNING_CV10_TRAP6</t>
  </si>
  <si>
    <t>SD_TAYLOR_SPANNING_CV10_TRAP7</t>
  </si>
  <si>
    <t>SD_TAYLOR_SPANNING_CV10_TRAP8</t>
  </si>
  <si>
    <t>SD_TAYLOR_SPANNING_CV10_TRAP9</t>
  </si>
  <si>
    <t>DSS_FILENAAM_PDF</t>
  </si>
  <si>
    <t>DSS_FILENAAM_SPANNINGSPAD</t>
  </si>
  <si>
    <t>DSS_MONSTERID</t>
  </si>
  <si>
    <t>DSS_LABORATORIUM</t>
  </si>
  <si>
    <t>DSS_NORM</t>
  </si>
  <si>
    <t>DSS_DATUM</t>
  </si>
  <si>
    <t>DSS_GRONDSOORT</t>
  </si>
  <si>
    <t>DSS_OVERIGE_BESTANDDELEN</t>
  </si>
  <si>
    <t>DSS_MONSTERNIVEAU</t>
  </si>
  <si>
    <t>DSS_TERREINSPANNING</t>
  </si>
  <si>
    <t>DSS_VOLUMEGEWICHT_NAT</t>
  </si>
  <si>
    <t>DSS_VOLUMEGEWICHT_DRG</t>
  </si>
  <si>
    <t>DSS_WATERGEHALTE_VOOR</t>
  </si>
  <si>
    <t>DSS_WATERGEHALTE_NA_PROEF</t>
  </si>
  <si>
    <t>DSS_VERZADIGINGGRAAD_VOOR</t>
  </si>
  <si>
    <t>DSS_PORIENGETAL_VOOR</t>
  </si>
  <si>
    <t>DSS_PORIENGETAL_EINDE_CONSOLIDATIE</t>
  </si>
  <si>
    <t>DSS_SPECIFIEKE_MASSA</t>
  </si>
  <si>
    <t>DSS_TEMPERATUUR_PROEF_MAX</t>
  </si>
  <si>
    <t>DSS_TEMPERATUUR_PROEF_MIN</t>
  </si>
  <si>
    <t>DSS_PROEFSTUKDIAMETER_VOOR</t>
  </si>
  <si>
    <t>DSS_PROEFSTUKHOOGTE_VOOR</t>
  </si>
  <si>
    <t>DSS_PROEFSTUKHOOGTE_NA_CONSOLIDATIE</t>
  </si>
  <si>
    <t>DSS_UITGEVOERDE_CORRECTIES</t>
  </si>
  <si>
    <t>DSS_UITVOERINGSWIJZE</t>
  </si>
  <si>
    <t>DSS_MAX_EFF_VERT_SPANNING_CONSOLIDATIE</t>
  </si>
  <si>
    <t>DSS_EFF_VERT_SPANNING_EINDE_CONSOLIDATIE</t>
  </si>
  <si>
    <t>DSS_OCR</t>
  </si>
  <si>
    <t>DSS_AXIALEREK_EINDE_CONSOLIDATIE</t>
  </si>
  <si>
    <t>DSS_BELASTINGSSTAPPEN_CONSOLIDATIE</t>
  </si>
  <si>
    <t>DSS_DUUR_CONSOLIDATIE</t>
  </si>
  <si>
    <t>DSS_AFSCHUIFSNELHEID_%UUR</t>
  </si>
  <si>
    <t>DSS_AFSCHUIFSNELHEID_MMUUR</t>
  </si>
  <si>
    <t>DSS_S_2%</t>
  </si>
  <si>
    <t>DSS_T_2%</t>
  </si>
  <si>
    <t>DSS_S_5%</t>
  </si>
  <si>
    <t>DSS_T_5%</t>
  </si>
  <si>
    <t>DSS_S_10%</t>
  </si>
  <si>
    <t>DSS_T_10%</t>
  </si>
  <si>
    <t>DSS_S_15%</t>
  </si>
  <si>
    <t>DSS_T_15%</t>
  </si>
  <si>
    <t>DSS_S_20%</t>
  </si>
  <si>
    <t>DSS_T_20%</t>
  </si>
  <si>
    <t>DSS_S_BIJ_T_MAX</t>
  </si>
  <si>
    <t>DSS_T_MAX</t>
  </si>
  <si>
    <t>DSS_REK_BIJ_T_MAX</t>
  </si>
  <si>
    <t>DSS_S_BIJ_T_EIND</t>
  </si>
  <si>
    <t>DSS_T_EIND</t>
  </si>
  <si>
    <t>DSS_REK_BIJ_T_EIND</t>
  </si>
  <si>
    <t>DSS_S_BIJ_MAX_S1S3</t>
  </si>
  <si>
    <t>DSS_T_BIJ_MAX_S1S3</t>
  </si>
  <si>
    <t>DSS_REK_BIJ_MAX_S1S3</t>
  </si>
  <si>
    <t>DSS_SCHUIFMODULUS_G50</t>
  </si>
  <si>
    <t>TXT_SS_FILENAAM_PDF</t>
  </si>
  <si>
    <t>TXT_SS_FILENAAM_SPANNINGSPAD</t>
  </si>
  <si>
    <t>TXT_SS_MONSTERID</t>
  </si>
  <si>
    <t>TXT_SS_LABORATORIUM</t>
  </si>
  <si>
    <t>TXT_SS_NORM</t>
  </si>
  <si>
    <t>TXT_SS_DATUM</t>
  </si>
  <si>
    <t>TXT_SS_GRONDSOORT</t>
  </si>
  <si>
    <t>TXT_SS_OVERIGE_BESTANDDELEN</t>
  </si>
  <si>
    <t>TXT_SS_MONSTERNIVEAU</t>
  </si>
  <si>
    <t>TXT_SS_TERREINSPANNING</t>
  </si>
  <si>
    <t>TXT_SS_VOLUMEGEWICHT_NAT</t>
  </si>
  <si>
    <t>TXT_SS_VOLUMEGEWICHT_DRG</t>
  </si>
  <si>
    <t>TXT_SS_WATERGEHALTE_NA_PROEF</t>
  </si>
  <si>
    <t>TXT_SS_WATERGEHALTE_VOOR</t>
  </si>
  <si>
    <t>TXT_SS_VERZADIGINGSGRAAD_VOOR</t>
  </si>
  <si>
    <t>TXT_SS_PORIENGETAL_VOOR</t>
  </si>
  <si>
    <t>TXT_SS_SPECIFIEKE_MASSA</t>
  </si>
  <si>
    <t>TXT_SS_TEMPERATUUR_PROEF_MAX</t>
  </si>
  <si>
    <t>TXT_SS_TEMPERATUUR_PROEF_MIN</t>
  </si>
  <si>
    <t>TXT_SS_PROEFSTUKDIAMETER_VOOR</t>
  </si>
  <si>
    <t>TXT_SS_PROEFSTUKHOOGTE_VOOR</t>
  </si>
  <si>
    <t>TXT_SS_TYPE_PROEF</t>
  </si>
  <si>
    <t>TXT_SS_MEMBRAANCORRECTIE</t>
  </si>
  <si>
    <t>TXT_SS_OVERIGECORRECTIES</t>
  </si>
  <si>
    <t>TXT_SS_BACKPRESSURE</t>
  </si>
  <si>
    <t>TXT_SS_CONSOLIDATIEWIJZE</t>
  </si>
  <si>
    <t>TXT_SS_SPANNINGSVERHOUDING_STOPCR_K</t>
  </si>
  <si>
    <t>TXT_SS_STOPCRITERIUM_CONSOLIDATIE</t>
  </si>
  <si>
    <t>TXT_SS_S'_ISOTROOP_CONSOLIDATIE</t>
  </si>
  <si>
    <t>TXT_SS_T_ISOTROOP_CONSOLIDATIE</t>
  </si>
  <si>
    <t>TXT_SS_S'_MAX_CONSOLIDATIE</t>
  </si>
  <si>
    <t>TXT_SS_T_MAX_CONSOLIDATIE</t>
  </si>
  <si>
    <t>TXT_SS_S'_EIND_CONSOLIDATIE</t>
  </si>
  <si>
    <t>TXT_SS_T_EIND_CONSOLIDATIE</t>
  </si>
  <si>
    <t>TXT_SS_OCR</t>
  </si>
  <si>
    <t>TXT_SS_AXIALEREK_CONSOLIDATIE</t>
  </si>
  <si>
    <t>TXT_SS_VOLUMEREK_CONSOLIDATIE</t>
  </si>
  <si>
    <t>TXT_SS_STOPCRITERIUM_AFSCHUIVEN</t>
  </si>
  <si>
    <t>TXT_SS_AXIALEREKSNELHEID_AFSCHUIVEN</t>
  </si>
  <si>
    <t>TXT_SS_S'_2%</t>
  </si>
  <si>
    <t>TXT_SS_T_2%</t>
  </si>
  <si>
    <t>TXT_SS_S'_5%</t>
  </si>
  <si>
    <t>TXT_SS_T_5%</t>
  </si>
  <si>
    <t>TXT_SS_S'_15%</t>
  </si>
  <si>
    <t>TXT_SS_T_15%</t>
  </si>
  <si>
    <t>TXT_SS_S'_BIJ_T_PIEK</t>
  </si>
  <si>
    <t>TXT_SS_T_PIEK</t>
  </si>
  <si>
    <t>TXT_SS_REK_BIJ_T_PIEK</t>
  </si>
  <si>
    <t>TXT_SS_S'_BIJ_T_EIND</t>
  </si>
  <si>
    <t>TXT_SS_T_EIND</t>
  </si>
  <si>
    <t>TXT_SS_REK_BIJ_T_EIND</t>
  </si>
  <si>
    <t>TXT_SS_E_UNDR50</t>
  </si>
  <si>
    <t>TXT_SS_REK_BIJ_E_UNDR50</t>
  </si>
  <si>
    <t>TXT_SS_SKEMPTON_A</t>
  </si>
  <si>
    <t>TXT_MS_FILENAAM_PDF</t>
  </si>
  <si>
    <t>TXT_MS_FILENAAM_SPANNINGSPAD</t>
  </si>
  <si>
    <t>TXT_MS_MONSTERID</t>
  </si>
  <si>
    <t>TXT_MS_LABORATORIUM</t>
  </si>
  <si>
    <t>TXT_MS_CONSOLIDATIESPANNING</t>
  </si>
  <si>
    <t>TXT_MS_REK_BIJ_E_UNDR50</t>
  </si>
  <si>
    <t>TXT_MS_E_UNDR50</t>
  </si>
  <si>
    <t>TXT_MS_S1'_2%</t>
  </si>
  <si>
    <t>TXT_MS_S2'_2%</t>
  </si>
  <si>
    <t>TXT_MS_S3'_2%</t>
  </si>
  <si>
    <t>TXT_MS_T1_2%</t>
  </si>
  <si>
    <t>TXT_MS_T2_2%</t>
  </si>
  <si>
    <t>TXT_MS_T3_2%</t>
  </si>
  <si>
    <t>TXT_MS_C_2%</t>
  </si>
  <si>
    <t>TXT_MS_PHI_2%</t>
  </si>
  <si>
    <t>TXT_MS_S1'_5%</t>
  </si>
  <si>
    <t>TXT_MS_S2'_5%</t>
  </si>
  <si>
    <t>TXT_MS_S3'_5%</t>
  </si>
  <si>
    <t>TXT_MS_T1_5%</t>
  </si>
  <si>
    <t>TXT_MS_T2_5%</t>
  </si>
  <si>
    <t>TXT_MS_T3_5%</t>
  </si>
  <si>
    <t>TXT_MS_C_5%</t>
  </si>
  <si>
    <t>TXT_MS_PHI_5%</t>
  </si>
  <si>
    <t>CEL_FILENAAM_PDF</t>
  </si>
  <si>
    <t>CEL_FILENAAM_SPANNINGSPAD</t>
  </si>
  <si>
    <t>CEL_PHI1</t>
  </si>
  <si>
    <t>CEL_C1</t>
  </si>
  <si>
    <t>CEL_PHI2</t>
  </si>
  <si>
    <t>CEL_C2</t>
  </si>
  <si>
    <t>CEL_PHI3</t>
  </si>
  <si>
    <t>CEL_C3</t>
  </si>
  <si>
    <t>CEL_PHI4</t>
  </si>
  <si>
    <t>CEL_C4</t>
  </si>
  <si>
    <t>CEL_PHI5</t>
  </si>
  <si>
    <t>CEL_C5</t>
  </si>
  <si>
    <t>CEL_EINDSPANNING</t>
  </si>
  <si>
    <t>EENHEID</t>
  </si>
  <si>
    <t>-</t>
  </si>
  <si>
    <t>m</t>
  </si>
  <si>
    <t>m NAP</t>
  </si>
  <si>
    <t>DD-MM-JJJJ</t>
  </si>
  <si>
    <t>kN/m3</t>
  </si>
  <si>
    <t>%</t>
  </si>
  <si>
    <t>kg/m3</t>
  </si>
  <si>
    <t>kPa</t>
  </si>
  <si>
    <t>m/s</t>
  </si>
  <si>
    <t>mu</t>
  </si>
  <si>
    <t>cm</t>
  </si>
  <si>
    <t>°C</t>
  </si>
  <si>
    <t>mm</t>
  </si>
  <si>
    <t>%/uur</t>
  </si>
  <si>
    <t>uur</t>
  </si>
  <si>
    <t>m2/s</t>
  </si>
  <si>
    <t>1/MPa</t>
  </si>
  <si>
    <t>mm/uur</t>
  </si>
  <si>
    <t>NVT</t>
  </si>
  <si>
    <t>MPa</t>
  </si>
  <si>
    <t>°</t>
  </si>
  <si>
    <t>OMSCHRIJVING_PARAMETER</t>
  </si>
  <si>
    <t>Geeft aan of classificatieproeven zijn uitgevoerd [WAAR/ONWAAR of TRUE/FALSE]</t>
  </si>
  <si>
    <t>Geeft aan of classificatieproeven op veen zijn uitgevoerd [WAAR/ONWAAR of TRUE/FALSE]</t>
  </si>
  <si>
    <t>Geeft aan of een korrelverdeling is uitgevoerd [WAAR/ONWAAR of TRUE/FALSE]</t>
  </si>
  <si>
    <t>Geeft aan of (gemiddelde) sondeerwaarde beschikbaar zijn op de diepte van de uitgevoerde proeven [WAAR/ONWAAR of TRUE/FALSE]</t>
  </si>
  <si>
    <t>Geeft aan of een CRS-proef is uitgevoerd [WAAR/ONWAAR of TRUE/FALSE]</t>
  </si>
  <si>
    <t>Geeft aan of een samendrukkingsproef is uitgevoerd [WAAR/ONWAAR of TRUE/FALSE]</t>
  </si>
  <si>
    <t>Geeft aan of een direct simple shearproef is uitgevoerd [WAAR/ONWAAR of TRUE/FALSE]</t>
  </si>
  <si>
    <t>Geeft aan of een triaxiaalproef is uitgevoerd [WAAR/ONWAAR of TRUE/FALSE]</t>
  </si>
  <si>
    <t>Combinatie tussen regelnummer, boring en monsternummer</t>
  </si>
  <si>
    <t>Naam van de opdrachtgever</t>
  </si>
  <si>
    <t>Projectnaam</t>
  </si>
  <si>
    <t>Projectnummer van de uitvoerende organisatie</t>
  </si>
  <si>
    <t>Naam van de polder of dijk</t>
  </si>
  <si>
    <t>Refentie voor de vastlegging van de posititie van het onderzoek binnen het dijkvak, bijv. ten opzichte van dijkpaal</t>
  </si>
  <si>
    <t>Naam van de gemeente</t>
  </si>
  <si>
    <t>Beschrijving van de type kade of dijk</t>
  </si>
  <si>
    <t>Jaar aanleg</t>
  </si>
  <si>
    <t>Bodemkaart NL soortnaam</t>
  </si>
  <si>
    <t>Naam van de geologische afzetting waartoe de onderzochte laag toe behoort</t>
  </si>
  <si>
    <t>Bestandsnaam van het bestand waarin het geotechnisch lengteprofiel is opgenomen</t>
  </si>
  <si>
    <t>X-coordinaat van boring waaruit de monsters van de proeven afkomstig zijn. Coordinaten weergeven in RD-coordinaten</t>
  </si>
  <si>
    <t>Y-coordinaat van boring waaruit de monsters van de proeven afkomstig zijn. Coordinaten weergeven in RD-coordinaten</t>
  </si>
  <si>
    <t>De maaiveldhoogte ter plaatse van de boring.</t>
  </si>
  <si>
    <t>Nummering van de boring</t>
  </si>
  <si>
    <t>Locatie van de boring ten opzicht van de waterkeringen. Mogelijkheden zijn: kruin, binnentalud, buitentalud, teen, achterland / KR, BITA, BUTA, BUT, BIT, AL</t>
  </si>
  <si>
    <t>Datum waarop de boring is uitgevoerd</t>
  </si>
  <si>
    <t>Bestandnaam van de pdf waarin de boring is gerapporteerd</t>
  </si>
  <si>
    <t>Bestandsnaam van het GEF-bestand waarin de beschrijving van de boring is opgenomen</t>
  </si>
  <si>
    <t>Naam van het bedrijf dat de boring heeft uitgevoerd</t>
  </si>
  <si>
    <t>Naam van de boormeester die de boring heeft uitgevoerd</t>
  </si>
  <si>
    <t>Methode van boren en monstername</t>
  </si>
  <si>
    <t>De tijdens het boren gemeten grondwaterstand in het boorgat</t>
  </si>
  <si>
    <t>De tijdens het boren vastgestelde GLG (Gemiddeld Laagste Grondwaterstand)</t>
  </si>
  <si>
    <t>Monsternummering van de boring</t>
  </si>
  <si>
    <t>Methode van steken / drukken van ongeroerde / geroerde monster. Bijvoorbeeld: Ackerman, dunwandig, ongeroerd, gedrukt</t>
  </si>
  <si>
    <t>Beschrijving van de manier hoe de monsters in het laboratorium zijn opgeslagen voorafgaand aan de proeven.</t>
  </si>
  <si>
    <t>Niveau van het monster (bovenkant) van de classificatieproeven tov m NAP</t>
  </si>
  <si>
    <t>Niveau van het monster (onderkant) van de classificatieproeven tov m NAP</t>
  </si>
  <si>
    <t>Niveau van het monster (bovenkant) van de classificatieproeven tov m MV</t>
  </si>
  <si>
    <t>Niveau van het monster (onderkant) van de classificatieproeven tov m MV</t>
  </si>
  <si>
    <t>Meting van het totale volumegewicht van het monstermateriaal (gecorrigeerd o.b.v. volume monster)</t>
  </si>
  <si>
    <t>Bestandnaam van de pdf waarin de classificatieproeven zijn gerapporteerd</t>
  </si>
  <si>
    <t>Bestandsnaam van de file waarin de gegevens van de classificatie conform het STOWA-format is opgenomen</t>
  </si>
  <si>
    <t>Monsternummering van de classificatieproeven</t>
  </si>
  <si>
    <t>Laboratorium waar de classificatie en veenclassificatie uitgevoerd zijn.</t>
  </si>
  <si>
    <t>Bij de classificatie aangehouden normen</t>
  </si>
  <si>
    <t>Datum waarop de classificatieproeven zijn uitgevoerd</t>
  </si>
  <si>
    <t>Classificatie van de grond conform de gehanteerde norm</t>
  </si>
  <si>
    <t>Beschrijving van de bijzondere bestanddelen of secundaire of tertiaire fracties</t>
  </si>
  <si>
    <t>Niveau van het monster van de classificatie-proef</t>
  </si>
  <si>
    <t>Resultaat van de bepaling van het initiele volumieke gewicht conform NEN5110/5111</t>
  </si>
  <si>
    <t>Resultaat van de bepaling van het droge volumieke gewicht conform NEN5110/5111</t>
  </si>
  <si>
    <t>Resultaat van de bepaling van het initiele watergehalte conform NEN5112/5113</t>
  </si>
  <si>
    <t>Resultaat van de bepaling van de porositeit</t>
  </si>
  <si>
    <t>Resultaat van de bepaling van het poriengetal conform ...</t>
  </si>
  <si>
    <t>Verzadigingsgraad van het monster (0-100%)</t>
  </si>
  <si>
    <t>Inschatting van het verzadigde volumegewicht</t>
  </si>
  <si>
    <t>Inschatting van de dichtheid of specifieke massa volgens standaardgetal (2650 kg/m3), relaties of ervaringsdatabases</t>
  </si>
  <si>
    <t>Resultaat van de bepaling van de dichtheid of specifieke massa conform ...</t>
  </si>
  <si>
    <t>Resultaat van de bepaling van het verlies aan organisch materiaal bij verhitting tot 500°C/550°C. Het gloeiverlies wordt hiermee bepaald. Het gloeiverlies is niet gelijk aan het asgehalte. Het asgehalte kan bepaald worden aan de hand van het gloeiverlies:  asgehalte = 1.04 x (100 - gloeiverlies [%])</t>
  </si>
  <si>
    <t>Resultaat van de bepaling van het verlies aan kalk bij verhitting tot 900°C</t>
  </si>
  <si>
    <t>Resultaat van de bepaling van de sterkte met de pocket penetrometer conform ...</t>
  </si>
  <si>
    <t>Resultaat van de bepaling van de sterkte met de torvaneproef conform NEN5106</t>
  </si>
  <si>
    <t>Falling headk10</t>
  </si>
  <si>
    <t>Constant head k10</t>
  </si>
  <si>
    <t>Opmerkingen</t>
  </si>
  <si>
    <t>Resultaat van de bepaling van de vloeigrens conform ...</t>
  </si>
  <si>
    <t>Resultaat van de bepaling van de uitrolgrens conform ...</t>
  </si>
  <si>
    <t>Plasticiteitsindex</t>
  </si>
  <si>
    <t>Consistentieindex</t>
  </si>
  <si>
    <t>Bestandsnaam van de pdf-file waarin de gegevens van de veenclassificatie zijn opgenomen</t>
  </si>
  <si>
    <t>Bestandsnaam van de file waarin de gegevens van de veenclassificatie conform het STOWA-format is opgenomen</t>
  </si>
  <si>
    <t>Classificatie van het veen conform de TAW-leidraad TR16 Geotechnische classificatie van veen. Hoofdnaam van het veen. [V, Vk1, Vk2, Vz1, Vz3]</t>
  </si>
  <si>
    <t>Classificatie van het veen conform de TAW-leidraad TR16 Geotechnische classificatie van veen. Botanische samenstelling. [Sch, Ph, C, W, N Er, S, H, B]</t>
  </si>
  <si>
    <t>Classificatie van het veen conform de TAW-leidraad TR16 Geotechnische classificatie van veen. Verweringsgraad volgens Von Post [H'1, H'2 , H'3, H;4]</t>
  </si>
  <si>
    <t>Classificatie van het veen conform de TAW-leidraad TR16 Geotechnische classificatie van veen. Watergehalte [B1, B2, B3, B4, B5]</t>
  </si>
  <si>
    <t>Classificatie van het veen conform de TAW-leidraad TR16 Geotechnische classificatie van veen. Gehalte aan fijne vezels [F0, F1, F2, F3]</t>
  </si>
  <si>
    <t>Classificatie van het veen conform de TAW-leidraad TR16 Geotechnische classificatie van veen. Gehalte aan grove vezels [R0, R1, R2, R3]</t>
  </si>
  <si>
    <t>Classificatie van het veen conform de TAW-leidraad TR16 Geotechnische classificatie van veen. Gehalte aan hout [W0, W1, W2, W3]</t>
  </si>
  <si>
    <t>Classificatie van het veen conform de TAW-leidraad TR16 Geotechnische classificatie van veen. Resultaat van de bepaling van het gloeiverlies in %. Gloeiverlies is (de massa voor verassing minus de massa na verassing) in verhouding tot (de massa na verassing). Op basis van het gloeiverlies kan het asgehalte bepaald worden.</t>
  </si>
  <si>
    <t>Classificatie van het veen conform de TAW-leidraad TR16 Geotechnische classificatie van veen. Gehalte aan as [N1, N2, N3, N4]. Het asgehalte is te bepalen op basis van het gloeiverlies. Het asgehalte is 1,04 maal (100% minus het gloeiverlies in %).</t>
  </si>
  <si>
    <t>Bestandnaam van de pdf waarin de korrelverdeling is gerapporteerd</t>
  </si>
  <si>
    <t>Bestandsnaam van het GEF-bestand waarin de gegevens van de korrelverdeling is opgenomen</t>
  </si>
  <si>
    <t>Monsternummering van de zeefproeven</t>
  </si>
  <si>
    <t>Laboratorium waar de zeefproeven zijn uitgevoerd</t>
  </si>
  <si>
    <t>Bij de zeefproeven aangehouden normen</t>
  </si>
  <si>
    <t>Datum waarop de zeefproeven zijn uitgevoerd</t>
  </si>
  <si>
    <t>De zandmediaan is de korreldiameter waarbij 50% van de zandfractie kleiner is dan deze korreldiameter. (is gelijk aan D50)</t>
  </si>
  <si>
    <t>De mediaan wordt bepaald over het gehele monster en niet over alleen de zandfractie. De mediaan is de korreldiameter waarbij 50% van de gehele fractie kleiner is dan deze diameter.</t>
  </si>
  <si>
    <t>Percentage grind % grind&gt;2mm</t>
  </si>
  <si>
    <t>Percentage zand % zand tussen 0,063 - 2 mm</t>
  </si>
  <si>
    <t xml:space="preserve">Percentage silt % silt tussen 0,002 - 0,063 mm </t>
  </si>
  <si>
    <t>Gewichtspercentage van het gehele monster dat kleiner is dan 63 mm</t>
  </si>
  <si>
    <t>Gewichtspercentage van het gehele monster dat kleiner is dan 31,5 mm</t>
  </si>
  <si>
    <t>Gewichtspercentage van het gehele monster dat kleiner is dan 16 mm</t>
  </si>
  <si>
    <t>Gewichtspercentage van het gehele monster dat kleiner is dan 8 mm</t>
  </si>
  <si>
    <t>Gewichtspercentage van het gehele monster dat kleiner is dan 4 mm</t>
  </si>
  <si>
    <t>Gewichtspercentage van het gehele monster dat kleiner is dan 2 mm</t>
  </si>
  <si>
    <t>Gewichtspercentage van het gehele monster dat kleiner is dan 1 mm</t>
  </si>
  <si>
    <t>Gewichtspercentage van het gehele monster dat kleiner is dan 500 mu</t>
  </si>
  <si>
    <t>Gewichtspercentage van het gehele monster dat kleiner is dan 250 mu</t>
  </si>
  <si>
    <t>Gewichtspercentage van het gehele monster dat kleiner is dan 180 mu</t>
  </si>
  <si>
    <t>Gewichtspercentage van het gehele monster dat kleiner is dan 125 mu</t>
  </si>
  <si>
    <t>Gewichtspercentage van het gehele monster dat kleiner is dan 63 mu</t>
  </si>
  <si>
    <t>Gewichtspercentage van het gehele monster dat kleiner is dan 32 mu</t>
  </si>
  <si>
    <t>Gewichtspercentage van het gehele monster dat kleiner is dan 20 mu</t>
  </si>
  <si>
    <t>Gewichtspercentage van het gehele monster dat kleiner is dan 16 mu</t>
  </si>
  <si>
    <t>Gewichtspercentage van het gehele monster dat kleiner is dan 2 mu</t>
  </si>
  <si>
    <t>De korreldiameter waarbij 70% van de zandfractie kleiner is dan deze korreldiameter</t>
  </si>
  <si>
    <t>De korreldiameter waarbij 60% van de zandfractie kleiner is dan deze korreldiameter</t>
  </si>
  <si>
    <t>De korreldiameter waarbij 50% van de zandfractie kleiner is dan deze korreldiameter (D50 is gelijk aan de Zandmediaan)</t>
  </si>
  <si>
    <t>De korreldiameter waarbij 10% van de zandfractie kleiner is dan deze korreldiameter</t>
  </si>
  <si>
    <t>De gelijkmatigheidscoefficient Cu van de zandfractie. Bepaald door D60/D10 van het materiaal tussen 63 mu en 2 mm.</t>
  </si>
  <si>
    <t>Bestandsnaam van het GEF-bestand dat gebruikt is bij de bepaling van de gemiddelde waarden uit de sondering op de diepte van het monsterniveau (#CPT_NIVEAU).</t>
  </si>
  <si>
    <t>Monsterniveaus waarbij de bepaling van de gemiddelde waarden uit de sondering is bepaald. Het traject waarover gemiddeld is loopt van 0.5 x trajectlengte (#CPT_TRAJECTLENGTE) boven het monsterniveau (#CPT_NIVEAU) tot 0.5 x trjactlengte beneden het monsterniveau.</t>
  </si>
  <si>
    <t>Lengte waarover de gemiddelde sondeerwaarden zijn bepaald.</t>
  </si>
  <si>
    <t>Gemiddelde conusweerstand gemeten tijdens de sondering op het monsterniveau (#CPT_NIVEAU) over een bepaalde lengte (#CPT_TRAJECTLENGTE)</t>
  </si>
  <si>
    <t>Gemiddelde wrijvingsweerstand gemeten tijdens de sondering op het monsterniveau (#CPT_NIVEAU) over een bepaalde lengte (#CPT_TRAJECTLENGTE)</t>
  </si>
  <si>
    <t>Gemiddelde wrijvingsgetal op het monsterniveau (#CPT_NIVEAU) over een bepaalde lengte (#CPT_TRAJECTLENGTE) bepaald uit de gemeten conusweerstand (#CPT_CONUSWEERSTAND_GEM) en de gemeten wrijvingsweerstand (#CPT_WRIJVINGSWEERSTAND_GEM)</t>
  </si>
  <si>
    <t>Gemiddelde waterspanning gemeten tijdens de sondering op het monsterniveau (#CPT_NIVEAU) over een bepaalde lengte (#CPT_TRAJECTLENGTE)</t>
  </si>
  <si>
    <t>Netto conusweerstand = qnet = qt - σv0</t>
  </si>
  <si>
    <t>Conusweerstand gecorrigeerd voor gemeten waterspanning qt = qc + (1-a).u2</t>
  </si>
  <si>
    <t>Verticale grondspanning σv0 (totaalspanning)</t>
  </si>
  <si>
    <t>Sonderingklasse 1 of 2</t>
  </si>
  <si>
    <t>netto oppervlakteverhoudingscoëfficiënt van de conus = a</t>
  </si>
  <si>
    <t>qball weerstandbolsonde</t>
  </si>
  <si>
    <t>Bestandnaam van de pdf waarin de CRS-proef is gerapporteerd</t>
  </si>
  <si>
    <t>Bestandsnaam van de file waarin het spanningspad conform het STOWA-format is opgenomen</t>
  </si>
  <si>
    <t>Monsternummering van de CRS-proef</t>
  </si>
  <si>
    <t>Laboratorium waar de CRS-proef is uitgevoerd</t>
  </si>
  <si>
    <t>Bij de uitvoering van de CRS-proef aangehouden normen</t>
  </si>
  <si>
    <t>Datum waarop de CRS-proef is uitgevoerd</t>
  </si>
  <si>
    <t>Niveau van het monster van de CRS-proef</t>
  </si>
  <si>
    <t>Inschatting van de terreinspanning op het niveau van het beproefde monster</t>
  </si>
  <si>
    <t>Resultaat van de bepaling van het initiele volumieke gewicht conform NEN5110/5111 voor uitvoering van de proef</t>
  </si>
  <si>
    <t>Resultaat van de bepaling van het droge volumieke gewicht conform NEN5110/5111 voor uitvoering van de proef</t>
  </si>
  <si>
    <t>Resultaat van de bepaling van het initiele watergehalte conform NEN5112/5113 voor uitvoering van de proef</t>
  </si>
  <si>
    <t>Resultaat van de bepaling van het initiele watergehalte conform NEN5112/5113 na uitvoering van de proef</t>
  </si>
  <si>
    <t>Verzadigingsniveau van het monster</t>
  </si>
  <si>
    <t>Maximum temperatuur in het laboratorium gedurende de uitvoering van de proef</t>
  </si>
  <si>
    <t>Minimum temperatuur in het laboratorium gedurende de uitvoering van de proef</t>
  </si>
  <si>
    <t>Diameter van het proefstuk dat in het CRS-apparaat is beproefd voor beproeving</t>
  </si>
  <si>
    <t>Hoogte van het proefstuk dat in het CRS-apparaat is beproefd voor beproeving</t>
  </si>
  <si>
    <t>Hoogte van het proefstuk dat in het CRS-apparaat is beproefd na verzadiging</t>
  </si>
  <si>
    <t>Hoogte van het proefstuk dat in het CRS-apparaat is beproefd na beproeving</t>
  </si>
  <si>
    <t>Reksnelheid waarm het monster tijdens het belasten is belast</t>
  </si>
  <si>
    <t>Reksnelheid waarm het monster tijdens het ontlasten is ontlast</t>
  </si>
  <si>
    <t>De duur van de relaxatiefase</t>
  </si>
  <si>
    <t>Effectieve spanning bij de start van de relaxatiefase</t>
  </si>
  <si>
    <t>Effectieve spanning aan het eind van de relaxatiefase</t>
  </si>
  <si>
    <t>Effectieve verticale spanning bij de start van het ontlasten</t>
  </si>
  <si>
    <t>Effectieve verticale spanning aan het eind van het ontlasten</t>
  </si>
  <si>
    <t>Effectieve verticale spanning aan het eind van de proef</t>
  </si>
  <si>
    <t>Maximale relatieve wateroverspanning tijdens de proef</t>
  </si>
  <si>
    <t>Grensspanning A</t>
  </si>
  <si>
    <t>De rek waarbij de grensspanning A is bepaald</t>
  </si>
  <si>
    <t>De bovengrens voor de grensspanning B</t>
  </si>
  <si>
    <t>Waarde van de a-parameters van de isotachen</t>
  </si>
  <si>
    <t>Waarde van de b-parameters van de isotachen</t>
  </si>
  <si>
    <t>Waarde van de c-parameters van de isotachen</t>
  </si>
  <si>
    <t>Bestandnaam van de pdf waarin de samendrukkings-proef is gerapporteerd</t>
  </si>
  <si>
    <t>Monsternummering van de samendrukkingsproef</t>
  </si>
  <si>
    <t>Laboratorium waar de samendrukkingsproef is uitgevoerd</t>
  </si>
  <si>
    <t>Bij de uitvoering van de samendrukkingsproef aangehouden normen</t>
  </si>
  <si>
    <t>Datum waarop de samendrukkingsproef is uitgevoerd</t>
  </si>
  <si>
    <t>Niveau van het monster van de samendrukkingsproef</t>
  </si>
  <si>
    <t>Aantal belasttrappen en het aantal ontlasttrappen</t>
  </si>
  <si>
    <t>Beschrijving van de type uitgevoerde proef</t>
  </si>
  <si>
    <t>Samendrukkingsparameter volgens Bjerrum, grensspanning</t>
  </si>
  <si>
    <t>Samendrukkingsparameter volgens Bjerrum, rek bij de grensspanning</t>
  </si>
  <si>
    <t>NEN Bjerrum Cc</t>
  </si>
  <si>
    <t>Samendrukkingsparameter volgens Bjerrum, Cc waarde conform NEN5118, trap 1-2</t>
  </si>
  <si>
    <t>Samendrukkingsparameter volgens Bjerrum, Cc waarde conform NEN5118, trap 2-3</t>
  </si>
  <si>
    <t>Samendrukkingsparameter volgens Bjerrum, Cc waarde conform NEN5118, trap 3-4</t>
  </si>
  <si>
    <t>Samendrukkingsparameter volgens Bjerrum, Cc waarde conform NEN5118, trap 4-5</t>
  </si>
  <si>
    <t>Samendrukkingsparameter volgens Bjerrum, Cc waarde conform NEN5118, trap 5-6</t>
  </si>
  <si>
    <t>Samendrukkingsparameter volgens Bjerrum, Cc waarde conform NEN5118, trap 6-7</t>
  </si>
  <si>
    <t>Samendrukkingsparameter volgens Bjerrum, Cc waarde conform NEN5118, trap 7-8</t>
  </si>
  <si>
    <t>Samendrukkingsparameter volgens Bjerrum, Cc waarde conform NEN5118, trap 8-9</t>
  </si>
  <si>
    <t>Samendrukkingsparameter volgens Bjerrum, Cc waarde conform NEN5118, trap 9-10</t>
  </si>
  <si>
    <t>NEN Bjerrum Cr</t>
  </si>
  <si>
    <t>Samendrukkingsparameter volgens Bjerrum, CR waarde conform NEN5118, trap 1-2</t>
  </si>
  <si>
    <t>Samendrukkingsparameter volgens Bjerrum, CR waarde conform NEN5118, trap 2-3</t>
  </si>
  <si>
    <t>Samendrukkingsparameter volgens Bjerrum, CR waarde conform NEN5118, trap 3-4</t>
  </si>
  <si>
    <t>Samendrukkingsparameter volgens Bjerrum, CR waarde conform NEN5118, trap 4-5</t>
  </si>
  <si>
    <t>Samendrukkingsparameter volgens Bjerrum, CR waarde conform NEN5118, trap 5-6</t>
  </si>
  <si>
    <t>Samendrukkingsparameter volgens Bjerrum, CR waarde conform NEN5118, trap 6-7</t>
  </si>
  <si>
    <t>Samendrukkingsparameter volgens Bjerrum, CR waarde conform NEN5118, trap 7-8</t>
  </si>
  <si>
    <t>Samendrukkingsparameter volgens Bjerrum, CR waarde conform NEN5118, trap 8-9</t>
  </si>
  <si>
    <t>Samendrukkingsparameter volgens Bjerrum, CR waarde conform NEN5118, trap 9-10</t>
  </si>
  <si>
    <t>NEN Bjerrum Calpha</t>
  </si>
  <si>
    <t>Samendrukkingsparameter volgens Bjerrum, Calpha trap 1</t>
  </si>
  <si>
    <t>Samendrukkingsparameter volgens Bjerrum, Calpha trap 2</t>
  </si>
  <si>
    <t>Samendrukkingsparameter volgens Bjerrum, Calpha trap 3</t>
  </si>
  <si>
    <t>Samendrukkingsparameter volgens Bjerrum, Calpha trap 4</t>
  </si>
  <si>
    <t>Samendrukkingsparameter volgens Bjerrum, Calpha trap 5</t>
  </si>
  <si>
    <t>Samendrukkingsparameter volgens Bjerrum, Calpha trap 6</t>
  </si>
  <si>
    <t>Samendrukkingsparameter volgens Bjerrum, Calpha trap 7</t>
  </si>
  <si>
    <t>Samendrukkingsparameter volgens Bjerrum, Calpha trap 8</t>
  </si>
  <si>
    <t>Samendrukkingsparameter volgens Bjerrum, Calpha trap 9</t>
  </si>
  <si>
    <t>Samendrukkingsparameter volgens Bjerrum, Calpha trap 10</t>
  </si>
  <si>
    <t>NEN Bjerrum Vo</t>
  </si>
  <si>
    <t>Samendrukkingsparameter volgens Koppejan, grensspanning</t>
  </si>
  <si>
    <t>Samendrukkingsparameter volgens Koppejan, rek bij de grensspanning</t>
  </si>
  <si>
    <t>Samendrukkingsparameter volgens Koppejan, C waarde conform NEN5118</t>
  </si>
  <si>
    <t>Samendrukkingsparameter volgens Koppejan, C' waarde conform NEN5118</t>
  </si>
  <si>
    <t>Samendrukkingsparameter volgens Koppejan, C' waarde conform NEN5118, trap 2-3</t>
  </si>
  <si>
    <t>Samendrukkingsparameter volgens Koppejan, C' waarde conform NEN5118, trap 3-4</t>
  </si>
  <si>
    <t>Samendrukkingsparameter volgens Koppejan, C' waarde conform NEN5118, trap 4-5</t>
  </si>
  <si>
    <t>Samendrukkingsparameter volgens Koppejan, C' waarde conform NEN5118, trap 5-6</t>
  </si>
  <si>
    <t>Samendrukkingsparameter volgens Koppejan, C' waarde conform NEN5118, trap 6-7</t>
  </si>
  <si>
    <t>Samendrukkingsparameter volgens Koppejan, C' waarde conform NEN5118, trap 7-8</t>
  </si>
  <si>
    <t>Samendrukkingsparameter volgens Koppejan, C' waarde conform NEN5118, trap 8-9</t>
  </si>
  <si>
    <t>Samendrukkingsparameter volgens Koppejan, Cp waarde conform NEN5118</t>
  </si>
  <si>
    <t>Samendrukkingsparameter volgens Koppejan, C'p waarde conform NEN5118</t>
  </si>
  <si>
    <t>Samendrukkingsparameter volgens Koppejan, Cp' waarde conform NEN5118, trap 2-3</t>
  </si>
  <si>
    <t>Samendrukkingsparameter volgens Koppejan, Cp' waarde conform NEN5118, trap 3-4</t>
  </si>
  <si>
    <t>Samendrukkingsparameter volgens Koppejan, Cp' waarde conform NEN5118, trap 4-5</t>
  </si>
  <si>
    <t>Samendrukkingsparameter volgens Koppejan, Cp' waarde conform NEN5118, trap 5-6</t>
  </si>
  <si>
    <t>Samendrukkingsparameter volgens Koppejan, Cp' waarde conform NEN5118, trap 6-7</t>
  </si>
  <si>
    <t>Samendrukkingsparameter volgens Koppejan, Cp' waarde conform NEN5118, trap 7-8</t>
  </si>
  <si>
    <t>Samendrukkingsparameter volgens Koppejan, Cp' waarde conform NEN5118, trap 8-9</t>
  </si>
  <si>
    <t>Samendrukkingsparameter volgens Koppejan, Cs waarde conform NEN5118</t>
  </si>
  <si>
    <t>Samendrukkingsparameter volgens Koppejan, C's waarde conform NEN5118</t>
  </si>
  <si>
    <t>Samendrukkingsparameter volgens Koppejan, Cs' waarde conform NEN5118, trap 2-3</t>
  </si>
  <si>
    <t>Samendrukkingsparameter volgens Koppejan, Cs' waarde conform NEN5118, trap 3-4</t>
  </si>
  <si>
    <t>Samendrukkingsparameter volgens Koppejan, Cs' waarde conform NEN5118, trap 4-5</t>
  </si>
  <si>
    <t>Samendrukkingsparameter volgens Koppejan, Cs' waarde conform NEN5118, trap 5-6</t>
  </si>
  <si>
    <t>Samendrukkingsparameter volgens Koppejan, Cs' waarde conform NEN5118, trap 6-7</t>
  </si>
  <si>
    <t>Samendrukkingsparameter volgens Koppejan, Cs' waarde conform NEN5118, trap 7-8</t>
  </si>
  <si>
    <t>Samendrukkingsparameter volgens Koppejan, Cs' waarde conform NEN5118, trap 8-9</t>
  </si>
  <si>
    <t>Samendrukkingsparameter volgens Isotache, a-waarde</t>
  </si>
  <si>
    <t>Samendrukkingsparameter volgens Isotache, b-waarde</t>
  </si>
  <si>
    <t>Samendrukkingsparameter volgens Isotache, c-waarde</t>
  </si>
  <si>
    <t>Samendrukkingsparameter volgens Isotache, grensspanning A</t>
  </si>
  <si>
    <t>Samendrukkingsparameter volgens Isotache, rek bij grensspanning A</t>
  </si>
  <si>
    <t>Samendrukkingsparameter volgens Isotache, bovengrens van de grensspanning B</t>
  </si>
  <si>
    <t>Waarde van de bepaling volgens Casagrande van de Cv; 10 (m2/s) bij trap 2</t>
  </si>
  <si>
    <t>Waarde van de bepaling volgens Casagrande van de Cv; 10 (m2/s) bij trap 3</t>
  </si>
  <si>
    <t>Waarde van de bepaling volgens Casagrande van de Cv; 10 (m2/s) bij trap 4</t>
  </si>
  <si>
    <t>Waarde van de bepaling volgens Casagrande van de Cv; 10 (m2/s) bij trap 5</t>
  </si>
  <si>
    <t>Waarde van de bepaling volgens Casagrande van de Cv; 10 (m2/s) bij trap 6</t>
  </si>
  <si>
    <t>Waarde van de bepaling volgens Casagrande van de Cv; 10 (m2/s) bij trap 7</t>
  </si>
  <si>
    <t>Waarde van de bepaling volgens Casagrande van de Cv; 10 (m2/s) bij trap 8</t>
  </si>
  <si>
    <t>Waarde van de bepaling volgens Casagrande van de Cv; 10 (m2/s) bij trap 9</t>
  </si>
  <si>
    <t>Waarde van de bepaling volgens Casagrande van de k10 (m/s) bij trap 2</t>
  </si>
  <si>
    <t>Waarde van de bepaling volgens Casagrande van de k10 (m/s) bij trap 3</t>
  </si>
  <si>
    <t>Waarde van de bepaling volgens Casagrande van de k10 (m/s) bij trap 4</t>
  </si>
  <si>
    <t>Waarde van de bepaling volgens Casagrande van de k10 (m/s) bij trap 5</t>
  </si>
  <si>
    <t>Waarde van de bepaling volgens Casagrande van de k10 (m/s) bij trap 6</t>
  </si>
  <si>
    <t>Waarde van de bepaling volgens Casagrande van de k10 (m/s) bij trap 7</t>
  </si>
  <si>
    <t>Waarde van de bepaling volgens Casagrande van de k10 (m/s) bij trap 8</t>
  </si>
  <si>
    <t>Waarde van de bepaling volgens Casagrande van de k10 (m/s) bij trap 9</t>
  </si>
  <si>
    <t>Waarde van de bepaling volgens Casagrande van de mv (1/MPa) bij trap 2</t>
  </si>
  <si>
    <t>Waarde van de bepaling volgens Casagrande van de mv (1/MPa) bij trap 3</t>
  </si>
  <si>
    <t>Waarde van de bepaling volgens Casagrande van de mv (1/MPa) bij trap 4</t>
  </si>
  <si>
    <t>Waarde van de bepaling volgens Casagrande van de mv (1/MPa) bij trap 5</t>
  </si>
  <si>
    <t>Waarde van de bepaling volgens Casagrande van de mv (1/MPa) bij trap 6</t>
  </si>
  <si>
    <t>Waarde van de bepaling volgens Casagrande van de mv (1/MPa) bij trap 7</t>
  </si>
  <si>
    <t>Waarde van de bepaling volgens Casagrande van de mv (1/MPa) bij trap 8</t>
  </si>
  <si>
    <t>Waarde van de bepaling volgens Casagrande van de mv (1/MPa) bij trap 9</t>
  </si>
  <si>
    <t>spanning bij cv;2</t>
  </si>
  <si>
    <t>spanning bij cv;3</t>
  </si>
  <si>
    <t>spanning bij cv;4</t>
  </si>
  <si>
    <t>spanning bij cv;5</t>
  </si>
  <si>
    <t>spanning bij cv;6</t>
  </si>
  <si>
    <t>spanning bij cv;7</t>
  </si>
  <si>
    <t>spanning bij cv;8</t>
  </si>
  <si>
    <t>spanning bij cv;9</t>
  </si>
  <si>
    <t>Waarde van de bepaling volgens Taylor van de Cv; 10 (m2/s) bij trap 2</t>
  </si>
  <si>
    <t>Waarde van de bepaling volgens Taylor van de Cv; 10 (m2/s) bij trap 3</t>
  </si>
  <si>
    <t>Waarde van de bepaling volgens Taylor van de Cv; 10 (m2/s) bij trap 4</t>
  </si>
  <si>
    <t>Waarde van de bepaling volgens Taylor van de Cv; 10 (m2/s) bij trap 5</t>
  </si>
  <si>
    <t>Waarde van de bepaling volgens Taylor van de Cv; 10 (m2/s) bij trap 6</t>
  </si>
  <si>
    <t>Waarde van de bepaling volgens Taylor van de Cv; 10 (m2/s) bij trap 7</t>
  </si>
  <si>
    <t>Waarde van de bepaling volgens Taylor van de Cv; 10 (m2/s) bij trap 8</t>
  </si>
  <si>
    <t>Waarde van de bepaling volgens Taylor van de Cv; 10 (m2/s) bij trap 9</t>
  </si>
  <si>
    <t>Waarde van de bepaling volgens Taylor van de k10 (m/s) bij trap 2</t>
  </si>
  <si>
    <t>Waarde van de bepaling volgens Taylor van de k10 (m/s) bij trap 3</t>
  </si>
  <si>
    <t>Waarde van de bepaling volgens Taylor van de k10 (m/s) bij trap 4</t>
  </si>
  <si>
    <t>Waarde van de bepaling volgens Taylor van de k10 (m/s) bij trap 5</t>
  </si>
  <si>
    <t>Waarde van de bepaling volgens Taylor van de k10 (m/s) bij trap 6</t>
  </si>
  <si>
    <t>Waarde van de bepaling volgens Taylor van de k10 (m/s) bij trap 7</t>
  </si>
  <si>
    <t>Waarde van de bepaling volgens Taylor van de k10 (m/s) bij trap 8</t>
  </si>
  <si>
    <t>Waarde van de bepaling volgens Taylor van de k10 (m/s) bij trap 9</t>
  </si>
  <si>
    <t>Waarde van de bepaling volgens Taylor van de mv (1/MPa) bij trap 2</t>
  </si>
  <si>
    <t>Waarde van de bepaling volgens Taylor van de mv (1/MPa) bij trap 3</t>
  </si>
  <si>
    <t>Waarde van de bepaling volgens Taylor van de mv (1/MPa) bij trap 4</t>
  </si>
  <si>
    <t>Waarde van de bepaling volgens Taylor van de mv (1/MPa) bij trap 5</t>
  </si>
  <si>
    <t>Waarde van de bepaling volgens Taylor van de mv (1/MPa) bij trap 6</t>
  </si>
  <si>
    <t>Waarde van de bepaling volgens Taylor van de mv (1/MPa) bij trap 7</t>
  </si>
  <si>
    <t>Waarde van de bepaling volgens Taylor van de mv (1/MPa) bij trap 8</t>
  </si>
  <si>
    <t>Waarde van de bepaling volgens Taylor van de mv (1/MPa) bij trap 9</t>
  </si>
  <si>
    <t>Bestandnaam van de pdf waarin de DSS-proef is gerapporteerd</t>
  </si>
  <si>
    <t>Monsternummering van de Direct Simple Shear-proef</t>
  </si>
  <si>
    <t>Laboratorium waar de Direct Simple Shear-proef is uitgevoerd</t>
  </si>
  <si>
    <t>Bij de uitvoering van de DSS-proef aangehouden normen</t>
  </si>
  <si>
    <t>Datum waarop de DSS-proef is uitgevoerd</t>
  </si>
  <si>
    <t>Niveau van het monster van de Direct Simple Shear-proef</t>
  </si>
  <si>
    <t>Inschatting van de terreinspanning (= effectieve verticale spanning) op het niveau van het beproefde monster</t>
  </si>
  <si>
    <t>Resultaat van de bepaling van het verzadigingsgraad voor uitvoering van de proef conform ...</t>
  </si>
  <si>
    <t>Resultaat van de bepaling van het poriengetal voor uitvoering van de proef conform ...</t>
  </si>
  <si>
    <t>Het poriengetal van het proefstuk na consolideren</t>
  </si>
  <si>
    <t>Resultaat van de bepaling van het specifieke massa voor uitvoering van de proef conform ...</t>
  </si>
  <si>
    <t>Diameter van het proefstuk dat in het DSS-apparaat is beproefd voor beproeving</t>
  </si>
  <si>
    <t>Hoogte van het proefstuk dat in het DSS-apparaat is beproefd voor beproeving</t>
  </si>
  <si>
    <t>De hoogte van het proefstuk na consolideren</t>
  </si>
  <si>
    <t>Beschrijving van de bij de uitwerking van de proef uitgevoerde correcties</t>
  </si>
  <si>
    <t>Uitvoeringswijze van de proef: [constante hoogte, constante bovenbelasting]
Shansep methode (bij consolidatie belasten tot voorbij de grensspanning en vervolgens ontlasten): [wel of niet toegepast]</t>
  </si>
  <si>
    <t>Effectieve verticale spanning bij de maximale consolidatiespanning tijdens consolideren (gemeten waarde) / (alleen van toepassing bij Shansep methode)</t>
  </si>
  <si>
    <t>Effectieve verticale spanning bij de consolidatiespanning aan het eind van het consolideren, is gelijk aan spanning bij begin belasten (gemeten waarde)</t>
  </si>
  <si>
    <t>OCR bepaald op basis van de maximale consolidatie spanning (indien groter dan de grensspanning) te delen door de spanning waarbij het monster is beproefd</t>
  </si>
  <si>
    <t>Axiale rek bij het einde van de consolidatie</t>
  </si>
  <si>
    <t>Aantal belasttrappen tijdens het consolideren</t>
  </si>
  <si>
    <t>De duur van de consolidatiefase</t>
  </si>
  <si>
    <t>De afschuifsnelheid tijdens de proef in %/uur</t>
  </si>
  <si>
    <t>De afschuifsnelheid tijdens de proef in mm/uur</t>
  </si>
  <si>
    <t>De normaalspanning (sigma) bij 2% rek</t>
  </si>
  <si>
    <t>De schuifspanning (tau) bij 2% rek</t>
  </si>
  <si>
    <t>De normaalspanning (sigma) bij 5% rek</t>
  </si>
  <si>
    <t>De schuifspanning (tau) bij 5% rek</t>
  </si>
  <si>
    <t>De normaalspanning (sigma) bij 10% rek</t>
  </si>
  <si>
    <t>De schuifspanning (tau) bij 10% rek</t>
  </si>
  <si>
    <t>De normaalspanning (sigma) bij 15% rek</t>
  </si>
  <si>
    <t>De schuifspanning (tau) bij 15% rek</t>
  </si>
  <si>
    <t>De normaalspanning (sigma) bij 20% rek</t>
  </si>
  <si>
    <t>De schuifspanning (tau) bij 20% rek</t>
  </si>
  <si>
    <t>De normaalspanning (sigma) bij de maximale schuifspanning (bij tau_piek)</t>
  </si>
  <si>
    <t xml:space="preserve">De maximale schuifspanning (tau_piek) </t>
  </si>
  <si>
    <t>De rek op het moment dat de schuifspanning maximaal is</t>
  </si>
  <si>
    <t>De axiale spanning (sigma) bij het einde van de proef (bij tau_eind)</t>
  </si>
  <si>
    <t>De schuifspanning (tau_eind) bij het einde van de proef</t>
  </si>
  <si>
    <t>De rek bij het einde van de proef</t>
  </si>
  <si>
    <t>Databaseveld komt te vervallen</t>
  </si>
  <si>
    <t>De schuifmodulus G50. De G50 wordt bepaald door de helling van de tau-rek curve op het moment dat de halve pieksterkte wordt gehaald.</t>
  </si>
  <si>
    <t>Bestandnaam van de pdf waarin de triaxiaal-proef is gerapporteerd</t>
  </si>
  <si>
    <t>Monsternummering van de triaxiaal-proef</t>
  </si>
  <si>
    <t>Laboratorium waar de triaxiaal-proef is uitgevoerd</t>
  </si>
  <si>
    <t>Bij de uitvoering van de triaxiaal-proef aangehouden normen</t>
  </si>
  <si>
    <t>Datum waarop de triaxiaal-proef is uitgevoerd</t>
  </si>
  <si>
    <t>Niveau van het monster van de triaxiaal-proef</t>
  </si>
  <si>
    <t>Diameter van het proefstuk dat in het triaxiaal-apparaat is beproefd voor beproeving</t>
  </si>
  <si>
    <t>Hoogte van het proefstuk dat in het triaxiaal-apparaat is beproefd voor beproeving</t>
  </si>
  <si>
    <t>Type triaxiaalproef [gedraineerd, ongedraineerd, geconsolideerd, niet geconsolideerd]</t>
  </si>
  <si>
    <t>Manier/methode waarop membraam correctie is toegepast</t>
  </si>
  <si>
    <t>Beschrijving vna de aangehouden overige correcties</t>
  </si>
  <si>
    <t>Backpressure</t>
  </si>
  <si>
    <t>Consolidatiewijze: [volledig isotroop, volledig anisotroop, eerst isotroop en vervolgens anisotroop]
Shansep methode (bij consolidatie belasten tot voorbij de grensspanning en vervolgens ontlasten): [wel of niet toegepast]</t>
  </si>
  <si>
    <t>Aangehouden spanningsverhouding bij het stopcriterium (K)</t>
  </si>
  <si>
    <t>Stopcriterium in de consolidatiefase</t>
  </si>
  <si>
    <t>Gemiddelde effectieve normaalspanning aan het eind van de isotrope consolidatiefase</t>
  </si>
  <si>
    <t>Schuifspanning aan het eind van de isotrope consolidatiefase. Deze is 0 kPa bij isotrope consolidatie</t>
  </si>
  <si>
    <t>Gemiddelde effectieve spanning behorende bij de maximale consolidatiespanning (alleen van toepassing bij Shansep methode)</t>
  </si>
  <si>
    <t>Schuifspanning behorende bij de maximale consolidatiespanning (alleen van toepassing bij Shansep methode)</t>
  </si>
  <si>
    <t>Gemiddeld effectieve normaalspanning behorende bij de eind consolidatiespanning s' = 0,5 * (sigma_1' + sigma_3')</t>
  </si>
  <si>
    <t>Schuifspanning behorende bij de eind consolidatiespanning</t>
  </si>
  <si>
    <t>Overconsolidatieratio bepaald op basis van de maximale consolidatiespanning en de eind consolidatiespanning</t>
  </si>
  <si>
    <t>Bereikte axiale rek tijdens de consolidatiefase</t>
  </si>
  <si>
    <t>Bereikte volumerek tijdens de consolidatiefase</t>
  </si>
  <si>
    <t>Stopcriterium in de afschuiffase</t>
  </si>
  <si>
    <t>Aangehouden axiale reksnelheid tijdens het afschuiven</t>
  </si>
  <si>
    <t>Gemiddelde effectieve normaalspanning bij 2% rek</t>
  </si>
  <si>
    <t>Schuifspanning bij 2% rek</t>
  </si>
  <si>
    <t>Gemiddelde effectieve normaalspanning bij 5% rek</t>
  </si>
  <si>
    <t>Schuifspanning bij 5% rek</t>
  </si>
  <si>
    <t>Gemiddelde effectieve normaalspanning bij 15% rek</t>
  </si>
  <si>
    <t>Schuifspanning bij 15% rek</t>
  </si>
  <si>
    <t>Gemiddelde effectieve normaalspanning bij de maximale schuifspanning (T_PIEK)</t>
  </si>
  <si>
    <t>Maximale schuifspanning (T_PIEK)</t>
  </si>
  <si>
    <t>Rek bij de maximale schuifspanning (T_PIEK)</t>
  </si>
  <si>
    <t>Gemiddelde effectieve normaalspanning bij de eind schuifspanning / eindrek (T_EIND)</t>
  </si>
  <si>
    <t>Eind schuifspanning bij de eindrek (T_EIND)</t>
  </si>
  <si>
    <t>Eindrek behorend bij de eind schuifspanning (T_EIND)</t>
  </si>
  <si>
    <t>Ongedraineerde elasticiteit Eundrained;50%. Bepaald bij 50% van de maximale schuifspanning [T_50% = (T_0:start schuifspanning + T_PIEK:maximale schuifspanning) / 2]</t>
  </si>
  <si>
    <t>Rek behorend bij de ongedraineerde elasticiteit Eundrained;50%</t>
  </si>
  <si>
    <t>De skempton-A factor bepaald op basis van de wateroverspanning tijdens afschuiffase (bij T_PIEK)</t>
  </si>
  <si>
    <t>koppeling pdf(hyperlink)</t>
  </si>
  <si>
    <t>Monster-id</t>
  </si>
  <si>
    <t>Naam laboratorium +plaats</t>
  </si>
  <si>
    <t>Consolidatie-spanning</t>
  </si>
  <si>
    <t>e b;50max deviator</t>
  </si>
  <si>
    <t>Eundr, 50max deviator</t>
  </si>
  <si>
    <t>s' 1e trap2% rek</t>
  </si>
  <si>
    <t>s' 2e trap2% rek</t>
  </si>
  <si>
    <t>s' 3e trap2% rek</t>
  </si>
  <si>
    <t>t 1e trap2% rek</t>
  </si>
  <si>
    <t>t 2e trap2% rek</t>
  </si>
  <si>
    <t>t 3e trap2% rek</t>
  </si>
  <si>
    <t>c'2% rek</t>
  </si>
  <si>
    <t>f'2% rek</t>
  </si>
  <si>
    <t>s' 1e trap5% rek</t>
  </si>
  <si>
    <t>s' 2e trap5% rek</t>
  </si>
  <si>
    <t>s' 3e trap5% rek</t>
  </si>
  <si>
    <t>t 1e trap5% rek</t>
  </si>
  <si>
    <t>t 2e trap5% rek</t>
  </si>
  <si>
    <t>t 3e trap5% rek</t>
  </si>
  <si>
    <t>c'5% rek</t>
  </si>
  <si>
    <t>f'5% rek</t>
  </si>
  <si>
    <t>phi'1</t>
  </si>
  <si>
    <t>c'1</t>
  </si>
  <si>
    <t>phi'2</t>
  </si>
  <si>
    <t>c'2</t>
  </si>
  <si>
    <t>phi'3</t>
  </si>
  <si>
    <t>c'3</t>
  </si>
  <si>
    <t>phi'4</t>
  </si>
  <si>
    <t>c'4</t>
  </si>
  <si>
    <t>phi'5</t>
  </si>
  <si>
    <t>c'5</t>
  </si>
  <si>
    <t>eindspanning</t>
  </si>
  <si>
    <t>TYPE</t>
  </si>
  <si>
    <t>Boolean</t>
  </si>
  <si>
    <t>String</t>
  </si>
  <si>
    <t>Double</t>
  </si>
  <si>
    <t>Date</t>
  </si>
  <si>
    <t>BEREIK_DOMEINWAARDEN</t>
  </si>
  <si>
    <t>WAAR/ONWAAR of TRUE/FALSE</t>
  </si>
  <si>
    <t>-7000 / +300 000</t>
  </si>
  <si>
    <t>+289 000 / 629 000</t>
  </si>
  <si>
    <t>-100,00 - +500,00</t>
  </si>
  <si>
    <t>kruin, binnentalud, buitentalud, teen, achterland of KR, BITA, BUTA, BUT, BIT, AL</t>
  </si>
  <si>
    <t>-100,0 - +500,0</t>
  </si>
  <si>
    <t>+0,0 - +50,0</t>
  </si>
  <si>
    <t>+10 / - 50</t>
  </si>
  <si>
    <t>+5,0 - +30,0</t>
  </si>
  <si>
    <t>+0,0 - +30,0</t>
  </si>
  <si>
    <t>0,0 - 1000,0</t>
  </si>
  <si>
    <t>0% - 100%</t>
  </si>
  <si>
    <t>0 - 10</t>
  </si>
  <si>
    <t>0% - 110%</t>
  </si>
  <si>
    <t>0 - 3000</t>
  </si>
  <si>
    <t>0 - 1000</t>
  </si>
  <si>
    <t>63 mu - 2000 mu</t>
  </si>
  <si>
    <t>0%-100%</t>
  </si>
  <si>
    <t>1 - 30</t>
  </si>
  <si>
    <t>0 / 100 000</t>
  </si>
  <si>
    <t>0 / 5 000</t>
  </si>
  <si>
    <t>0 / 20</t>
  </si>
  <si>
    <t>0 / 50 000</t>
  </si>
  <si>
    <t>0  / 50</t>
  </si>
  <si>
    <t>0 - 1</t>
  </si>
  <si>
    <t>0 - 5000</t>
  </si>
  <si>
    <t>0 - 50</t>
  </si>
  <si>
    <t>constante hoogte, constante bovenbelasting, Shansep toegepast, Shansep niet toegepast</t>
  </si>
  <si>
    <t>0-10</t>
  </si>
  <si>
    <t>0 / 50</t>
  </si>
  <si>
    <t>volledig isotroop, volledig anisotroop, eerst isotroop en vervolgens anisotroop, Shansep toegepast, Shansep niet toegepast</t>
  </si>
  <si>
    <t>0 - 100</t>
  </si>
  <si>
    <t>0 - 90</t>
  </si>
  <si>
    <t>LEESBARE_NAAM_DATABASE</t>
  </si>
  <si>
    <t>ALG  CLASSIFICATIE</t>
  </si>
  <si>
    <t>ALG  VEENCLASSIFICATIE</t>
  </si>
  <si>
    <t>ALG  KORRELVERDELING</t>
  </si>
  <si>
    <t>ALG  SONDEERWAARDE</t>
  </si>
  <si>
    <t>ALG  CRS</t>
  </si>
  <si>
    <t>ALG  SAMENDRUKKING</t>
  </si>
  <si>
    <t>ALG  DSS</t>
  </si>
  <si>
    <t>ALG  TRIAXIAAL</t>
  </si>
  <si>
    <t>ALG  BORING MONSTERNR ID</t>
  </si>
  <si>
    <t>ALG OPDRACHTGEVER</t>
  </si>
  <si>
    <t>ALG PROJECTNAAM</t>
  </si>
  <si>
    <t>ALG PROJECTNUMMER</t>
  </si>
  <si>
    <t>ALG NAAM POLDER DIJK</t>
  </si>
  <si>
    <t>ALG REFERENTIE</t>
  </si>
  <si>
    <t>ALG REGIO</t>
  </si>
  <si>
    <t>ALG TYPE WATERKERING</t>
  </si>
  <si>
    <t>ALG AANLEGJAAR</t>
  </si>
  <si>
    <t>ALG BODEMKAART</t>
  </si>
  <si>
    <t>ALG GEOLOGIE</t>
  </si>
  <si>
    <t>ALG FILENAAM GEOT PROFIEL</t>
  </si>
  <si>
    <t>BORING XID</t>
  </si>
  <si>
    <t>BORING YID</t>
  </si>
  <si>
    <t>BORING MAAIVELDPEIL</t>
  </si>
  <si>
    <t>BORING NUMMER</t>
  </si>
  <si>
    <t>BORING POSITIE</t>
  </si>
  <si>
    <t>BORING DATUM</t>
  </si>
  <si>
    <t>BORING FILENAAM PDF</t>
  </si>
  <si>
    <t>BORING FILENAAM GEF</t>
  </si>
  <si>
    <t>BORING BEDRIJF</t>
  </si>
  <si>
    <t>BORING BOORMEESTER</t>
  </si>
  <si>
    <t>BORING METHODE</t>
  </si>
  <si>
    <t>BORING OPNAME GWS</t>
  </si>
  <si>
    <t>BORING GLG</t>
  </si>
  <si>
    <t>MONSTER ID</t>
  </si>
  <si>
    <t>MONSTER STEEKMETHODE</t>
  </si>
  <si>
    <t>MONSTER OPSLAGWIJZE</t>
  </si>
  <si>
    <t>MONSTER NIVEAU NAP VANAF</t>
  </si>
  <si>
    <t>MONSTER NIVEAU NAP TOT</t>
  </si>
  <si>
    <t>MONSTER NIVEAU MV VANAF</t>
  </si>
  <si>
    <t>MONSTER NIVEAU MV TOT</t>
  </si>
  <si>
    <t>MONSTER TOTAAL VOLUMEGEWICHT</t>
  </si>
  <si>
    <t>CLAS FILENAAM PDF</t>
  </si>
  <si>
    <t>CLAS FILENAAM DIGITAAL</t>
  </si>
  <si>
    <t>CLAS MONSTERID</t>
  </si>
  <si>
    <t>CLAS LABORATORIUM</t>
  </si>
  <si>
    <t>CLAS NORMEN</t>
  </si>
  <si>
    <t>CLAS DATUM</t>
  </si>
  <si>
    <t>CLAS GRONDSOORT</t>
  </si>
  <si>
    <t>CLAS OVERIGE BESTANDDELEN</t>
  </si>
  <si>
    <t>CLAS MONSTERNIVEAU</t>
  </si>
  <si>
    <t>CLAS VOLUMEGEWICHT NAT</t>
  </si>
  <si>
    <t>CLAS VOLUMEGEWICHT DRG</t>
  </si>
  <si>
    <t>CLAS WATERGEHALTE</t>
  </si>
  <si>
    <t>CLAS POROSITEIT</t>
  </si>
  <si>
    <t>CLAS PORIENGETAL</t>
  </si>
  <si>
    <t>CLAS VERZADIGINGSGRAAD</t>
  </si>
  <si>
    <t>CLAS VOLUMEGEWICHT VERZADIGD</t>
  </si>
  <si>
    <t>CLAS SPECIFIEKE MASSA INSCHATTING</t>
  </si>
  <si>
    <t>CLAS SPECIFIEKE MASSA</t>
  </si>
  <si>
    <t>CLAS GLOEIVERLIES</t>
  </si>
  <si>
    <t>CLAS KALKGEHALTE</t>
  </si>
  <si>
    <t>CLAS POCKETPENETRO</t>
  </si>
  <si>
    <t>CLAS TORVANE</t>
  </si>
  <si>
    <t>CLAS FALLINGHEAD K10</t>
  </si>
  <si>
    <t>CLAS CONSTANTHEAD K10</t>
  </si>
  <si>
    <t>CLAS OPMERKING</t>
  </si>
  <si>
    <t>CLAS AT VLOEIGRENS CAS</t>
  </si>
  <si>
    <t>CLAS AT UITROLGRENS</t>
  </si>
  <si>
    <t>CLAS AT PI</t>
  </si>
  <si>
    <t>CLAS AT IC</t>
  </si>
  <si>
    <t>CLAS VN FILENAAM PDF</t>
  </si>
  <si>
    <t>CLAS VN FILENAAM DIGITAAL</t>
  </si>
  <si>
    <t>CLAS VN HOOFDNAAM</t>
  </si>
  <si>
    <t>CLAS VN BOTANISCH</t>
  </si>
  <si>
    <t>CLAS VN VERWERINGSGRAAD</t>
  </si>
  <si>
    <t>CLAS VN WATERGEHALTE</t>
  </si>
  <si>
    <t>CLAS VN FIJNEVEZELS</t>
  </si>
  <si>
    <t>CLAS VN GROVEVEZELS</t>
  </si>
  <si>
    <t>CLAS VN HOUT</t>
  </si>
  <si>
    <t>CLAS VN GLOEIVERLIES</t>
  </si>
  <si>
    <t>CLAS VN ASGEHALTE</t>
  </si>
  <si>
    <t>KV FILENAAM PDF</t>
  </si>
  <si>
    <t>KV FILENAAM GEF</t>
  </si>
  <si>
    <t>KV MONSTERID</t>
  </si>
  <si>
    <t>KV LABORATORIUM</t>
  </si>
  <si>
    <t>KV NORMEN</t>
  </si>
  <si>
    <t>KV DATUM</t>
  </si>
  <si>
    <t>KV CLASSIFICATIE</t>
  </si>
  <si>
    <t>KV OVERIGE BESTANDDELEN</t>
  </si>
  <si>
    <t>KV MEDIAAN ZANDFRACTIE</t>
  </si>
  <si>
    <t>KV MEDIAAN ALLEFRACTIES</t>
  </si>
  <si>
    <t>KV GRIND%</t>
  </si>
  <si>
    <t>KV ZAND%</t>
  </si>
  <si>
    <t>KV SILT%</t>
  </si>
  <si>
    <t>KV DOOR 63MM</t>
  </si>
  <si>
    <t>KV DOOR 31.5MM</t>
  </si>
  <si>
    <t>KV DOOR 16MM</t>
  </si>
  <si>
    <t>KV DOOR 8MM</t>
  </si>
  <si>
    <t>KV DOOR 4MM</t>
  </si>
  <si>
    <t>KV DOOR 2MM</t>
  </si>
  <si>
    <t>KV DOOR 1MM</t>
  </si>
  <si>
    <t>KV DOOR 500MU</t>
  </si>
  <si>
    <t>KV DOOR 250MU</t>
  </si>
  <si>
    <t>KV DOOR 180MU</t>
  </si>
  <si>
    <t>KV DOOR 125MU</t>
  </si>
  <si>
    <t>KV DOOR 63MU</t>
  </si>
  <si>
    <t>KV DOOR 32MU</t>
  </si>
  <si>
    <t>KV DOOR 20MU</t>
  </si>
  <si>
    <t>KV DOOR 16MU</t>
  </si>
  <si>
    <t>KV DOOR 2MU</t>
  </si>
  <si>
    <t>KV D70</t>
  </si>
  <si>
    <t>KV D60</t>
  </si>
  <si>
    <t>KV D50</t>
  </si>
  <si>
    <t>KV D10</t>
  </si>
  <si>
    <t>KV CU ZAND</t>
  </si>
  <si>
    <t>CPT FILENAAM PDF</t>
  </si>
  <si>
    <t>CPT FILENAAM GEF</t>
  </si>
  <si>
    <t>CPT NIVEAU</t>
  </si>
  <si>
    <t>CPT TRAJECTLENGTE GEM</t>
  </si>
  <si>
    <t>CPT CONUSWEERSTAND GEM</t>
  </si>
  <si>
    <t>CPT WRIJVINGSWEERSTAND GEM</t>
  </si>
  <si>
    <t>CPT WRIJVINGSGETAL GEM</t>
  </si>
  <si>
    <t>CPT WATERSPANNING GEM</t>
  </si>
  <si>
    <t>CPT QNET</t>
  </si>
  <si>
    <t>CPT QT</t>
  </si>
  <si>
    <t>CPT VO</t>
  </si>
  <si>
    <t>CPT KLASSE</t>
  </si>
  <si>
    <t>CPT A FACTOR</t>
  </si>
  <si>
    <t>CPT QBALL</t>
  </si>
  <si>
    <t>CRS FILENAAM PDF</t>
  </si>
  <si>
    <t>CRS FILENAAM SPANNINGSPAD</t>
  </si>
  <si>
    <t>CRS MONSTERID</t>
  </si>
  <si>
    <t>CRS LABORATORIUM</t>
  </si>
  <si>
    <t>CRS NORM</t>
  </si>
  <si>
    <t>CRS DATUM</t>
  </si>
  <si>
    <t>CRS CLASSIFICATIE</t>
  </si>
  <si>
    <t>CRS OVERIGE BESTANDDELEN</t>
  </si>
  <si>
    <t>CRS MONSTERNIVEAU</t>
  </si>
  <si>
    <t>CRS TERREINSPANNING</t>
  </si>
  <si>
    <t>CRS VOLUMEGEWICHT NAT</t>
  </si>
  <si>
    <t>CRS VOLUMEGEWICHT DRG</t>
  </si>
  <si>
    <t>CRS WATERGEHALTE VOOR</t>
  </si>
  <si>
    <t>CRS WATERGEHALTE NA PROEF</t>
  </si>
  <si>
    <t>CRS VERZADIGING</t>
  </si>
  <si>
    <t>CRS TEMPERATUUR PROEF MAX</t>
  </si>
  <si>
    <t>CRS TEMPERATUUR PROEF MIN</t>
  </si>
  <si>
    <t>CRS PROEFSTUKDIAMETER VOOR</t>
  </si>
  <si>
    <t>CRS PROEFSTUKHOOGTE VOOR</t>
  </si>
  <si>
    <t>CRS PROEFSTUKHOOGTE NA VERZADIGING</t>
  </si>
  <si>
    <t>CRS PROEFSTUKHOOGTE NA PROEF</t>
  </si>
  <si>
    <t>CRS REKSNELHEID BELASTEN</t>
  </si>
  <si>
    <t>CRS REKSNELHEID ONTLASTEN</t>
  </si>
  <si>
    <t>CRS RELAXATIEDUUR</t>
  </si>
  <si>
    <t>CRS EFF SPANNING START RELAXATIE</t>
  </si>
  <si>
    <t>CRS EFF SPANNING EIND RELAXATIE</t>
  </si>
  <si>
    <t>CRS EFF VERT SPANNING START ONTLASTEN</t>
  </si>
  <si>
    <t>CRS EFF VERT SPANNING EIND ONTLASTEN</t>
  </si>
  <si>
    <t>CRS EFF VERT SPANNING EIND PROEF</t>
  </si>
  <si>
    <t>CRS MAX REL WATEROVERSPANNING PROEF</t>
  </si>
  <si>
    <t>CRS GRENSSPANNING A</t>
  </si>
  <si>
    <t>CRS REK BIJ GRENSSPANNING A</t>
  </si>
  <si>
    <t>CRS BOVENGRENS GRENSSPANNING B</t>
  </si>
  <si>
    <t>CRS ISOTACHE A</t>
  </si>
  <si>
    <t>CRS ISOTACHE B</t>
  </si>
  <si>
    <t>CRS ISOTACHE C</t>
  </si>
  <si>
    <t>SD FILENAAM PDF</t>
  </si>
  <si>
    <t>SD FILENAAM SPANNINGSPAD</t>
  </si>
  <si>
    <t>SD MONSTERID</t>
  </si>
  <si>
    <t>SD LABORATORIUM</t>
  </si>
  <si>
    <t>SD NORM</t>
  </si>
  <si>
    <t>SD DATUM</t>
  </si>
  <si>
    <t>SD CLASSIFICATIE</t>
  </si>
  <si>
    <t>SD OVERIGE BESTANDDELEN</t>
  </si>
  <si>
    <t>SD MONSTERNIVEAU</t>
  </si>
  <si>
    <t>SD TERREINSPANNING</t>
  </si>
  <si>
    <t>SD VOLUMEGEWICHT NAT</t>
  </si>
  <si>
    <t>SD VOLUMEGEWICHT DR</t>
  </si>
  <si>
    <t>SD WATERGEHALTE INI</t>
  </si>
  <si>
    <t>SD WATERGEHALTE NA PROEF</t>
  </si>
  <si>
    <t>SD PORIENGETAL</t>
  </si>
  <si>
    <t>SD MAX TEMPERATUUR PROEF</t>
  </si>
  <si>
    <t>SD MIN TEMPERATUUR PROEF</t>
  </si>
  <si>
    <t>SD BELAST ONTLASTSTAPPEN</t>
  </si>
  <si>
    <t>SD TYPEPROEF</t>
  </si>
  <si>
    <t>SD BJERRUM GRENSSPANNING</t>
  </si>
  <si>
    <t>SD BJERRUM REK BIJ GRENSSPANNING</t>
  </si>
  <si>
    <t>SD BJERRUM CC</t>
  </si>
  <si>
    <t>SD BJERRUM CC TRAP1 2</t>
  </si>
  <si>
    <t>SD BJERRUM CC TRAP2 3</t>
  </si>
  <si>
    <t>SD BJERRUM CC TRAP3 4</t>
  </si>
  <si>
    <t>SD BJERRUM CC TRAP4 5</t>
  </si>
  <si>
    <t>SD BJERRUM CC TRAP5 6</t>
  </si>
  <si>
    <t>SD BJERRUM CC TRAP6 7</t>
  </si>
  <si>
    <t>SD BJERRUM CC TRAP7 8</t>
  </si>
  <si>
    <t>SD BJERRUM CC TRAP8 9</t>
  </si>
  <si>
    <t>SD BJERRUM CC TRAP9 10</t>
  </si>
  <si>
    <t>SD BJERRUM CR</t>
  </si>
  <si>
    <t>SD BJERRUM CR TRAP1 2</t>
  </si>
  <si>
    <t>SD BJERRUM CR TRAP2 3</t>
  </si>
  <si>
    <t>SD BJERRUM CR TRAP3 4</t>
  </si>
  <si>
    <t>SD BJERRUM CR TRAP4 5</t>
  </si>
  <si>
    <t>SD BJERRUM CR TRAP5 6</t>
  </si>
  <si>
    <t>SD BJERRUM CR TRAP6 7</t>
  </si>
  <si>
    <t>SD BJERRUM CR TRAP7 8</t>
  </si>
  <si>
    <t>SD BJERRUM SR TRAP8 9</t>
  </si>
  <si>
    <t>SD BJERRUM RR TRAP9 10</t>
  </si>
  <si>
    <t>SD BJERRUM CALPHA</t>
  </si>
  <si>
    <t>SD BJERRUM CALPHA TRAP1</t>
  </si>
  <si>
    <t>SD BJERRUM CALPHA TRAP2</t>
  </si>
  <si>
    <t>SD BJERRUM CALPHA TRAP3</t>
  </si>
  <si>
    <t>SD BJERRUM CALPHA TRAP4</t>
  </si>
  <si>
    <t>SD BJERRUM CALPHA TRAP5</t>
  </si>
  <si>
    <t>SD BJERRUM CALPHA TRAP6</t>
  </si>
  <si>
    <t>SD BJERRUM CALPHA TRAP7</t>
  </si>
  <si>
    <t>SD BJERRUM CALPHA TRAP8</t>
  </si>
  <si>
    <t>SD BJERRUM CALPHA TRAP9</t>
  </si>
  <si>
    <t>SD BJERRUM CALPHA TRAP10</t>
  </si>
  <si>
    <t>SD BJERRUM V0</t>
  </si>
  <si>
    <t>SD KOPPEJAN GRENSSPANNING</t>
  </si>
  <si>
    <t>SD KOPPEJAN REK BIJ GRENSSPANNING</t>
  </si>
  <si>
    <t>SD KOPPEJAN C</t>
  </si>
  <si>
    <t>SD KOPPEJAN C'</t>
  </si>
  <si>
    <t>SD KOPPEJAN C TRAP2 3</t>
  </si>
  <si>
    <t>SD KOPPEJAN C TRAP3 4</t>
  </si>
  <si>
    <t>SD KOPPEJAN C TRAP4 5</t>
  </si>
  <si>
    <t>SD KOPPEJAN C TRAP5 6</t>
  </si>
  <si>
    <t>SD KOPPEJAN C TRAP6 7</t>
  </si>
  <si>
    <t>SD KOPPEJAN C TRAP7 8</t>
  </si>
  <si>
    <t>SD KOPPEJAN C TRAP8 9</t>
  </si>
  <si>
    <t>SD KOPPEJAN CP</t>
  </si>
  <si>
    <t>SD KOPPEJAN C'P</t>
  </si>
  <si>
    <t>SD KOPPEJAN CP TRAP2 3</t>
  </si>
  <si>
    <t>SD KOPPEJAN CP TRAP3 4</t>
  </si>
  <si>
    <t>SD KOPPEJAN CP TRAP4 5</t>
  </si>
  <si>
    <t>SD KOPPEJAN CP TRAP5 6</t>
  </si>
  <si>
    <t>SD KOPPEJAN CP TRAP6 7</t>
  </si>
  <si>
    <t>SD KOPPEJAN CP TRAP7 8</t>
  </si>
  <si>
    <t>SD KOPPEJAN CP TRAP8 9</t>
  </si>
  <si>
    <t>SD KOPPEJAN CS</t>
  </si>
  <si>
    <t>SD KOPPEJAN C'S</t>
  </si>
  <si>
    <t>SD KOPPEJAN CS TRAP2 3</t>
  </si>
  <si>
    <t>SD KOPPEJAN CS TRAP3 4</t>
  </si>
  <si>
    <t>SD KOPPEJAN CS TRAP4 5</t>
  </si>
  <si>
    <t>SD KOPPEJAN CS TRAP5 6</t>
  </si>
  <si>
    <t>SD KOPPEJAN CS TRAP6 7</t>
  </si>
  <si>
    <t>SD KOPPEJAN CS TRAP7 8</t>
  </si>
  <si>
    <t>SD KOPPEJAN CS TRAP8 9</t>
  </si>
  <si>
    <t>SD ISOTACHE A</t>
  </si>
  <si>
    <t>SD ISOTACHE B</t>
  </si>
  <si>
    <t>SD ISOTACHE C</t>
  </si>
  <si>
    <t>SD ISOTACHE GRENSSPANNING A</t>
  </si>
  <si>
    <t>SD ISOTACHE REK BIJ GRENSSPANNING A</t>
  </si>
  <si>
    <t>SD ISOTACHE BOVENGRENS GRENSSPANNING B</t>
  </si>
  <si>
    <t>SD CASAGRANDE CV10 TRAP2</t>
  </si>
  <si>
    <t>SD CASAGRANDE CV10 TRAP3</t>
  </si>
  <si>
    <t>SD CASAGRANDE CV10 TRAP4</t>
  </si>
  <si>
    <t>SD CASAGRANDE CV10 TRAP5</t>
  </si>
  <si>
    <t>SD CASAGRANDE CV10 TRAP6</t>
  </si>
  <si>
    <t>SD CASAGRANDE CV10 TRAP7</t>
  </si>
  <si>
    <t>SD CASAGRANDE CV10 TRAP8</t>
  </si>
  <si>
    <t>SD CASAGRANDE CV10 TRAP9</t>
  </si>
  <si>
    <t>SD CASAGRANDE K10 TRAP2</t>
  </si>
  <si>
    <t>SD CASAGRANDE K10 TRAP3</t>
  </si>
  <si>
    <t>SD CASAGRANDE K10 TRAP4</t>
  </si>
  <si>
    <t>SD CASAGRANDE K10 TRAP5</t>
  </si>
  <si>
    <t>SD CASAGRANDE K10 TRAP6</t>
  </si>
  <si>
    <t>SD CASAGRANDE K10 TRAP7</t>
  </si>
  <si>
    <t>SD CASAGRANDE K10 TRAP8</t>
  </si>
  <si>
    <t>SD CASAGRANDE K10 TRAP9</t>
  </si>
  <si>
    <t>SD CASAGRANDE MV TRAP2</t>
  </si>
  <si>
    <t>SD CASAGRANDE MV TRAP3</t>
  </si>
  <si>
    <t>SD CASAGRANDE MV TRAP4</t>
  </si>
  <si>
    <t>SD CASAGRANDE MV TRAP5</t>
  </si>
  <si>
    <t>SD CASAGRANDE MV TRAP6</t>
  </si>
  <si>
    <t>SD CASAGRANDE MV TRAP7</t>
  </si>
  <si>
    <t>SD CASAGRANDE MV TRAP8</t>
  </si>
  <si>
    <t>SD CASAGRANDE MV TRAP9</t>
  </si>
  <si>
    <t>SD CASAGRANDE SPANNING CV10 TRAP2</t>
  </si>
  <si>
    <t>SD CASAGRANDE SPANNING CV10 TRAP3</t>
  </si>
  <si>
    <t>SD CASAGRANDE SPANNING CV10 TRAP4</t>
  </si>
  <si>
    <t>SD CASAGRANDE SPANNING CV10 TRAP5</t>
  </si>
  <si>
    <t>SD CASAGRANDE SPANNING CV10 TRAP6</t>
  </si>
  <si>
    <t>SD CASAGRANDE SPANNING CV10 TRAP7</t>
  </si>
  <si>
    <t>SD CASAGRANDE SPANNING CV10 TRAP8</t>
  </si>
  <si>
    <t>SD CASAGRANDE SPANNING CV10 TRAP9</t>
  </si>
  <si>
    <t>SD TAYLOR CV10 TRAP2</t>
  </si>
  <si>
    <t>SD TAYLOR CV10 TRAP3</t>
  </si>
  <si>
    <t>SD TAYLOR CV10 TRAP4</t>
  </si>
  <si>
    <t>SD TAYLOR CV10 TRAP5</t>
  </si>
  <si>
    <t>SD TAYLOR CV10 TRAP6</t>
  </si>
  <si>
    <t>SD TAYLOR CV10 TRAP7</t>
  </si>
  <si>
    <t>SD TAYLOR CV10 TRAP8</t>
  </si>
  <si>
    <t>SD TAYLOR CV10 TRAP9</t>
  </si>
  <si>
    <t>SD TAYLOR K10 TRAP2</t>
  </si>
  <si>
    <t>SD TAYLOR K10 TRAP3</t>
  </si>
  <si>
    <t>SD TAYLOR K10 TRAP4</t>
  </si>
  <si>
    <t>SD TAYLOR K10 TRAP5</t>
  </si>
  <si>
    <t>SD TAYLOR K10 TRAP6</t>
  </si>
  <si>
    <t>SD TAYLOR K10 TRAP7</t>
  </si>
  <si>
    <t>SD TAYLOR K10 TRAP8</t>
  </si>
  <si>
    <t>SD TAYLOR K10 TRAP9</t>
  </si>
  <si>
    <t>SD TAYLOR MV TRAP2</t>
  </si>
  <si>
    <t>SD TAYLOR MV TRAP3</t>
  </si>
  <si>
    <t>SD TAYLOR MV TRAP4</t>
  </si>
  <si>
    <t>SD TAYLOR MV TRAP5</t>
  </si>
  <si>
    <t>SD TAYLOR MV TRAP6</t>
  </si>
  <si>
    <t>SD TAYLOR MV TRAP7</t>
  </si>
  <si>
    <t>SD TAYLOR MV TRAP8</t>
  </si>
  <si>
    <t>SD TAYLOR MV TRAP9</t>
  </si>
  <si>
    <t>SD TAYLOR SPANNING CV10 TRAP2</t>
  </si>
  <si>
    <t>SD TAYLOR SPANNING CV10 TRAP3</t>
  </si>
  <si>
    <t>SD TAYLOR SPANNING CV10 TRAP4</t>
  </si>
  <si>
    <t>SD TAYLOR SPANNING CV10 TRAP5</t>
  </si>
  <si>
    <t>SD TAYLOR SPANNING CV10 TRAP6</t>
  </si>
  <si>
    <t>SD TAYLOR SPANNING CV10 TRAP7</t>
  </si>
  <si>
    <t>SD TAYLOR SPANNING CV10 TRAP8</t>
  </si>
  <si>
    <t>SD TAYLOR SPANNING CV10 TRAP9</t>
  </si>
  <si>
    <t>DSS FILENAAM PDF</t>
  </si>
  <si>
    <t>DSS FILENAAM SPANNINGSPAD</t>
  </si>
  <si>
    <t>DSS MONSTERID</t>
  </si>
  <si>
    <t>DSS LABORATORIUM</t>
  </si>
  <si>
    <t>DSS NORM</t>
  </si>
  <si>
    <t>DSS DATUM</t>
  </si>
  <si>
    <t>DSS CLASSIFICATIE</t>
  </si>
  <si>
    <t>DSS OVERIGE BESTANDDELEN</t>
  </si>
  <si>
    <t>DSS MONSTERNIVEAU</t>
  </si>
  <si>
    <t>DSS TERREINSPANNING</t>
  </si>
  <si>
    <t>DSS VOLUMEGEWICHT NAT</t>
  </si>
  <si>
    <t>DSS VOLUMEGEWICHT DRG</t>
  </si>
  <si>
    <t>DSS WATERGEHALTE VOOR</t>
  </si>
  <si>
    <t>DSS WATERGEHALTE NA PROEF</t>
  </si>
  <si>
    <t>DSS VERZADIGINGGRAAD VOOR</t>
  </si>
  <si>
    <t>DSS PORIENGETAL VOOR</t>
  </si>
  <si>
    <t>DSS PORIENGETAL EINDE CONSOLIDATIE</t>
  </si>
  <si>
    <t>DSS SPECIFIEKE MASSA</t>
  </si>
  <si>
    <t>DSS TEMPERATUUR PROEF MAX</t>
  </si>
  <si>
    <t>DSS TEMPERATUUR PROEF MIN</t>
  </si>
  <si>
    <t>DSS PROEFSTUKDIAMETER VOOR</t>
  </si>
  <si>
    <t>DSS PROEFSTUKHOOGTE VOOR</t>
  </si>
  <si>
    <t>DSS PROEFSTUKHOOGTE NA CONSOLIDATIE</t>
  </si>
  <si>
    <t>DSS UITGEVOERDE CORRECTIES</t>
  </si>
  <si>
    <t>DSS UITVOERINGSWIJZE</t>
  </si>
  <si>
    <t>DSS MAX EFF VERT SPANNING CONSOLIDATIE</t>
  </si>
  <si>
    <t>DSS EFF VERT SPANNING EINDE CONSOLIDATIE</t>
  </si>
  <si>
    <t>DSS OCR</t>
  </si>
  <si>
    <t>DSS AXIALEREK EINDE CONSOLIDATIE</t>
  </si>
  <si>
    <t>DSS BELASTINGSSTAPPEN CONSOLIDATIE</t>
  </si>
  <si>
    <t>DSS DUUR CONSOLIDATIE</t>
  </si>
  <si>
    <t>DSS AFSCHUIFSNELHEID %UUR</t>
  </si>
  <si>
    <t>DSS AFSCHUIFSNELHEID MMUUR</t>
  </si>
  <si>
    <t>DSS S 2%</t>
  </si>
  <si>
    <t>DSS T 2%</t>
  </si>
  <si>
    <t>DSS S 5%</t>
  </si>
  <si>
    <t>DSS T 5%</t>
  </si>
  <si>
    <t>DSS S 10%</t>
  </si>
  <si>
    <t>DSS T 10%</t>
  </si>
  <si>
    <t>DSS S 15%</t>
  </si>
  <si>
    <t>DSS T 15%</t>
  </si>
  <si>
    <t>DSS S 20%</t>
  </si>
  <si>
    <t>DSS T 20%</t>
  </si>
  <si>
    <t>DSS S BIJ T MAX</t>
  </si>
  <si>
    <t>DSS T MAX</t>
  </si>
  <si>
    <t>DSS REK BIJ T MAX</t>
  </si>
  <si>
    <t>DSS S BIJ T EIND</t>
  </si>
  <si>
    <t>DSS T EIND</t>
  </si>
  <si>
    <t>DSS REK BIJ T EIND</t>
  </si>
  <si>
    <t>DSS S BIJ MAX S1S3</t>
  </si>
  <si>
    <t>DSS T BIJ MAX S1S3</t>
  </si>
  <si>
    <t>DSS REK BIJ MAX S1S3</t>
  </si>
  <si>
    <t>DSS SCHUIFMODULUS G50</t>
  </si>
  <si>
    <t>TXT SS FILENAAM PDF</t>
  </si>
  <si>
    <t>TXT SS FILENAAM SPANNINGSPAD</t>
  </si>
  <si>
    <t>TXT SS MONSTERID</t>
  </si>
  <si>
    <t>TXT SS LABORATORIUM</t>
  </si>
  <si>
    <t>TXT SS NORM</t>
  </si>
  <si>
    <t>TXT SS DATUM</t>
  </si>
  <si>
    <t>TXT SS CLASSIFICATIE</t>
  </si>
  <si>
    <t>TXT SS OVERIGE BESTANDDELEN</t>
  </si>
  <si>
    <t>TXT SS MONSTERNIVEAU</t>
  </si>
  <si>
    <t>TXT SS TERREINSPANNING</t>
  </si>
  <si>
    <t>TXT SS VOLUMEGEWICHT NAT</t>
  </si>
  <si>
    <t>TXT SS VOLUMEGEWICHT DRG</t>
  </si>
  <si>
    <t>TXT SS WATERGEHALTE NA PROEF</t>
  </si>
  <si>
    <t>TXT SS WATERGEHALTE VOOR</t>
  </si>
  <si>
    <t>TXT SS VERZADIGINGSGRAAD VOOR</t>
  </si>
  <si>
    <t>TXT SS PORIENGETAL VOOR</t>
  </si>
  <si>
    <t>TXT SS SPECIFIEKE MASSA</t>
  </si>
  <si>
    <t>TXT SS TEMPERATUUR PROEF MAX</t>
  </si>
  <si>
    <t>TXT SS TEMPERATUUR PROEF MIN</t>
  </si>
  <si>
    <t>TXT SS PROEFSTUKDIAMETER VOOR</t>
  </si>
  <si>
    <t>TXT SS PROEFSTUKHOOGTE VOOR</t>
  </si>
  <si>
    <t>TXT SS TYPE PROEF</t>
  </si>
  <si>
    <t>TXT SS MEMBRAANCORRECTIE</t>
  </si>
  <si>
    <t>TXT SS OVERIGECORRECTIES</t>
  </si>
  <si>
    <t>TXT SS BACKPRESSURE</t>
  </si>
  <si>
    <t>TXT SS CONSOLIDATIEWIJZE</t>
  </si>
  <si>
    <t>TXT SS SPANNINGSVERHOUDING STOPCR K</t>
  </si>
  <si>
    <t>TXT SS STOPCRITERIUM CONSOLIDATIE</t>
  </si>
  <si>
    <t>TXT SS S' ISOTROOP CONSOLIDATIE</t>
  </si>
  <si>
    <t>TXT SS T ISOTROOP CONSOLIDATIE</t>
  </si>
  <si>
    <t>TXT SS S' MAX CONSOLIDATIE</t>
  </si>
  <si>
    <t>TXT SS T MAX CONSOLIDATIE</t>
  </si>
  <si>
    <t>TXT SS S' EIND CONSOLIDATIE</t>
  </si>
  <si>
    <t>TXT SS T EIND CONSOLIDATIE</t>
  </si>
  <si>
    <t>TXT SS OCR</t>
  </si>
  <si>
    <t>TXT SS AXIALEREK CONSOLIDATIE</t>
  </si>
  <si>
    <t>TXT SS VOLUMEREK CONSOLIDATIE</t>
  </si>
  <si>
    <t>TXT SS STOPCRITERIUM AFSCHUIVEN</t>
  </si>
  <si>
    <t>TXT SS AXIALEREKSNELHEID AFSCHUIVEN</t>
  </si>
  <si>
    <t>TXT SS S' 2%</t>
  </si>
  <si>
    <t>TXT SS T 2%</t>
  </si>
  <si>
    <t>TXT SS S' 5%</t>
  </si>
  <si>
    <t>TXT SS T 5%</t>
  </si>
  <si>
    <t>TXT SS S' 15%</t>
  </si>
  <si>
    <t>TXT SS T 15%</t>
  </si>
  <si>
    <t>TXT SS S' BIJ T PIEK</t>
  </si>
  <si>
    <t>TXT SS T PIEK</t>
  </si>
  <si>
    <t>TXT SS REK BIJ T PIEK</t>
  </si>
  <si>
    <t>TXT SS S' BIJ T EIND</t>
  </si>
  <si>
    <t>TXT SS T EIND</t>
  </si>
  <si>
    <t>TXT SS REK BIJ T EIND</t>
  </si>
  <si>
    <t>TXT SS E UNDR50</t>
  </si>
  <si>
    <t>TXT SS REK BIJ E UNDR50</t>
  </si>
  <si>
    <t>TXT SS SKEMPTON A</t>
  </si>
  <si>
    <t>TXT MS FILENAAM PDF</t>
  </si>
  <si>
    <t>TXT MS FILENAAM SPANNINGSPAD</t>
  </si>
  <si>
    <t>TXT MS MONSTERID</t>
  </si>
  <si>
    <t>TXT MS LABORATORIUM</t>
  </si>
  <si>
    <t>TXT MS CONSOLIDATIESPANNING</t>
  </si>
  <si>
    <t>TXT MS REK BIJ E UNDR50</t>
  </si>
  <si>
    <t>TXT MS E UNDR50</t>
  </si>
  <si>
    <t>TXT MS S1' 2%</t>
  </si>
  <si>
    <t>TXT MS S2' 2%</t>
  </si>
  <si>
    <t>TXT MS S3' 2%</t>
  </si>
  <si>
    <t>TXT MS T1 2%</t>
  </si>
  <si>
    <t>TXT MS T2 2%</t>
  </si>
  <si>
    <t>TXT MS T3 2%</t>
  </si>
  <si>
    <t>TXT MS C 2%</t>
  </si>
  <si>
    <t>TXT MS PHI 2%</t>
  </si>
  <si>
    <t>TXT MS S1' 5%</t>
  </si>
  <si>
    <t>TXT MS S2' 5%</t>
  </si>
  <si>
    <t>TXT MS S3' 5%</t>
  </si>
  <si>
    <t>TXT MS T1 5%</t>
  </si>
  <si>
    <t>TXT MS T2 5%</t>
  </si>
  <si>
    <t>TXT MS T3 5%</t>
  </si>
  <si>
    <t>TXT MS C 5%</t>
  </si>
  <si>
    <t>TXT MS PHI 5%</t>
  </si>
  <si>
    <t>CEL FILENAAM PDF</t>
  </si>
  <si>
    <t>CEL FILENAAM SPANNINGSPAD</t>
  </si>
  <si>
    <t>CEL PHI1</t>
  </si>
  <si>
    <t>CEL C1</t>
  </si>
  <si>
    <t>CEL PHI2</t>
  </si>
  <si>
    <t>CEL C2</t>
  </si>
  <si>
    <t>CEL PHI3</t>
  </si>
  <si>
    <t>CEL C3</t>
  </si>
  <si>
    <t>CEL PHI4</t>
  </si>
  <si>
    <t>CEL C4</t>
  </si>
  <si>
    <t>CEL PHI5</t>
  </si>
  <si>
    <t>CEL C5</t>
  </si>
  <si>
    <t>CEL EINDSPANNING</t>
  </si>
  <si>
    <t>LEESBARE_EENHEID</t>
  </si>
  <si>
    <t>[-]</t>
  </si>
  <si>
    <t>[m]</t>
  </si>
  <si>
    <t>[m NAP]</t>
  </si>
  <si>
    <t>[DD-MM-JJJJ]</t>
  </si>
  <si>
    <t>[kN/m3]</t>
  </si>
  <si>
    <t>[%]</t>
  </si>
  <si>
    <t>[kg/m3]</t>
  </si>
  <si>
    <t>[kPa]</t>
  </si>
  <si>
    <t>[m/s]</t>
  </si>
  <si>
    <t>[mu]</t>
  </si>
  <si>
    <t>[cm]</t>
  </si>
  <si>
    <t>[°C]</t>
  </si>
  <si>
    <t>[mm]</t>
  </si>
  <si>
    <t>[%/uur]</t>
  </si>
  <si>
    <t>[uur]</t>
  </si>
  <si>
    <t>[m2/s]</t>
  </si>
  <si>
    <t>[1/MPa]</t>
  </si>
  <si>
    <t>[mm/uur]</t>
  </si>
  <si>
    <t>[NVT]</t>
  </si>
  <si>
    <t>[MPa]</t>
  </si>
  <si>
    <t>[°]</t>
  </si>
  <si>
    <t>REGEL</t>
  </si>
  <si>
    <t>bo_36-5_1002+002_kr_1</t>
  </si>
  <si>
    <t>Uitvoeren grondonderzoek, verkenning en planuitwerking te Doeveren</t>
  </si>
  <si>
    <t>23ZP0747</t>
  </si>
  <si>
    <t>Doeveren</t>
  </si>
  <si>
    <t>bo_36-5_1002+002_kr</t>
  </si>
  <si>
    <t>kruin</t>
  </si>
  <si>
    <t>bo_36-5_1002+002_kr.pdf</t>
  </si>
  <si>
    <t>bo_36-5_1002+002_kr.gef</t>
  </si>
  <si>
    <t>Inpijn-Blokpoel</t>
  </si>
  <si>
    <t>BBK</t>
  </si>
  <si>
    <t>Pulsboring / Ackermann steekbussen gedrukt</t>
  </si>
  <si>
    <t>steekbus 67 mm</t>
  </si>
  <si>
    <t>geconditioneerd in gekoelde opslag bij 10 graden Celsius</t>
  </si>
  <si>
    <t>bo_36-5_1002+002_kr_CLA.pdf</t>
  </si>
  <si>
    <t>nvt</t>
  </si>
  <si>
    <t>NEN-EN-ISO 14688-1:2019+NEN8990:2020</t>
  </si>
  <si>
    <t>Zand fijn 105-150, siltig, subrond, bolvormig, kalkhoudend, weinig kleibrokken, weinig puin, standaardbruin</t>
  </si>
  <si>
    <t>bo_36-5_1002+002_kr_2</t>
  </si>
  <si>
    <t>Klei, stevig, sterk zandig, weinig plastisch, kalkhoudend, weinig zandlensjes, weinig puin, standaardbruin</t>
  </si>
  <si>
    <t>bo_36-5_1002+002_kr_3</t>
  </si>
  <si>
    <t>Klei, stevig, sterk zandig, zwak organisch, weinig plastisch, kalkhoudend, weinig zandlensjes, weinig puin, donkergrijs</t>
  </si>
  <si>
    <t>bo_36-5_1002+002_kr_4a</t>
  </si>
  <si>
    <t>4a</t>
  </si>
  <si>
    <t>Klei, stevig, sterk zandig, zwak organisch, weinig plastisch, zwak kalkhoudend, weinig zandlensjes, weinig plantenresten, standaardgrijs</t>
  </si>
  <si>
    <t>bo_36-5_1002+002_kr_4b</t>
  </si>
  <si>
    <t>4b</t>
  </si>
  <si>
    <t>Zand fijn 105-150, siltig, subrond, bolvormig, zwak kalkhoudend, weinig kleilensjes, weinig plantenresten, lichtbruin</t>
  </si>
  <si>
    <t>bo_36-5_1002+002_kr_7</t>
  </si>
  <si>
    <t>Zand fijn 150-200, siltig, subhoekig, bolvormig, kalkloos, lichtbruin</t>
  </si>
  <si>
    <t>bo_36-5_1002+002_kr_8</t>
  </si>
  <si>
    <t>Zand fijn 150-200, siltig, subhoekig, bolvormig, kalkloos, weinig kleilensjes, lichtbruin</t>
  </si>
  <si>
    <t>bo_36-5_1002+002_kr_9a</t>
  </si>
  <si>
    <t>9a</t>
  </si>
  <si>
    <t>Klei, stevig, sterk zandig, zwak organisch, matig plastisch, kalkloos, weinig veenbrokken, donkergrijs</t>
  </si>
  <si>
    <t>bo_36-5_1002+002_kr_9a-C05.pdf</t>
  </si>
  <si>
    <t>bo_36-5_1002+002_kr_9a-C05.txt</t>
  </si>
  <si>
    <t>bo_36-5_1002+002_kr_9a-C05</t>
  </si>
  <si>
    <t>Inpijn-Blokpoel ingenieursbureau</t>
  </si>
  <si>
    <t>ASTM D4186M/D4186M-12</t>
  </si>
  <si>
    <t>Klei</t>
  </si>
  <si>
    <t>sterk organisch</t>
  </si>
  <si>
    <t>bo_36-5_1002+002_kr_9a-TO05.pdf</t>
  </si>
  <si>
    <t>bo_36-5_1002+002_kr_9a-TO05.txt</t>
  </si>
  <si>
    <t>bo_36-5_1002+002_kr_9a-TO05</t>
  </si>
  <si>
    <t>NEN-EN-ISO 17892-9:2018</t>
  </si>
  <si>
    <t>Klei, sterk zandig</t>
  </si>
  <si>
    <t>CaU</t>
  </si>
  <si>
    <t>Volgens NEN-EN-ISO 17892-9:2018</t>
  </si>
  <si>
    <t>Drainagepapier volgens NEN-EN-ISO 17892-9:2018</t>
  </si>
  <si>
    <t>Eerst isotroop vervolgens anisotroop</t>
  </si>
  <si>
    <t>Pore pressure mag niet meer dan 3 kPa oplopen in 30 minuten</t>
  </si>
  <si>
    <t>25% rek of einde slag ram/verplaatsingsopnemer</t>
  </si>
  <si>
    <t>bo_36-5_1002+002_kr_9b</t>
  </si>
  <si>
    <t>9b</t>
  </si>
  <si>
    <t>Klei, stevig, sterk zandig, zwak organisch, weinig plastisch, kalkloos, weinig zandlensjes, donkergrijs</t>
  </si>
  <si>
    <t>bo_36-5_964+006_kr_1</t>
  </si>
  <si>
    <t>bo_36-5_964+006_kr</t>
  </si>
  <si>
    <t>bo_36-5_964+006_kr.pdf</t>
  </si>
  <si>
    <t>bo_36-5_964+006_kr.gef</t>
  </si>
  <si>
    <t>BWN</t>
  </si>
  <si>
    <t>bo_36-5_964+006_kr_CLA.pdf</t>
  </si>
  <si>
    <t>Zand fijn 105-150, siltig, subhoekig, bolvormig, kalkloos, weinig kleilensjes, weinig puin, lichtbruin</t>
  </si>
  <si>
    <t>bo_36-5_964+006_kr_2a</t>
  </si>
  <si>
    <t>2a</t>
  </si>
  <si>
    <t>Klei, stevig, sterk zandig, weinig plastisch, kalkloos, weinig zandlensjes, weinig plantenresten, standaardgrijs</t>
  </si>
  <si>
    <t>bo_36-5_964+006_kr_2b</t>
  </si>
  <si>
    <t>2b</t>
  </si>
  <si>
    <t>Zand fijn 105-150, siltig, subhoekig, bolvormig, kalkloos, weinig kleilensjes, weinig plantenresten, lichtbruin</t>
  </si>
  <si>
    <t>bo_36-5_964+006_kr_3a</t>
  </si>
  <si>
    <t>3a</t>
  </si>
  <si>
    <t>bo_36-5_964+006_kr_3b</t>
  </si>
  <si>
    <t>3b</t>
  </si>
  <si>
    <t>Zand fijn 105-150, siltig, subhoekig, bolvormig, kalkloos, weinig kleilensjes, lichtbruin</t>
  </si>
  <si>
    <t>bo_36-5_964+006_kr_4</t>
  </si>
  <si>
    <t>Klei, stijf, niet plastisch, kalkloos, weinig zandlensjes, weinig plantenresten, standaardgrijs</t>
  </si>
  <si>
    <t>bo_36-5_964+006_kr_5</t>
  </si>
  <si>
    <t>Klei, stevig, zwak zandig, zwak organisch, weinig plastisch, kalkloos, weinig zandlensjes, weinig plantenresten, standaardgrijs</t>
  </si>
  <si>
    <t>bo_36-5_964+006_kr_5-TO03.pdf</t>
  </si>
  <si>
    <t>bo_36-5_964+006_kr_5-TO03.txt</t>
  </si>
  <si>
    <t>bo_36-5_964+006_kr_5-TO03</t>
  </si>
  <si>
    <t>zwak zandig</t>
  </si>
  <si>
    <t>bo_36-5_964+006_kr_6</t>
  </si>
  <si>
    <t>Klei, stevig, sterk zandig, zwak organisch, weinig plastisch, kalkloos, weinig zandlensjes, weinig plantenresten, standaardbruin</t>
  </si>
  <si>
    <t>bo_36-5_964+006_kr_7a</t>
  </si>
  <si>
    <t>7a</t>
  </si>
  <si>
    <t>Klei, stevig, zwak zandig, zwak organisch, weinig plastisch, kalkloos, weinig zandlensjes, weinig plantenresten, donkergrijs</t>
  </si>
  <si>
    <t>bo_36-5_964+006_kr_7b</t>
  </si>
  <si>
    <t>7b</t>
  </si>
  <si>
    <t>Zand fijn 150-200, siltig, zwak organisch, subhoekig, bolvormig, kalkloos, weinig kleilensjes, weinig plantenresten, donkergrijs</t>
  </si>
  <si>
    <t>bo_36-5_964+006_kr_8</t>
  </si>
  <si>
    <t>Klei, stevig, zwak organisch, matig plastisch, kalkloos, weinig plantenresten, standaardgrijs</t>
  </si>
  <si>
    <t>bo_36-5_964+006_kr_9</t>
  </si>
  <si>
    <t>Klei, stevig, sterk zandig, zwak organisch, weinig plastisch, kalkloos, veel zandlensjes, weinig plantenresten, standaardgrijs</t>
  </si>
  <si>
    <t>bo_36-5_964+006_kr_10</t>
  </si>
  <si>
    <t>bo_36-5_964+006_kr_10-C04.pdf</t>
  </si>
  <si>
    <t>bo_36-5_964+006_kr_10-C04.txt</t>
  </si>
  <si>
    <t>bo_36-5_964+006_kr_10-C04</t>
  </si>
  <si>
    <t>bo_36-5_964+006_kr_10-TO04.pdf</t>
  </si>
  <si>
    <t>bo_36-5_964+006_kr_10-TO04.txt</t>
  </si>
  <si>
    <t>bo_36-5_964+006_kr_10-TO04</t>
  </si>
  <si>
    <t>bo_36-5_964+006_kr_11</t>
  </si>
  <si>
    <t>Zand fijn 150-200, siltig, subhoekig, bolvormig, zwak kalkhoudend, weinig kleilensjes, standaardgrijs</t>
  </si>
  <si>
    <t>bo_36-5_964+006_kr_12</t>
  </si>
  <si>
    <t>Zand middelgrof 200-300, siltig, subhoekig, bolvormig, zwak kalkhoudend, weinig plantenresten, standaardgrijs</t>
  </si>
  <si>
    <t>bo_36-5_964+006_kr_13</t>
  </si>
  <si>
    <t>Zand middelgrof 200-300, siltig, subhoekig, bolvormig, zwak kalkhoudend, standaardgrijs</t>
  </si>
  <si>
    <t>bo_36-5_964+006_kr_13-KVD</t>
  </si>
  <si>
    <t>NEN-EN-ISO 17892-4:2016</t>
  </si>
  <si>
    <t>Zand, middelgrof 300-420</t>
  </si>
  <si>
    <t>bo_36-5_964+006_kr_14a</t>
  </si>
  <si>
    <t>14a</t>
  </si>
  <si>
    <t>Klei, slap, sterk zandig, weinig plastisch, kalkloos, weinig zandlensjes, standaardgrijs</t>
  </si>
  <si>
    <t>bo_36-5_964+006_kr_14b</t>
  </si>
  <si>
    <t>14b</t>
  </si>
  <si>
    <t>Zand fijn 105-150, siltig, subhoekig, bolvormig, kalkloos, weinig kleilensjes, standaardgrijs</t>
  </si>
  <si>
    <t>bo_36-5_964+006_kr_14b-KVD</t>
  </si>
  <si>
    <t>Zand, middelgrof 200-300, siltig</t>
  </si>
  <si>
    <t>bo_36-5_964+006_kr_15</t>
  </si>
  <si>
    <t>Zand fijn 105-150, siltig, zwak organisch, subhoekig, bolvormig, kalkloos, weinig kleibrokken, weinig plantenresten, standaardgrijs</t>
  </si>
  <si>
    <t>bo_36-5_969+001_kr_1</t>
  </si>
  <si>
    <t>bo_36-5_969+001_kr</t>
  </si>
  <si>
    <t>bo_36-5_969+001_kr.pdf</t>
  </si>
  <si>
    <t>bo_36-5_969+001_kr.gef</t>
  </si>
  <si>
    <t>bo_36-5_969+001_kr_CLA.pdf</t>
  </si>
  <si>
    <t>Klei, stijf, sterk zandig, niet plastisch, kalkloos, weinig zandlensjes, weinig plantenresten, standaardbruin</t>
  </si>
  <si>
    <t>bo_36-5_969+001_kr_2</t>
  </si>
  <si>
    <t>Klei, stevig, zwak zandig, sterk organisch, weinig plastisch, kalkloos, weinig plantenresten, donkergrijs</t>
  </si>
  <si>
    <t>bo_36-5_969+001_kr_3</t>
  </si>
  <si>
    <t>Klei, stevig, zwak zandig, sterk organisch, weinig plastisch, kalkloos, weinig zandlensjes, weinig plantenresten, donkergrijs</t>
  </si>
  <si>
    <t>bo_36-5_969+001_kr_3-C01.pdf</t>
  </si>
  <si>
    <t>bo_36-5_969+001_kr_3-C01.txt</t>
  </si>
  <si>
    <t>bo_36-5_969+001_kr_3-C01</t>
  </si>
  <si>
    <t>bo_36-5_969+001_kr_3-TO01.pdf</t>
  </si>
  <si>
    <t>bo_36-5_969+001_kr_3-TO01.txt</t>
  </si>
  <si>
    <t>bo_36-5_969+001_kr_3-TO01</t>
  </si>
  <si>
    <t>bo_36-5_969+001_kr_4</t>
  </si>
  <si>
    <t>bo_36-5_969+001_kr_5</t>
  </si>
  <si>
    <t>bo_36-5_969+001_kr_6</t>
  </si>
  <si>
    <t>Klei, stevig, zwak zandig, zwak organisch, matig plastisch, kalkloos, weinig zandlensjes, weinig plantenresten, standaardgrijs</t>
  </si>
  <si>
    <t>bo_36-5_969+001_kr_7</t>
  </si>
  <si>
    <t>Klei, stevig, sterk zandig, zwak organisch, matig plastisch, kalkloos, weinig zandlensjes, weinig plantenresten, donkergrijs</t>
  </si>
  <si>
    <t>bo_36-5_969+001_kr_7-TO02.pdf</t>
  </si>
  <si>
    <t>bo_36-5_969+001_kr_7-TO02.txt</t>
  </si>
  <si>
    <t>bo_36-5_969+001_kr_7-TO02</t>
  </si>
  <si>
    <t>bo_36-5_969+001_kr_8</t>
  </si>
  <si>
    <t>Klei, stevig, zwak zandig, matig plastisch, kalkloos, weinig schelpen, standaardgrijs</t>
  </si>
  <si>
    <t>bo_36-5_969+001_kr_8-C02.pdf</t>
  </si>
  <si>
    <t>bo_36-5_969+001_kr_8-C02.txt</t>
  </si>
  <si>
    <t>bo_36-5_969+001_kr_8-C02</t>
  </si>
  <si>
    <t>bo_36-5_969+001_kr_9a1</t>
  </si>
  <si>
    <t>9a1</t>
  </si>
  <si>
    <t>Veen, matig stevig, lage treksterkte, fijn pseudo-vezelig, weinig plantenresten, donkerbruin</t>
  </si>
  <si>
    <t>bo_36-5_969+001_kr_9a1-C03.pdf</t>
  </si>
  <si>
    <t>bo_36-5_969+001_kr_9a1-C03.txt</t>
  </si>
  <si>
    <t>bo_36-5_969+001_kr_9a1-C03</t>
  </si>
  <si>
    <t>Veen</t>
  </si>
  <si>
    <t>kleiig</t>
  </si>
  <si>
    <t>bo_36-5_969+001_kr_9a1-DO01.pdf</t>
  </si>
  <si>
    <t>bo_36-5_969+001_kr_9a1-DO01.txt</t>
  </si>
  <si>
    <t>Inpijn-Blokpoel ingenieursbureau Son</t>
  </si>
  <si>
    <t>ASTM D6528-17</t>
  </si>
  <si>
    <t>correctie na Calibratie op Agar Agar</t>
  </si>
  <si>
    <t>Constante hoogte</t>
  </si>
  <si>
    <t>bo_36-5_969+001_kr_9a2</t>
  </si>
  <si>
    <t>9a2</t>
  </si>
  <si>
    <t>bo_36-5_969+001_kr_9a2-DN01.pdf</t>
  </si>
  <si>
    <t>bo_36-5_969+001_kr_9a2-DN01.txt</t>
  </si>
  <si>
    <t>bo_36-5_969+001_kr_10a</t>
  </si>
  <si>
    <t>10a</t>
  </si>
  <si>
    <t>Zand fijn 150-200, siltig, subhoekig, bolvormig, zwak kalkhoudend, weinig kleibrokken, standaardgrijs</t>
  </si>
  <si>
    <t>bo_36-5_969+001_kr_10a-KVD</t>
  </si>
  <si>
    <t>Zand, middelgrof 200-300</t>
  </si>
  <si>
    <t>bo_36-5_969+001_kr_10b</t>
  </si>
  <si>
    <t>10b</t>
  </si>
  <si>
    <t>Klei, stevig, sterk zandig, weinig plastisch, kalkloos, weinig kleilensjes, standaardgrijs</t>
  </si>
  <si>
    <t>bo_36-5_969+001_kr_11a</t>
  </si>
  <si>
    <t>11a</t>
  </si>
  <si>
    <t>Zand middelgrof 200-300, siltig, subhoekig, bolvormig, kalkloos, standaardgrijs</t>
  </si>
  <si>
    <t>bo_36-5_969+001_kr_11b</t>
  </si>
  <si>
    <t>11b</t>
  </si>
  <si>
    <t>Zand fijn 63-105, siltig, subhoekig, bolvormig, kalkloos, weinig kleilensjes, standaardgrijs</t>
  </si>
  <si>
    <t>bo_36-5_969+001_kr_12a</t>
  </si>
  <si>
    <t>12a</t>
  </si>
  <si>
    <t>Zand fijn 150-200, siltig, subhoekig, bolvormig, kalkhoudend, weinig kleilensjes, standaardgrijs</t>
  </si>
  <si>
    <t>bo_36-5_969+001_kr_12b</t>
  </si>
  <si>
    <t>12b</t>
  </si>
  <si>
    <t>Klei, stevig, sterk zandig, matig plastisch, kalkloos, zeer dun gelaagd met weinig dun gelamineerde zandlagen, weinig zandlensjes, standaardgrijs</t>
  </si>
  <si>
    <t>bo_36-5_969+001_kr_13</t>
  </si>
  <si>
    <t>Zand fijn 105-150, siltig, subhoekig, bolvormig, kalkloos, standaardgrijs</t>
  </si>
  <si>
    <t>bo_36-5_972+100_kr_1</t>
  </si>
  <si>
    <t>bo_36-5_972+100_kr</t>
  </si>
  <si>
    <t>bo_36-5_972+100_kr.pdf</t>
  </si>
  <si>
    <t>bo_36-5_972+100_kr.gef</t>
  </si>
  <si>
    <t>AYS</t>
  </si>
  <si>
    <t>bo_36-5_972+100_kr_CLA.pdf</t>
  </si>
  <si>
    <t>Klei, stevig, zwak zandig, matig plastisch, zwak kalkhoudend, weinig zandlensjes, weinig plantenresten, standaardbruin</t>
  </si>
  <si>
    <t>bo_36-5_972+100_kr_2</t>
  </si>
  <si>
    <t>Klei, stevig, zwak organisch, matig plastisch, zwak kalkhoudend, zeer dun gelaagd met weinig dik gelamineerde veenlagen, weinig plantenresten, standaardgrijs</t>
  </si>
  <si>
    <t>bo_36-5_972+100_kr_13</t>
  </si>
  <si>
    <t>Veen, matig stevig, kleiïg, geen treksterkte, veel kleilensjes, amorf, weinig plantenresten, standaardbruin</t>
  </si>
  <si>
    <t>bo_36-5_972+100_kr_13-TO19.pdf</t>
  </si>
  <si>
    <t>bo_36-5_972+100_kr_13-TO19.txt</t>
  </si>
  <si>
    <t>bo_36-5_972+100_kr_13-TO19</t>
  </si>
  <si>
    <t>zwak organisch</t>
  </si>
  <si>
    <t>bo_36-5_972+100_kr_3</t>
  </si>
  <si>
    <t>Klei, stevig, zwak zandig, zwak organisch, weinig plastisch, kalkloos, weinig veenbrokken, weinig plantenresten, standaardbruin</t>
  </si>
  <si>
    <t>bo_36-5_972+100_kr_4</t>
  </si>
  <si>
    <t>Klei, stevig, zwak zandig, sterk organisch, matig plastisch, kalkloos, veel veenbrokken, weinig plantenresten, standaardgrijs</t>
  </si>
  <si>
    <t>bo_36-5_972+100_kr_14a</t>
  </si>
  <si>
    <t>Klei, stevig, zwak zandig, sterk organisch, weinig plastisch, kalkloos, weinig veenbrokken, weinig plantenresten, standaardbruin</t>
  </si>
  <si>
    <t>bo_36-5_972+100_kr_14b</t>
  </si>
  <si>
    <t>Klei, stevig, sterk zandig, zwak organisch, niet plastisch, kalkloos, weinig zandlensjes, standaardbruin</t>
  </si>
  <si>
    <t>bo_36-5_972+100_kr_14b-DO03.pdf</t>
  </si>
  <si>
    <t>bo_36-5_972+100_kr_14b-DO03.txt</t>
  </si>
  <si>
    <t>bo_36-5_972+100_kr_5</t>
  </si>
  <si>
    <t>Klei, stevig, sterk zandig, weinig plastisch, kalkloos, veel zandlensjes, standaardgrijs</t>
  </si>
  <si>
    <t>bo_36-5_972+100_kr_6</t>
  </si>
  <si>
    <t>Klei, stevig, zwak zandig, zwak organisch, weinig plastisch, kalkloos, weinig zandlensjes, standaardgrijs</t>
  </si>
  <si>
    <t>bo_36-5_972+100_kr_7</t>
  </si>
  <si>
    <t>Klei, stevig, zwak zandig, matig plastisch, kalkloos, weinig plantenresten, standaardgrijs</t>
  </si>
  <si>
    <t>bo_36-5_972+100_kr_7-C08.pdf</t>
  </si>
  <si>
    <t>bo_36-5_972+100_kr_7-C08.txt</t>
  </si>
  <si>
    <t>bo_36-5_972+100_kr_7-C08</t>
  </si>
  <si>
    <t>bo_36-5_972+100_kr_7-TO08.pdf</t>
  </si>
  <si>
    <t>bo_36-5_972+100_kr_7-TO08.txt</t>
  </si>
  <si>
    <t>bo_36-5_972+100_kr_7-TO08</t>
  </si>
  <si>
    <t>bo_36-5_972+100_kr_8</t>
  </si>
  <si>
    <t>Klei, stevig, zwak zandig, sterk organisch, weinig plastisch, kalkloos, weinig veenbrokken, weinig plantenresten, donkergrijs</t>
  </si>
  <si>
    <t>bo_36-5_972+100_kr_9</t>
  </si>
  <si>
    <t>emmer</t>
  </si>
  <si>
    <t>ongeconditioneerd in monstermagazijn</t>
  </si>
  <si>
    <t>bo_36-5_972+100_kr_9-KVD</t>
  </si>
  <si>
    <t>bo_36-5_978+101_kr_1</t>
  </si>
  <si>
    <t>bo_36-5_978+101_kr</t>
  </si>
  <si>
    <t>bo_36-5_978+101_kr.pdf</t>
  </si>
  <si>
    <t>bo_36-5_978+101_kr.gef</t>
  </si>
  <si>
    <t>bo_36-5_978+101_kr_CLA.pdf</t>
  </si>
  <si>
    <t>Klei, stevig, sterk plastisch, kalkloos, weinig zandlensjes, weinig plantenresten, standaardgrijs</t>
  </si>
  <si>
    <t>bo_36-5_978+101_kr_2</t>
  </si>
  <si>
    <t>Klei, stevig, zwak zandig, zwak organisch, sterk plastisch, zwak kalkhoudend, weinig veenbrokken, standaardgrijs</t>
  </si>
  <si>
    <t>bo_36-5_978+101_kr_3</t>
  </si>
  <si>
    <t>Klei, stevig, zwak zandig, sterk plastisch, kalkloos, zeer dun gelaagd met weinig dik gelamineerde zandlagen, standaardgrijs</t>
  </si>
  <si>
    <t>bo_36-5_978+101_kr_3-C07.pdf</t>
  </si>
  <si>
    <t>bo_36-5_978+101_kr_3-C07.txt</t>
  </si>
  <si>
    <t>bo_36-5_978+101_kr_3-C07</t>
  </si>
  <si>
    <t>bo_36-5_978+101_kr_3-TO09.pdf</t>
  </si>
  <si>
    <t>bo_36-5_978+101_kr_3-TO09.txt</t>
  </si>
  <si>
    <t>bo_36-5_978+101_kr_3-TO09</t>
  </si>
  <si>
    <t>bo_36-5_978+101_kr_4</t>
  </si>
  <si>
    <t>Klei, stevig, zwak zandig, matig plastisch, kalkloos, zeer dun gelaagd met veel dik gelamineerde zandlagen, standaardgrijs</t>
  </si>
  <si>
    <t>bo_36-5_978+101_kr_5</t>
  </si>
  <si>
    <t>Klei, stevig, zwak organisch, matig plastisch, zwak kalkhoudend, zeer dun gelaagd met weinig dik gelamineerde kleilagen, weinig veenbrokken, standaardgrijs</t>
  </si>
  <si>
    <t>bo_36-5_978+101_kr_6</t>
  </si>
  <si>
    <t>Klei, stijf, zwak zandig, zwak organisch, matig plastisch, zwak kalkhoudend, zeer dun gelaagd met weinig dik gelamineerde zandlagen, weinig veenbrokken, standaardgrijs</t>
  </si>
  <si>
    <t>bo_36-5_978+101_kr_7</t>
  </si>
  <si>
    <t>Klei, stijf, zwak zandig, matig plastisch, kalkloos, zeer dun gelaagd met veel dik gelamineerde zandlagen, weinig veenbrokken, weinig plantenresten, standaardgrijs</t>
  </si>
  <si>
    <t>bo_36-5_978+101_kr_8</t>
  </si>
  <si>
    <t>Klei, stijf, sterk plastisch, kalkloos, zeer dun gelaagd met weinig dun gelamineerde zandlagen, standaardgrijs</t>
  </si>
  <si>
    <t>bo_36-5_978+101_kr_9</t>
  </si>
  <si>
    <t>Klei, stijf, zwak organisch, matig plastisch, kalkloos, standaardbruin</t>
  </si>
  <si>
    <t>bo_36-5_978+101_kr_9-C09.pdf</t>
  </si>
  <si>
    <t>bo_36-5_978+101_kr_9-C09.txt</t>
  </si>
  <si>
    <t>bo_36-5_978+101_kr_9-C09</t>
  </si>
  <si>
    <t>bo_36-5_978+101_kr_9-TO10.pdf</t>
  </si>
  <si>
    <t>bo_36-5_978+101_kr_9-TO10.txt</t>
  </si>
  <si>
    <t>bo_36-5_978+101_kr_9-TO10</t>
  </si>
  <si>
    <t>bo_36-5_978+101_kr_10a</t>
  </si>
  <si>
    <t>Zand fijn 105-150, kleiïg, zwak organisch, subrond, bolvormig, kalkloos, donkerbruin</t>
  </si>
  <si>
    <t>bo_36-5_978+101_kr_10b</t>
  </si>
  <si>
    <t>bo_36-5_978+101_kr_10b-KVD</t>
  </si>
  <si>
    <t>n.v.t.</t>
  </si>
  <si>
    <t>bo_36-5_983+001_kr_1</t>
  </si>
  <si>
    <t>bo_36-5_983+001_kr</t>
  </si>
  <si>
    <t>bo_36-5_983+001_kr.pdf</t>
  </si>
  <si>
    <t>bo_36-5_983+001_kr.gef</t>
  </si>
  <si>
    <t>Fbi</t>
  </si>
  <si>
    <t>bo_36-5_983+001_kr_CLA.pdf</t>
  </si>
  <si>
    <t>Klei, stijf, zwak organisch, matig plastisch, kalkloos, weinig zandlensjes, weinig ijzerconcreties, standaardgrijs</t>
  </si>
  <si>
    <t>bo_36-5_983+001_kr_2a</t>
  </si>
  <si>
    <t>Klei, stijf, zwak organisch, matig plastisch, kalkloos, lichtbruin</t>
  </si>
  <si>
    <t>bo_36-5_983+001_kr_2a-DO04.pdf</t>
  </si>
  <si>
    <t>bo_36-5_983+001_kr_2a-DO04.txt</t>
  </si>
  <si>
    <t>bo_36-5_983+001_kr_2b</t>
  </si>
  <si>
    <t>Veen, matig stevig, kleiïg, lage treksterkte, zeer dun gelaagd met veel dik gelamineerde zandlagen, amorf, donkerbruin</t>
  </si>
  <si>
    <t>bo_36-5_983+001_kr_3a</t>
  </si>
  <si>
    <t>Klei, stevig, zwak zandig, sterk organisch, weinig plastisch, kalkloos, weinig zandlensjes, donkerbruin</t>
  </si>
  <si>
    <t>bo_36-5_983+001_kr_3a-DO05.pdf</t>
  </si>
  <si>
    <t>bo_36-5_983+001_kr_3a-DO05.txt</t>
  </si>
  <si>
    <t>bo_36-5_983+001_kr_3b</t>
  </si>
  <si>
    <t>Klei, stijf, sterk organisch, matig plastisch, kalkloos, weinig zandlensjes, donkerbruin</t>
  </si>
  <si>
    <t>bo_36-5_983+001_kr_4</t>
  </si>
  <si>
    <t>Klei, stevig, matig plastisch, zwak kalkhoudend, weinig zandlensjes, standaardgrijs</t>
  </si>
  <si>
    <t>bo_36-5_983+001_kr_5a</t>
  </si>
  <si>
    <t>5a</t>
  </si>
  <si>
    <t>Klei, stevig, sterk plastisch, kalkloos, zeer dun gelaagd met weinig dik gelamineerde zandlagen, standaardgrijs</t>
  </si>
  <si>
    <t>bo_36-5_983+001_kr_5b</t>
  </si>
  <si>
    <t>5b</t>
  </si>
  <si>
    <t>Klei, stevig, sterk organisch, matig plastisch, kalkloos, donkerbruin</t>
  </si>
  <si>
    <t>bo_36-5_983+001_kr_5b-DO06.pdf</t>
  </si>
  <si>
    <t>bo_36-5_983+001_kr_5b-DO06.txt</t>
  </si>
  <si>
    <t>zwak zandig, sterk organisch</t>
  </si>
  <si>
    <t>bo_36-5_983+001_kr_6</t>
  </si>
  <si>
    <t>bo_36-5_983+001_kr_7</t>
  </si>
  <si>
    <t>Klei, stijf, sterk plastisch, kalkhoudend, standaardgrijs</t>
  </si>
  <si>
    <t>bo_36-5_983+001_kr_7-C15.pdf</t>
  </si>
  <si>
    <t>bo_36-5_983+001_kr_7-C15.txt</t>
  </si>
  <si>
    <t>bo_36-5_983+001_kr_7-C15</t>
  </si>
  <si>
    <t>bo_36-5_983+001_kr_7-TO21.pdf</t>
  </si>
  <si>
    <t>bo_36-5_983+001_kr_7-TO21.txt</t>
  </si>
  <si>
    <t>bo_36-5_983+001_kr_7-TO21</t>
  </si>
  <si>
    <t>bo_36-5_983+001_kr_8</t>
  </si>
  <si>
    <t>Klei, stevig, sterk plastisch, kalkloos, zeer dun gelaagd met weinig dik gelamineerde zandlagen, weinig veenbrokken, standaardgrijs</t>
  </si>
  <si>
    <t>bo_36-5_983+001_kr_9</t>
  </si>
  <si>
    <t>Klei, stijf, matig plastisch, kalkloos, standaardgrijs</t>
  </si>
  <si>
    <t>bo_36-5_983+001_kr_10</t>
  </si>
  <si>
    <t>Klei, stevig, sterk plastisch, kalkloos, standaardgrijs</t>
  </si>
  <si>
    <t>bo_36-5_983+001_kr_11</t>
  </si>
  <si>
    <t>Klei, stijf, sterk plastisch, kalkloos, standaardgrijs</t>
  </si>
  <si>
    <t>bo_36-5_987+094_bit_1</t>
  </si>
  <si>
    <t>bo_36-5_987+094_bit</t>
  </si>
  <si>
    <t>binnenteen</t>
  </si>
  <si>
    <t>bo_36-5_987+094_bit.pdf</t>
  </si>
  <si>
    <t>bo_36-5_987+094_bit.gef</t>
  </si>
  <si>
    <t>bo_36-5_987+094_bit_CLA.pdf</t>
  </si>
  <si>
    <t>Klei, stijf, sterk zandig, sterk organisch, niet plastisch, kalkloos, weinig plantenresten, weinig wortels, donkerbruin</t>
  </si>
  <si>
    <t>bo_36-5_987+094_bit_2</t>
  </si>
  <si>
    <t>Klei, stevig, sterk plastisch, kalkhoudend, zeer dun gelaagd met veel dik gelamineerde zandlagen, standaardgrijs</t>
  </si>
  <si>
    <t>bo_36-5_987+094_bit_3</t>
  </si>
  <si>
    <t>bo_36-5_987+094_bit_4</t>
  </si>
  <si>
    <t>bo_36-5_987+094_bit_4-C12.pdf</t>
  </si>
  <si>
    <t>bo_36-5_987+094_bit_4-C12.txt</t>
  </si>
  <si>
    <t>bo_36-5_987+094_bit_4-C12</t>
  </si>
  <si>
    <t>bo_36-5_987+094_bit_4-TO11.pdf</t>
  </si>
  <si>
    <t>bo_36-5_987+094_bit_4-TO11.txt</t>
  </si>
  <si>
    <t>bo_36-5_987+094_bit_4-TO11</t>
  </si>
  <si>
    <t>bo_36-5_987+094_bit_5</t>
  </si>
  <si>
    <t>Klei, stevig, matig plastisch, kalkloos, standaardgrijs</t>
  </si>
  <si>
    <t>bo_36-5_987+094_bit_5-TO12.pdf</t>
  </si>
  <si>
    <t>bo_36-5_987+094_bit_5-TO12.txt</t>
  </si>
  <si>
    <t>bo_36-5_987+094_bit_5-TO12</t>
  </si>
  <si>
    <t>bo_36-5_987+094_bit_6a</t>
  </si>
  <si>
    <t>6a</t>
  </si>
  <si>
    <t>bo_36-5_987+094_bit_6a-TO20.pdf</t>
  </si>
  <si>
    <t>bo_36-5_987+094_bit_6a-TO20.txt</t>
  </si>
  <si>
    <t>bo_36-5_987+094_bit_6a-TO20</t>
  </si>
  <si>
    <t>zwak organsich</t>
  </si>
  <si>
    <t>bo_36-5_987+094_bit_6b</t>
  </si>
  <si>
    <t>6b</t>
  </si>
  <si>
    <t>Veen, matig stevig, matige treksterkte, fijn pseudo-vezelig, donkerbruin</t>
  </si>
  <si>
    <t>bo_36-5_987+094_bit_6b-DO02.pdf</t>
  </si>
  <si>
    <t>bo_36-5_987+094_bit_6b-DO02.txt</t>
  </si>
  <si>
    <t>bo_36-5_987+094_bit_7a</t>
  </si>
  <si>
    <t>Klei, stevig, zwak organisch, matig plastisch, kalkloos, standaardgrijs</t>
  </si>
  <si>
    <t>bo_36-5_987+094_bit_7b</t>
  </si>
  <si>
    <t>Veen, matig stevig, lage treksterkte, fijn pseudo-vezelig, donkerbruin</t>
  </si>
  <si>
    <t>bo_36-5_987+094_bit_8</t>
  </si>
  <si>
    <t>Zand fijn 150-200, kleiïg, organisch, subrond, bolvormig, kalkloos, weinig veenbrokken, standaardgrijs</t>
  </si>
  <si>
    <t>bo_36-5_990+099_bit_1</t>
  </si>
  <si>
    <t>bo_36-5_990+099_bit</t>
  </si>
  <si>
    <t>bo_36-5_990+099_bit.pdf</t>
  </si>
  <si>
    <t>bo_36-5_990+099_bit.gef</t>
  </si>
  <si>
    <t>bo_36-5_990+099_bit_CLA.pdf</t>
  </si>
  <si>
    <t>Zand fijn 105-150, subrond, bolvormig, zwak kalkhoudend, lichtbruin</t>
  </si>
  <si>
    <t>bo_36-5_990+099_bit_2a</t>
  </si>
  <si>
    <t>Zand middelgrof 200-300, subrond, bolvormig, kalkloos, lichtbruin</t>
  </si>
  <si>
    <t>bo_36-5_990+099_bit_2b</t>
  </si>
  <si>
    <t>Klei, stevig, sterk plastisch, kalkloos, donkergrijs</t>
  </si>
  <si>
    <t>bo_36-5_990+099_bit_3</t>
  </si>
  <si>
    <t>Klei, stevig, sterk plastisch, kalkhoudend, standaardgrijs</t>
  </si>
  <si>
    <t>bo_36-5_990+099_bit_3-TO17.pdf</t>
  </si>
  <si>
    <t>bo_36-5_990+099_bit_3-TO17.txt</t>
  </si>
  <si>
    <t>bo_36-5_990+099_bit_3-TO17</t>
  </si>
  <si>
    <t>bo_36-5_990+099_bit_4</t>
  </si>
  <si>
    <t>Klei, stevig, sterk zandig, weinig plastisch, kalkhoudend, standaardgrijs</t>
  </si>
  <si>
    <t>bo_36-5_990+099_bit_4-C14.pdf</t>
  </si>
  <si>
    <t>bo_36-5_990+099_bit_4-C14.txt</t>
  </si>
  <si>
    <t>bo_36-5_990+099_bit_4-C14</t>
  </si>
  <si>
    <t>sterk zandig</t>
  </si>
  <si>
    <t>bo_36-5_990+099_bit_4-TO18.pdf</t>
  </si>
  <si>
    <t>bo_36-5_990+099_bit_4-TO18.txt</t>
  </si>
  <si>
    <t>bo_36-5_990+099_bit_4-TO18</t>
  </si>
  <si>
    <t>bo_36-5_990+099_bit_5a</t>
  </si>
  <si>
    <t>Klei, slap, sterk zandig, matig plastisch, zwak kalkhoudend, standaardgrijs</t>
  </si>
  <si>
    <t>bo_36-5_990+099_bit_5b</t>
  </si>
  <si>
    <t>Klei, stevig, weinig plastisch, zwak kalkhoudend, zeer dun gelaagd met weinig zeer dun gelaagde zandlagen, standaardgrijs</t>
  </si>
  <si>
    <t>bo_36-5_990+099_bit_6a</t>
  </si>
  <si>
    <t>Klei, slap, zwak zandig, matig plastisch, kalkrijk, weinig kalk, standaardgrijs</t>
  </si>
  <si>
    <t>bo_36-5_990+099_bit_6b</t>
  </si>
  <si>
    <t>Zand fijn 150-200, subrond, bolvormig, kalkloos, lichtgrijs</t>
  </si>
  <si>
    <t>bo_36-5_990+099_bit_6b-KVD</t>
  </si>
  <si>
    <t>Zand, fijn 150-200, siltig</t>
  </si>
  <si>
    <t>bo_36-5_990+099_bit_7</t>
  </si>
  <si>
    <t>Zand middelgrof 200-300, subrond, bolvormig, kalkloos, lichtgrijs</t>
  </si>
  <si>
    <t>bo_36-5_990+099_bit_8</t>
  </si>
  <si>
    <t>bo_36-5_990+099_bit_9</t>
  </si>
  <si>
    <t>bo_36-5_990+099_bit_10a</t>
  </si>
  <si>
    <t>Zand fijn 150-200, subrond, bolvormig, kalkloos, dun gelaagd met weinig dun gelamineerde veenlagen, standaardgrijs</t>
  </si>
  <si>
    <t>bo_36-5_990+099_bit_10b</t>
  </si>
  <si>
    <t>Volledig hout, donkerbruin</t>
  </si>
  <si>
    <t>bo_36-5_990+099_bit_11</t>
  </si>
  <si>
    <t>Zand middelgrof 300-420, subhoekig, bolvormig, kalkloos, standaardgrijs</t>
  </si>
  <si>
    <t>bo_36-5_990+099_bit_12a</t>
  </si>
  <si>
    <t>Zand middelgrof 300-420, zwak grindig, subhoekig, bolvormig, kalkloos, standaardgrijs</t>
  </si>
  <si>
    <t>bo_36-5_990+099_bit_12b</t>
  </si>
  <si>
    <t>Zand fijn 105-150, subrond, bolvormig, kalkloos, standaardgrijs</t>
  </si>
  <si>
    <t>bo_36-5_991+042_kr_1</t>
  </si>
  <si>
    <t>bo_36-5_991+042_kr</t>
  </si>
  <si>
    <t>bo_36-5_991+042_kr.pdf</t>
  </si>
  <si>
    <t>bo_36-5_991+042_kr.gef</t>
  </si>
  <si>
    <t>bo_36-5_991+042_kr_CLA.pdf</t>
  </si>
  <si>
    <t>Zand fijn 105-150, siltig, subrond, bolvormig, kalkhoudend, weinig kleibrokken, lichtbruin</t>
  </si>
  <si>
    <t>bo_36-5_991+042_kr_2</t>
  </si>
  <si>
    <t>bo_36-5_991+042_kr_3</t>
  </si>
  <si>
    <t>Zand fijn 150-200, siltig, subhoekig, bolvormig, kalkhoudend, weinig kleibrokken, lichtbruin</t>
  </si>
  <si>
    <t>bo_36-5_991+042_kr_4a</t>
  </si>
  <si>
    <t>Veen, matig stevig, zwak zandig, geen treksterkte, veel zandlensjes, fijn pseudo-vezelig, donkerbruin</t>
  </si>
  <si>
    <t>bo_36-5_991+042_kr_4b</t>
  </si>
  <si>
    <t>Zand fijn 150-200, subrond, bolvormig, zwak kalkhoudend, weinig kleibrokken, lichtbruin</t>
  </si>
  <si>
    <t>bo_36-5_991+042_kr_5</t>
  </si>
  <si>
    <t>Zand fijn 150-200, subhoekig, bolvormig, zwak kalkhoudend, weinig veenbrokken, lichtbruin</t>
  </si>
  <si>
    <t>bo_36-5_991+042_kr_6</t>
  </si>
  <si>
    <t>bo_36-5_991+042_kr_6-TO13.pdf</t>
  </si>
  <si>
    <t>bo_36-5_991+042_kr_6-TO13.txt</t>
  </si>
  <si>
    <t>bo_36-5_991+042_kr_6-TO13</t>
  </si>
  <si>
    <t>bo_36-5_991+042_kr_7</t>
  </si>
  <si>
    <t>bo_36-5_991+042_kr_7-C10.pdf</t>
  </si>
  <si>
    <t>bo_36-5_991+042_kr_7-C10.txt</t>
  </si>
  <si>
    <t>bo_36-5_991+042_kr_7-C10</t>
  </si>
  <si>
    <t>bo_36-5_991+042_kr_7-TO14.pdf</t>
  </si>
  <si>
    <t>bo_36-5_991+042_kr_7-TO14.txt</t>
  </si>
  <si>
    <t>bo_36-5_991+042_kr_7-TO14</t>
  </si>
  <si>
    <t>bo_36-5_991+042_kr_8</t>
  </si>
  <si>
    <t>Klei, stevig, sterk plastisch, zwak kalkhoudend, standaardgrijs</t>
  </si>
  <si>
    <t>bo_36-5_991+042_kr_9</t>
  </si>
  <si>
    <t>Klei, stevig, matig plastisch, zwak kalkhoudend, standaardgrijs</t>
  </si>
  <si>
    <t>bo_36-5_991+042_kr_9-C11.pdf</t>
  </si>
  <si>
    <t>bo_36-5_991+042_kr_9-C11.txt</t>
  </si>
  <si>
    <t>bo_36-5_991+042_kr_9-C11</t>
  </si>
  <si>
    <t>bo_36-5_991+042_kr_9-TO15.pdf</t>
  </si>
  <si>
    <t>bo_36-5_991+042_kr_9-TO15.txt</t>
  </si>
  <si>
    <t>bo_36-5_991+042_kr_9-TO15</t>
  </si>
  <si>
    <t>bo_36-5_991+042_kr_10a</t>
  </si>
  <si>
    <t>bo_36-5_991+042_kr_10b</t>
  </si>
  <si>
    <t>Zand fijn 150-200, subhoekig, bolvormig, kalkloos, weinig veenbrokken, lichtgrijs</t>
  </si>
  <si>
    <t>bo_36-5_991+042_kr_11</t>
  </si>
  <si>
    <t>Zand middelgrof 200-300, subhoekig, bolvormig, kalkloos, weinig veenbrokken, lichtgrijs</t>
  </si>
  <si>
    <t>bo_36-5_991+042_kr_14</t>
  </si>
  <si>
    <t>Zand fijn 105-150, subhoekig, bolvormig, kalkloos, dun gelaagd met weinig dik gelamineerde kleilagen, lichtgrijs</t>
  </si>
  <si>
    <t>bo_36-5_991+042_kr_14-KVD</t>
  </si>
  <si>
    <t>weinig siltlagen</t>
  </si>
  <si>
    <t>bo_36-5_991+042_kr_14-1</t>
  </si>
  <si>
    <t>14-1</t>
  </si>
  <si>
    <t>bo_36-5_991+042_kr_14-2</t>
  </si>
  <si>
    <t>14-2</t>
  </si>
  <si>
    <t>bo_36-5_991+042_kr_15a</t>
  </si>
  <si>
    <t>15a</t>
  </si>
  <si>
    <t>Klei, stevig, zwak zandig, weinig plastisch, kalkloos, standaardgrijs</t>
  </si>
  <si>
    <t>bo_36-5_991+042_kr_15b</t>
  </si>
  <si>
    <t>15b</t>
  </si>
  <si>
    <t>Zand middelgrof 200-300, subrond, bolvormig, kalkloos, weinig veenbrokken, standaardgrijs</t>
  </si>
  <si>
    <t>bo_36-5_991+042_kr_16</t>
  </si>
  <si>
    <t>Zand middelgrof 200-300, subrond, bolvormig, kalkloos, standaardgrijs</t>
  </si>
  <si>
    <t>bo_36-5_991+042_kr_17</t>
  </si>
  <si>
    <t>Zand fijn 150-200, subrond, bolvormig, kalkloos, dun gelaagd met weinig dik gelamineerde kleilagen, standaardgrijs</t>
  </si>
  <si>
    <t>bo_36-5_994+094_kr_1</t>
  </si>
  <si>
    <t>bo_36-5_994+094_kr</t>
  </si>
  <si>
    <t>bo_36-5_994+094_kr.pdf</t>
  </si>
  <si>
    <t>bo_36-5_994+094_kr.gef</t>
  </si>
  <si>
    <t>bo_36-5_994+094_kr_CLA.pdf</t>
  </si>
  <si>
    <t>Klei, zeer stijf, niet plastisch, kalkhoudend, weinig plantenresten, standaardbruin</t>
  </si>
  <si>
    <t>bo_36-5_994+094_kr_1-TO06.pdf</t>
  </si>
  <si>
    <t>bo_36-5_994+094_kr_1-TO06.txt</t>
  </si>
  <si>
    <t>bo_36-5_994+094_kr_1-TO06</t>
  </si>
  <si>
    <t>bo_36-5_994+094_kr_2</t>
  </si>
  <si>
    <t>Zand middelgrof 200-300, subrond, bolvormig, kalkloos, standaardbruin</t>
  </si>
  <si>
    <t>bo_36-5_994+094_kr_3</t>
  </si>
  <si>
    <t>Zand fijn 150-200, subrond, bolvormig, kalkloos, weinig kleibrokken, weinig plantenresten, standaardbruin</t>
  </si>
  <si>
    <t>bo_36-5_994+094_kr_4</t>
  </si>
  <si>
    <t>bo_36-5_994+094_kr_5</t>
  </si>
  <si>
    <t>Zand fijn 150-200, subrond, bolvormig, zwak kalkhoudend, weinig kleibrokken, standaardbruin</t>
  </si>
  <si>
    <t>bo_36-5_994+094_kr_6</t>
  </si>
  <si>
    <t>bo_36-5_994+094_kr_7a</t>
  </si>
  <si>
    <t>Zand fijn 150-200, subrond, bolvormig, kalkloos, standaardbruin</t>
  </si>
  <si>
    <t>bo_36-5_994+094_kr_7b</t>
  </si>
  <si>
    <t>Klei, stevig, zwak organisch, matig plastisch, kalkloos, donkergrijs</t>
  </si>
  <si>
    <t>bo_36-5_994+094_kr_8</t>
  </si>
  <si>
    <t>bo_36-5_994+094_kr_8-C06.pdf</t>
  </si>
  <si>
    <t>bo_36-5_994+094_kr_8-C06.txt</t>
  </si>
  <si>
    <t>bo_36-5_994+094_kr_8-C06</t>
  </si>
  <si>
    <t>bo_36-5_994+094_kr_8-TO07.pdf</t>
  </si>
  <si>
    <t>bo_36-5_994+094_kr_8-TO07.txt</t>
  </si>
  <si>
    <t>bo_36-5_994+094_kr_8-TO07</t>
  </si>
  <si>
    <t>bo_36-5_994+094_kr_9</t>
  </si>
  <si>
    <t>bo_36-5_994+094_kr_10</t>
  </si>
  <si>
    <t>Klei, stevig, matig plastisch, kalkhoudend, veel zandlensjes, standaardgrijs</t>
  </si>
  <si>
    <t>bo_36-5_994+094_kr_11a</t>
  </si>
  <si>
    <t>Zand middelgrof 300-420, subrond, bolvormig, kalkloos, lichtgrijs</t>
  </si>
  <si>
    <t>bo_36-5_994+094_kr_11a-KVD</t>
  </si>
  <si>
    <t>bo_36-5_994+094_kr_11b</t>
  </si>
  <si>
    <t>Veen, matig stevig, matige treksterkte, veel zandlensjes, grofvezelig, donkerbruin</t>
  </si>
  <si>
    <t>bo_36-5_994+094_kr_12</t>
  </si>
  <si>
    <t>Zand fijn 105-150, subrond, bolvormig, kalkloos, weinig veenbrokken, lichtgrijs</t>
  </si>
  <si>
    <t>bo_36-5_999+001_kr_2</t>
  </si>
  <si>
    <t>bo_36-5_999+001_kr</t>
  </si>
  <si>
    <t>bo_36-5_999+001_kr.pdf</t>
  </si>
  <si>
    <t>bo_36-5_999+001_kr.gef</t>
  </si>
  <si>
    <t>bo_36-5_999+001_kr_CLA.pdf</t>
  </si>
  <si>
    <t>Klei, stijf, sterk zandig, weinig plastisch, kalkhoudend, dun gelaagd met zeer dun gelaagde kleilagen, lichtbruin</t>
  </si>
  <si>
    <t>bo_36-5_999+001_kr_3</t>
  </si>
  <si>
    <t>Zand fijn 150-200, subrond, bolvormig, kalkloos, weinig kleibrokken, lichtbruin</t>
  </si>
  <si>
    <t>bo_36-5_999+001_kr_4</t>
  </si>
  <si>
    <t>Zand fijn 150-200, subrond, bolvormig, kalkhoudend, weinig veenbrokken, donkerbruin</t>
  </si>
  <si>
    <t>bo_36-5_999+001_kr_5</t>
  </si>
  <si>
    <t>Zand fijn 150-200, subrond, bolvormig, kalkhoudend, weinig veenbrokken, lichtbruin</t>
  </si>
  <si>
    <t>bo_36-5_999+001_kr_6</t>
  </si>
  <si>
    <t>Zand middelgrof 200-300, subrond, bolvormig, zwak kalkhoudend, weinig kleibrokken, lichtbruin</t>
  </si>
  <si>
    <t>bo_36-5_999+001_kr_7</t>
  </si>
  <si>
    <t>bo_36-5_999+001_kr_8</t>
  </si>
  <si>
    <t>bo_36-5_999+001_kr_10</t>
  </si>
  <si>
    <t>bo_36-5_999+001_kr_10-C13.pdf</t>
  </si>
  <si>
    <t>bo_36-5_999+001_kr_10-C13.txt</t>
  </si>
  <si>
    <t>bo_36-5_999+001_kr_10-C13</t>
  </si>
  <si>
    <t>bo_36-5_999+001_kr_10-TO16.pdf</t>
  </si>
  <si>
    <t>bo_36-5_999+001_kr_10-TO16.txt</t>
  </si>
  <si>
    <t>bo_36-5_999+001_kr_10-TO16</t>
  </si>
  <si>
    <t>bo_36-5_999+001_kr_11a</t>
  </si>
  <si>
    <t>bo_36-5_999+001_kr_11b</t>
  </si>
  <si>
    <t>bo_36-5_999+001_kr_11b-KVD</t>
  </si>
  <si>
    <t>Zand, middelgrof 420-630</t>
  </si>
  <si>
    <t>bo_36-5_999+001_kr_12</t>
  </si>
  <si>
    <t>bo_36-5_999+001_kr_13</t>
  </si>
  <si>
    <t>bo_36-5_999+001_kr_19a</t>
  </si>
  <si>
    <t>19a</t>
  </si>
  <si>
    <t>bo_36-5_999+001_kr_19b</t>
  </si>
  <si>
    <t>19b</t>
  </si>
  <si>
    <t>Zand fijn 105-150, subhoekig, bolvormig, kalkloos, dun gelaagd met weinig dun gelamineerde veenlagen, lichtgrijs</t>
  </si>
  <si>
    <t>bo_36-5_999+001_kr_20a</t>
  </si>
  <si>
    <t>20a</t>
  </si>
  <si>
    <t>bo_36-5_999+001_kr_20b</t>
  </si>
  <si>
    <t>20b</t>
  </si>
  <si>
    <t>Zand middelgrof 300-420, subhoekig, bolvormig, kalkloos, lichtgrijs</t>
  </si>
  <si>
    <t>hb_36-5_1000+003_bit_1</t>
  </si>
  <si>
    <t>hb_36-5_1000+003_bit</t>
  </si>
  <si>
    <t>hb_36-5_1000+003_bit.pdf</t>
  </si>
  <si>
    <t>hb_36-5_1000+003_bit.gef</t>
  </si>
  <si>
    <t>JBE</t>
  </si>
  <si>
    <t>steekbus 40 mm</t>
  </si>
  <si>
    <t>23ZP0747-HB-CLA</t>
  </si>
  <si>
    <t>Klei, stevig, sterk zandig, weinig plastisch, kalkloos, weinig plantenresten, standaardbruin</t>
  </si>
  <si>
    <t>hb_36-5_1000+003_bit_105</t>
  </si>
  <si>
    <t>hb_36-5_1000+003_bit_105-KVD</t>
  </si>
  <si>
    <t>hb_36-5_1000+003_buta_106</t>
  </si>
  <si>
    <t>hb_36-5_1000+003_buta</t>
  </si>
  <si>
    <t>buitenteen achterland</t>
  </si>
  <si>
    <t>hb_36-5_1000+003_buta.pdf</t>
  </si>
  <si>
    <t>hb_36-5_1000+003_buta.gef</t>
  </si>
  <si>
    <t>AHL</t>
  </si>
  <si>
    <t>hb_36-5_1000+098_buta_107</t>
  </si>
  <si>
    <t>hb_36-5_1000+098_buta</t>
  </si>
  <si>
    <t>hb_36-5_1000+098_buta.pdf</t>
  </si>
  <si>
    <t>hb_36-5_1000+098_buta.gef</t>
  </si>
  <si>
    <t>Klei, stevig, sterk zandig, zwak organisch, weinig plastisch, kalkhoudend, weinig plantenresten, standaardbruin</t>
  </si>
  <si>
    <t>hb_36-5_1001+002_bit_1</t>
  </si>
  <si>
    <t>hb_36-5_1001+002_bit</t>
  </si>
  <si>
    <t>hb_36-5_1001+002_bit.pdf</t>
  </si>
  <si>
    <t>hb_36-5_1001+002_bit.gef</t>
  </si>
  <si>
    <t>Klei, stevig, sterk zandig, matig plastisch, kalkloos, standaardbruin</t>
  </si>
  <si>
    <t>hb_36-5_1001+002_bit_104</t>
  </si>
  <si>
    <t>hb_36-5_1001+002_bit_104-KVD</t>
  </si>
  <si>
    <t>Zand, fijn 150-200</t>
  </si>
  <si>
    <t>hb_36-5_1001+099_bit_109</t>
  </si>
  <si>
    <t>hb_36-5_1001+099_bit</t>
  </si>
  <si>
    <t>hb_36-5_1001+099_bit.pdf</t>
  </si>
  <si>
    <t>hb_36-5_1001+099_bit.gef</t>
  </si>
  <si>
    <t>Klei, stijf, weinig plastisch, zwak kalkhoudend, weinig plantenresten, standaardgrijs</t>
  </si>
  <si>
    <t>hb_36-5_1001+099_bit_105</t>
  </si>
  <si>
    <t>hb_36-5_1001+099_bit_105-KVD</t>
  </si>
  <si>
    <t>Zand, middelgrof 200-300, kleiig</t>
  </si>
  <si>
    <t>hb_36-5_1002+093_buta_1</t>
  </si>
  <si>
    <t>hb_36-5_1002+093_buta</t>
  </si>
  <si>
    <t>hb_36-5_1002+093_buta.pdf</t>
  </si>
  <si>
    <t>hb_36-5_1002+093_buta.gef</t>
  </si>
  <si>
    <t>Klei, stevig, sterk zandig, weinig plastisch, kalkhoudend, weinig plantenresten, standaardbruin</t>
  </si>
  <si>
    <t>hb_36-5_1003+050_buta_3</t>
  </si>
  <si>
    <t>hb_36-5_1003+050_buta</t>
  </si>
  <si>
    <t>hb_36-5_1003+050_buta.pdf</t>
  </si>
  <si>
    <t>hb_36-5_1003+050_buta.gef</t>
  </si>
  <si>
    <t>Klei, stevig, sterk zandig, weinig plastisch, kalkhoudend, donkerbruin</t>
  </si>
  <si>
    <t>hb_36-5_963+102_bit_5</t>
  </si>
  <si>
    <t>hb_36-5_963+102_bit</t>
  </si>
  <si>
    <t>hb_36-5_963+102_bit.pdf</t>
  </si>
  <si>
    <t>hb_36-5_963+102_bit.gef</t>
  </si>
  <si>
    <t>klein geroerd monster</t>
  </si>
  <si>
    <t>hb_36-5_963+102_bit_5-KVD</t>
  </si>
  <si>
    <t>hb_36-5_964+003_buta_100</t>
  </si>
  <si>
    <t>hb_36-5_964+003_buta</t>
  </si>
  <si>
    <t>hb_36-5_964+003_buta.pdf</t>
  </si>
  <si>
    <t>hb_36-5_964+003_buta.gef</t>
  </si>
  <si>
    <t>Zand fijn 150-200, subrond, bolvormig, kalkloos, lichtbruin</t>
  </si>
  <si>
    <t>hb_36-5_965+004_buta_1</t>
  </si>
  <si>
    <t>hb_36-5_965+004_buta</t>
  </si>
  <si>
    <t>hb_36-5_965+004_buta.pdf</t>
  </si>
  <si>
    <t>hb_36-5_965+004_buta.gef</t>
  </si>
  <si>
    <t>hb_36-5_966+002_bit_100</t>
  </si>
  <si>
    <t>hb_36-5_966+002_bit</t>
  </si>
  <si>
    <t>hb_36-5_966+002_bit.pdf</t>
  </si>
  <si>
    <t>hb_36-5_966+002_bit.gef</t>
  </si>
  <si>
    <t>hb_36-5_966+002_bit_100-KVD</t>
  </si>
  <si>
    <t>Zand, fijn 105-150, siltig</t>
  </si>
  <si>
    <t>hb_36-5_967+002_buta_1</t>
  </si>
  <si>
    <t>hb_36-5_967+002_buta</t>
  </si>
  <si>
    <t>hb_36-5_967+002_buta.pdf</t>
  </si>
  <si>
    <t>hb_36-5_967+002_buta.gef</t>
  </si>
  <si>
    <t>Klei, stijf, sterk plastisch, kalkloos, lichtgrijs</t>
  </si>
  <si>
    <t>hb_36-5_967+003_bit_3</t>
  </si>
  <si>
    <t>hb_36-5_967+003_bit</t>
  </si>
  <si>
    <t>hb_36-5_967+003_bit.pdf</t>
  </si>
  <si>
    <t>hb_36-5_967+003_bit.gef</t>
  </si>
  <si>
    <t>hb_36-5_967+003_bit_3-KVD</t>
  </si>
  <si>
    <t>hb_36-5_969+005_buta_100</t>
  </si>
  <si>
    <t>hb_36-5_969+005_buta</t>
  </si>
  <si>
    <t>hb_36-5_969+005_buta.pdf</t>
  </si>
  <si>
    <t>hb_36-5_969+005_buta.gef</t>
  </si>
  <si>
    <t>Klei, stevig, sterk plastisch, kalkloos, lichtbruin</t>
  </si>
  <si>
    <t>hb_36-5_970+001_buta_1</t>
  </si>
  <si>
    <t>hb_36-5_970+001_buta</t>
  </si>
  <si>
    <t>hb_36-5_970+001_buta.pdf</t>
  </si>
  <si>
    <t>hb_36-5_970+001_buta.gef</t>
  </si>
  <si>
    <t>Klei, stijf, sterk plastisch, kalkloos, lichtbruin</t>
  </si>
  <si>
    <t>hb_36-5_971+002_buta_100</t>
  </si>
  <si>
    <t>hb_36-5_971+002_buta</t>
  </si>
  <si>
    <t>hb_36-5_971+002_buta.pdf</t>
  </si>
  <si>
    <t>hb_36-5_971+002_buta.gef</t>
  </si>
  <si>
    <t>hb_36-5_971+096_buta_100</t>
  </si>
  <si>
    <t>hb_36-5_971+096_buta</t>
  </si>
  <si>
    <t>hb_36-5_971+096_buta.pdf</t>
  </si>
  <si>
    <t>hb_36-5_971+096_buta.gef</t>
  </si>
  <si>
    <t>Klei, stevig, sterk plastisch, kalkloos, weinig plantenresten, standaardgrijs</t>
  </si>
  <si>
    <t>hb_36-5_971+100_bita_100</t>
  </si>
  <si>
    <t>hb_36-5_971+100_bita</t>
  </si>
  <si>
    <t>binnenteen achterland</t>
  </si>
  <si>
    <t>hb_36-5_971+100_bita.pdf</t>
  </si>
  <si>
    <t>hb_36-5_971+100_bita.gef</t>
  </si>
  <si>
    <t>Zand fijn 105-150, subrond, bolvormig, kalkloos, weinig kleibrokken, lichtbruin</t>
  </si>
  <si>
    <t>hb_36-5_972+000_bit_100</t>
  </si>
  <si>
    <t>hb_36-5_972+000_bit</t>
  </si>
  <si>
    <t>hb_36-5_972+000_bit.pdf</t>
  </si>
  <si>
    <t>hb_36-5_972+000_bit.gef</t>
  </si>
  <si>
    <t>Klei, stijf, sterk zandig, niet plastisch, kalkloos, weinig plantenresten, standaardbruin</t>
  </si>
  <si>
    <t>hb_36-5_973+002_buta_1</t>
  </si>
  <si>
    <t>hb_36-5_973+002_buta</t>
  </si>
  <si>
    <t>hb_36-5_973+002_buta.pdf</t>
  </si>
  <si>
    <t>hb_36-5_973+002_buta.gef</t>
  </si>
  <si>
    <t>Klei, stevig, matig plastisch, kalkloos, standaardbruin</t>
  </si>
  <si>
    <t>hb_36-5_974+000_bita_5</t>
  </si>
  <si>
    <t>hb_36-5_974+000_bita</t>
  </si>
  <si>
    <t>hb_36-5_974+000_bita.pdf</t>
  </si>
  <si>
    <t>hb_36-5_974+000_bita.gef</t>
  </si>
  <si>
    <t>Klei, stijf, zwak zandig, weinig plastisch, kalkloos, standaardbruin</t>
  </si>
  <si>
    <t>hb_36-5_974+002_buta_1</t>
  </si>
  <si>
    <t>hb_36-5_974+002_buta</t>
  </si>
  <si>
    <t>hb_36-5_974+002_buta.pdf</t>
  </si>
  <si>
    <t>hb_36-5_974+002_buta.gef</t>
  </si>
  <si>
    <t>Klei, stevig, matig plastisch, kalkloos, weinig plantenresten, lichtbruin</t>
  </si>
  <si>
    <t>hb_36-5_975+004_buta_100</t>
  </si>
  <si>
    <t>hb_36-5_975+004_buta</t>
  </si>
  <si>
    <t>hb_36-5_975+004_buta.pdf</t>
  </si>
  <si>
    <t>hb_36-5_975+004_buta.gef</t>
  </si>
  <si>
    <t>hb_36-5_976+000_bit_100</t>
  </si>
  <si>
    <t>hb_36-5_976+000_bit</t>
  </si>
  <si>
    <t>hb_36-5_976+000_bit.pdf</t>
  </si>
  <si>
    <t>hb_36-5_976+000_bit.gef</t>
  </si>
  <si>
    <t>hb_36-5_976+000_bit_100-KVD</t>
  </si>
  <si>
    <t>hb_36-5_977+001_buta_100</t>
  </si>
  <si>
    <t>hb_36-5_977+001_buta</t>
  </si>
  <si>
    <t>hb_36-5_977+001_buta.pdf</t>
  </si>
  <si>
    <t>hb_36-5_977+001_buta.gef</t>
  </si>
  <si>
    <t>hb_36-5_977+100_buta_100</t>
  </si>
  <si>
    <t>hb_36-5_977+100_buta</t>
  </si>
  <si>
    <t>hb_36-5_977+100_buta.pdf</t>
  </si>
  <si>
    <t>hb_36-5_977+100_buta.gef</t>
  </si>
  <si>
    <t>Klei, stevig, matig plastisch, kalkloos, lichtbruin</t>
  </si>
  <si>
    <t>hb_36-5_979+008_buta_1</t>
  </si>
  <si>
    <t>hb_36-5_979+008_buta</t>
  </si>
  <si>
    <t>hb_36-5_979+008_buta.pdf</t>
  </si>
  <si>
    <t>hb_36-5_979+008_buta.gef</t>
  </si>
  <si>
    <t>Klei, stijf, matig plastisch, kalkloos, weinig plantenresten, lichtbruin</t>
  </si>
  <si>
    <t>hb_36-5_980+001_bit_7</t>
  </si>
  <si>
    <t>hb_36-5_980+001_bit</t>
  </si>
  <si>
    <t>hb_36-5_980+001_bit.pdf</t>
  </si>
  <si>
    <t>hb_36-5_980+001_bit.gef</t>
  </si>
  <si>
    <t>hb_36-5_980+001_bit_7-KVD</t>
  </si>
  <si>
    <t>hb_36-5_980+002_buta_100</t>
  </si>
  <si>
    <t>hb_36-5_980+002_buta</t>
  </si>
  <si>
    <t>hb_36-5_980+002_buta.pdf</t>
  </si>
  <si>
    <t>hb_36-5_980+002_buta.gef</t>
  </si>
  <si>
    <t>Klei, stijf, matig plastisch, kalkloos, lichtbruin</t>
  </si>
  <si>
    <t>hb_36-5_980+098_bit_6</t>
  </si>
  <si>
    <t>hb_36-5_980+098_bit</t>
  </si>
  <si>
    <t>hb_36-5_980+098_bit.pdf</t>
  </si>
  <si>
    <t>hb_36-5_980+098_bit.gef</t>
  </si>
  <si>
    <t>hb_36-5_980+098_bit_6-KVD</t>
  </si>
  <si>
    <t>hb_36-5_981+002_buta_100</t>
  </si>
  <si>
    <t>hb_36-5_981+002_buta</t>
  </si>
  <si>
    <t>hb_36-5_981+002_buta.pdf</t>
  </si>
  <si>
    <t>hb_36-5_981+002_buta.gef</t>
  </si>
  <si>
    <t>hb_36-5_982+007_buta_100</t>
  </si>
  <si>
    <t>hb_36-5_982+007_buta</t>
  </si>
  <si>
    <t>hb_36-5_982+007_buta.pdf</t>
  </si>
  <si>
    <t>hb_36-5_982+007_buta.gef</t>
  </si>
  <si>
    <t>hb_36-5_982+099_bit_1_1</t>
  </si>
  <si>
    <t>hb_36-5_982+099_bit_1</t>
  </si>
  <si>
    <t>hb_36-5_982+099_bit_1.pdf</t>
  </si>
  <si>
    <t>hb_36-5_982+099_bit_1.gef</t>
  </si>
  <si>
    <t>H. Sanders</t>
  </si>
  <si>
    <t>steekbus</t>
  </si>
  <si>
    <t>Klei, stijf, zwak zandig, matig plastisch, kalkloos, standaardbruin</t>
  </si>
  <si>
    <t>hb_36-5_982+099_bit_1_2</t>
  </si>
  <si>
    <t>hb_36-5_982+099_bit_1_3</t>
  </si>
  <si>
    <t>hb_36-5_982+099_bit_1_4</t>
  </si>
  <si>
    <t>Veen, matig stevig, matige treksterkte, amorf, donkerbruin</t>
  </si>
  <si>
    <t>hb_36-5_982+099_bit_1_5</t>
  </si>
  <si>
    <t>Veen, slap, matige treksterkte, amorf, donkerbruin</t>
  </si>
  <si>
    <t>hb_36-5_983+003_buta_100</t>
  </si>
  <si>
    <t>hb_36-5_983+003_buta</t>
  </si>
  <si>
    <t>hb_36-5_983+003_buta.pdf</t>
  </si>
  <si>
    <t>hb_36-5_983+003_buta.gef</t>
  </si>
  <si>
    <t>hb_36-5_984+002_buta_100</t>
  </si>
  <si>
    <t>hb_36-5_984+002_buta</t>
  </si>
  <si>
    <t>hb_36-5_984+002_buta.pdf</t>
  </si>
  <si>
    <t>hb_36-5_984+002_buta.gef</t>
  </si>
  <si>
    <t>hb_36-5_984+100_bit_1_6</t>
  </si>
  <si>
    <t>hb_36-5_984+100_bit_1</t>
  </si>
  <si>
    <t>hb_36-5_984+100_bit_1.pdf</t>
  </si>
  <si>
    <t>hb_36-5_984+100_bit_1.gef</t>
  </si>
  <si>
    <t>MLT</t>
  </si>
  <si>
    <t>hb_36-5_984+100_bit_1_6-KVD</t>
  </si>
  <si>
    <t>hb_36-5_985+001_bit_1</t>
  </si>
  <si>
    <t>hb_36-5_985+001_bit</t>
  </si>
  <si>
    <t>hb_36-5_985+001_bit.pdf</t>
  </si>
  <si>
    <t>hb_36-5_985+001_bit.gef</t>
  </si>
  <si>
    <t>RBN</t>
  </si>
  <si>
    <t>Zand fijn 150-200, siltig, subrond, bolvormig, kalkloos, standaardgrijs</t>
  </si>
  <si>
    <t>hb_36-5_985+010_buta_100</t>
  </si>
  <si>
    <t>hb_36-5_985+010_buta</t>
  </si>
  <si>
    <t>hb_36-5_985+010_buta.pdf</t>
  </si>
  <si>
    <t>hb_36-5_985+010_buta.gef</t>
  </si>
  <si>
    <t>hb_36-5_986+000_bit_6</t>
  </si>
  <si>
    <t>hb_36-5_986+000_bit</t>
  </si>
  <si>
    <t>hb_36-5_986+000_bit.pdf</t>
  </si>
  <si>
    <t>hb_36-5_986+000_bit.gef</t>
  </si>
  <si>
    <t>hb_36-5_986+000_bit_6-KVD</t>
  </si>
  <si>
    <t>hb_36-5_986+003_bit_9</t>
  </si>
  <si>
    <t>hb_36-5_986+003_bit</t>
  </si>
  <si>
    <t>hb_36-5_986+003_bit.pdf</t>
  </si>
  <si>
    <t>hb_36-5_986+003_bit.gef</t>
  </si>
  <si>
    <t>JSI</t>
  </si>
  <si>
    <t>hb_36-5_986+003_bit_9-KVD</t>
  </si>
  <si>
    <t>hb_36-5_987+001_buta_1</t>
  </si>
  <si>
    <t>hb_36-5_987+001_buta</t>
  </si>
  <si>
    <t>hb_36-5_987+001_buta.pdf</t>
  </si>
  <si>
    <t>hb_36-5_987+001_buta.gef</t>
  </si>
  <si>
    <t>Ackermann steekbus gedrukt, diameter 67 mm, ongeroerd</t>
  </si>
  <si>
    <t>Klei, stevig, sterk plastisch, kalkhoudend, lichtbruin</t>
  </si>
  <si>
    <t>hb_36-5_988+001_bit_6</t>
  </si>
  <si>
    <t>hb_36-5_988+001_bit</t>
  </si>
  <si>
    <t>hb_36-5_988+001_bit.pdf</t>
  </si>
  <si>
    <t>hb_36-5_988+001_bit.gef</t>
  </si>
  <si>
    <t>hb_36-5_988+001_bit_6-KVD</t>
  </si>
  <si>
    <t>hb_36-5_988+002_buta_1</t>
  </si>
  <si>
    <t>hb_36-5_988+002_buta</t>
  </si>
  <si>
    <t>hb_36-5_988+002_buta.pdf</t>
  </si>
  <si>
    <t>hb_36-5_988+002_buta.gef</t>
  </si>
  <si>
    <t>Klei, stevig, sterk plastisch, kalkloos, weinig plantenresten, lichtbruin</t>
  </si>
  <si>
    <t>hb_36-5_989+003_bit_6</t>
  </si>
  <si>
    <t>hb_36-5_989+003_bit</t>
  </si>
  <si>
    <t>hb_36-5_989+003_bit.pdf</t>
  </si>
  <si>
    <t>hb_36-5_989+003_bit.gef</t>
  </si>
  <si>
    <t>hb_36-5_989+003_bit_6-KVD</t>
  </si>
  <si>
    <t>hb_36-5_989+007_buta_1</t>
  </si>
  <si>
    <t>hb_36-5_989+007_buta</t>
  </si>
  <si>
    <t>hb_36-5_989+007_buta.pdf</t>
  </si>
  <si>
    <t>hb_36-5_989+007_buta.gef</t>
  </si>
  <si>
    <t>hb_36-5_989+099_bit_9</t>
  </si>
  <si>
    <t>hb_36-5_989+099_bit</t>
  </si>
  <si>
    <t>hb_36-5_989+099_bit.pdf</t>
  </si>
  <si>
    <t>hb_36-5_989+099_bit.gef</t>
  </si>
  <si>
    <t>hb_36-5_989+099_bit_9-KVD</t>
  </si>
  <si>
    <t>hb_36-5_990+001_bita_100</t>
  </si>
  <si>
    <t>hb_36-5_990+001_bita</t>
  </si>
  <si>
    <t>hb_36-5_990+001_bita.pdf</t>
  </si>
  <si>
    <t>hb_36-5_990+001_bita.gef</t>
  </si>
  <si>
    <t>Zand fijn 105-150, siltig, zwak organisch, subrond, bolvormig, kalkloos, lichtbruin</t>
  </si>
  <si>
    <t>hb_36-5_990+001_buta_1</t>
  </si>
  <si>
    <t>hb_36-5_990+001_buta</t>
  </si>
  <si>
    <t>hb_36-5_990+001_buta.pdf</t>
  </si>
  <si>
    <t>hb_36-5_990+001_buta.gef</t>
  </si>
  <si>
    <t>Klei, stevig, zwak zandig, matig plastisch, zwak kalkhoudend, weinig zandlensjes, standaardbruin</t>
  </si>
  <si>
    <t>hb_36-5_990+098_bit_2</t>
  </si>
  <si>
    <t>hb_36-5_990+098_bit</t>
  </si>
  <si>
    <t>hb_36-5_990+098_bit.pdf</t>
  </si>
  <si>
    <t>hb_36-5_990+098_bit.gef</t>
  </si>
  <si>
    <t>hb_36-5_990+098_bit_2-KVD</t>
  </si>
  <si>
    <t>hb_36-5_991+000_buta_1</t>
  </si>
  <si>
    <t>hb_36-5_991+000_buta</t>
  </si>
  <si>
    <t>hb_36-5_991+000_buta.pdf</t>
  </si>
  <si>
    <t>hb_36-5_991+000_buta.gef</t>
  </si>
  <si>
    <t>Klei, stevig, zwak zandig, matig plastisch, kalkhoudend, weinig plantenresten, lichtbruin</t>
  </si>
  <si>
    <t>hb_36-5_991+096_buta_1</t>
  </si>
  <si>
    <t>hb_36-5_991+096_buta</t>
  </si>
  <si>
    <t>hb_36-5_991+096_buta.pdf</t>
  </si>
  <si>
    <t>hb_36-5_991+096_buta.gef</t>
  </si>
  <si>
    <t>Klei, stijf, matig plastisch, kalkhoudend, standaardbruin</t>
  </si>
  <si>
    <t>hb_36-5_992+000_bit_7</t>
  </si>
  <si>
    <t>hb_36-5_992+000_bit</t>
  </si>
  <si>
    <t>hb_36-5_992+000_bit.pdf</t>
  </si>
  <si>
    <t>hb_36-5_992+000_bit.gef</t>
  </si>
  <si>
    <t>hb_36-5_992+000_bit_7-KVD</t>
  </si>
  <si>
    <t>hb_36-5_992+091_bit_8</t>
  </si>
  <si>
    <t>hb_36-5_992+091_bit</t>
  </si>
  <si>
    <t>hb_36-5_992+091_bit.pdf</t>
  </si>
  <si>
    <t>hb_36-5_992+091_bit.gef</t>
  </si>
  <si>
    <t>hb_36-5_992+091_bit_8-KVD</t>
  </si>
  <si>
    <t>hb_36-5_993+000_buta_1</t>
  </si>
  <si>
    <t>hb_36-5_993+000_buta</t>
  </si>
  <si>
    <t>hb_36-5_993+000_buta.pdf</t>
  </si>
  <si>
    <t>hb_36-5_993+000_buta.gef</t>
  </si>
  <si>
    <t>Klei, stijf, sterk zandig, sterk organisch, met grind, matig plastisch, kalkhoudend, weinig wortels, standaardbruin</t>
  </si>
  <si>
    <t>hb_36-5_994+004_buta_1</t>
  </si>
  <si>
    <t>hb_36-5_994+004_buta</t>
  </si>
  <si>
    <t>hb_36-5_994+004_buta.pdf</t>
  </si>
  <si>
    <t>hb_36-5_994+004_buta.gef</t>
  </si>
  <si>
    <t>Klei, stijf, zwak zandig, zwak organisch, matig plastisch, kalkhoudend, standaardbruin</t>
  </si>
  <si>
    <t>hb_36-5_994+094_buta_1</t>
  </si>
  <si>
    <t>hb_36-5_994+094_buta</t>
  </si>
  <si>
    <t>hb_36-5_994+094_buta.pdf</t>
  </si>
  <si>
    <t>hb_36-5_994+094_buta.gef</t>
  </si>
  <si>
    <t>Klei, zeer stijf, zwak zandig, zwak organisch, met grind, matig plastisch, zwak kalkhoudend, standaardbruin</t>
  </si>
  <si>
    <t>hb_36-5_994+099_bit_8</t>
  </si>
  <si>
    <t>hb_36-5_994+099_bit</t>
  </si>
  <si>
    <t>hb_36-5_994+099_bit.pdf</t>
  </si>
  <si>
    <t>hb_36-5_994+099_bit.gef</t>
  </si>
  <si>
    <t>hb_36-5_994+099_bit_8-KVD</t>
  </si>
  <si>
    <t>hb_36-5_995+099_bit_112</t>
  </si>
  <si>
    <t>hb_36-5_995+099_bit</t>
  </si>
  <si>
    <t>hb_36-5_995+099_bit.pdf</t>
  </si>
  <si>
    <t>hb_36-5_995+099_bit.gef</t>
  </si>
  <si>
    <t>hb_36-5_995+099_bit_112-KVD</t>
  </si>
  <si>
    <t>hb_36-5_997+000_buta_1</t>
  </si>
  <si>
    <t>hb_36-5_997+000_buta</t>
  </si>
  <si>
    <t>hb_36-5_997+000_buta.pdf</t>
  </si>
  <si>
    <t>hb_36-5_997+000_buta.gef</t>
  </si>
  <si>
    <t>Klei, zeer stijf, zwak organisch, sterk plastisch, kalkhoudend, weinig kalk, standaardbruin</t>
  </si>
  <si>
    <t>hb_36-5_997+099_buta_1</t>
  </si>
  <si>
    <t>hb_36-5_997+099_buta</t>
  </si>
  <si>
    <t>hb_36-5_997+099_buta.pdf</t>
  </si>
  <si>
    <t>hb_36-5_997+099_buta.gef</t>
  </si>
  <si>
    <t>Klei, stijf, zwak zandig, zwak organisch, matig plastisch, kalkhoudend, veel kalk, standaardbruin</t>
  </si>
  <si>
    <t>hb_36-5_999+000_buta_3</t>
  </si>
  <si>
    <t>hb_36-5_999+000_buta</t>
  </si>
  <si>
    <t>hb_36-5_999+000_buta.pdf</t>
  </si>
  <si>
    <t>hb_36-5_999+000_buta.gef</t>
  </si>
  <si>
    <t>Klei, zeer stijf, zwak zandig, zwak organisch, matig plastisch, kalkloos, standaardbruin</t>
  </si>
  <si>
    <t>hb_36-5_999+003_bit_1</t>
  </si>
  <si>
    <t>hb_36-5_999+003_bit</t>
  </si>
  <si>
    <t>hb_36-5_999+003_bit.pdf</t>
  </si>
  <si>
    <t>hb_36-5_999+003_bit.gef</t>
  </si>
  <si>
    <t>Klei, zeer stijf, zwak zandig, zwak organisch, matig plastisch, kalkhoudend, standaardbruin</t>
  </si>
  <si>
    <t>hb_36-5_999+003_bit_104</t>
  </si>
  <si>
    <t>hb_36-5_999+003_bit_104-KVD</t>
  </si>
  <si>
    <t>Doel: controleren van gelijkheid velden beschrijving en database zelf</t>
  </si>
  <si>
    <t>Velden van tabblad "Dbase_velden_versie4_2"</t>
  </si>
  <si>
    <t>Getransponeerde velden van tabblad "Dbase"</t>
  </si>
  <si>
    <t>Check (OK, NOK) - intern uitwisselingssheet</t>
  </si>
  <si>
    <t>Kopie uit Dbase_velden_versie4_2 van proevenverzamelingensheet</t>
  </si>
  <si>
    <t>Check (OK, NOK) - met proevenverzamelingentool</t>
  </si>
  <si>
    <t>RIJ</t>
  </si>
  <si>
    <t>NAAM_DBASE_CATEGORIE</t>
  </si>
  <si>
    <t>FORMULE</t>
  </si>
  <si>
    <t>GROEP_CODE</t>
  </si>
  <si>
    <t>GROEP NAAM</t>
  </si>
  <si>
    <t>ALG</t>
  </si>
  <si>
    <t>ALG__CLASSIFICATIE</t>
  </si>
  <si>
    <t>Classificatie proeven uitgevoerd</t>
  </si>
  <si>
    <t>Algemene kenmerken</t>
  </si>
  <si>
    <t>Veen classificatie uitgevoerd</t>
  </si>
  <si>
    <t>Korrel verdeling uitgevoerd</t>
  </si>
  <si>
    <t>Sondering uitgevoerd</t>
  </si>
  <si>
    <t>CRS-proef uitgevoerd</t>
  </si>
  <si>
    <t>Samendrukkings proef uitgevoerd</t>
  </si>
  <si>
    <t>DSS-proef uitgevoerd</t>
  </si>
  <si>
    <t>Triaxiaal proef uitgevoerd</t>
  </si>
  <si>
    <t>Boring Monsternr Id</t>
  </si>
  <si>
    <t>Opdrachtgever</t>
  </si>
  <si>
    <t>Projectnummer</t>
  </si>
  <si>
    <t>naam Polder Dijk</t>
  </si>
  <si>
    <t>Referentie</t>
  </si>
  <si>
    <t>Regio</t>
  </si>
  <si>
    <t>Type waterkering</t>
  </si>
  <si>
    <t>Aanlegjaar</t>
  </si>
  <si>
    <t>Bodemkaart</t>
  </si>
  <si>
    <t>Geologie</t>
  </si>
  <si>
    <t>Filenaam Geot Profiel</t>
  </si>
  <si>
    <t>BORING</t>
  </si>
  <si>
    <t>Xid</t>
  </si>
  <si>
    <t>Kenmerken van de boring</t>
  </si>
  <si>
    <t>Yid</t>
  </si>
  <si>
    <t>Maaiveldniveau</t>
  </si>
  <si>
    <t>Nummer</t>
  </si>
  <si>
    <t>Positie</t>
  </si>
  <si>
    <t>Datum</t>
  </si>
  <si>
    <t>Filenaam PDF</t>
  </si>
  <si>
    <t>Filenaam GEF</t>
  </si>
  <si>
    <t>Bedrijf</t>
  </si>
  <si>
    <t>Boormeester</t>
  </si>
  <si>
    <t>Methode</t>
  </si>
  <si>
    <t>Opname GWS</t>
  </si>
  <si>
    <t>GLG</t>
  </si>
  <si>
    <t>MONSTER</t>
  </si>
  <si>
    <t>Id</t>
  </si>
  <si>
    <t>Kenmerken van het monster</t>
  </si>
  <si>
    <t>Steekmethode</t>
  </si>
  <si>
    <t>Opslagwijze</t>
  </si>
  <si>
    <t>Niveau NAP vanaf</t>
  </si>
  <si>
    <t>Niveau NAP tot</t>
  </si>
  <si>
    <t>Niveau mv vanaf</t>
  </si>
  <si>
    <t>Niveau mv tot</t>
  </si>
  <si>
    <t>Totaal volumegewicht monsterbus</t>
  </si>
  <si>
    <t>CLAS</t>
  </si>
  <si>
    <t>Classificatieproeven</t>
  </si>
  <si>
    <t>Filenaam Digitaal</t>
  </si>
  <si>
    <t>Monsterid</t>
  </si>
  <si>
    <t>Laboratorium classificatie + veenclassificatie</t>
  </si>
  <si>
    <t>i.v.m. AVG niet herleidbaar tot persoongegevens</t>
  </si>
  <si>
    <t>Normen</t>
  </si>
  <si>
    <t>CLAS_NEN5104</t>
  </si>
  <si>
    <t>Beschrijving van de grond conform de NEN5104 (Codering gebruiken, niet geheel uitschrijven. Bijvoorbeeld: Ks2 of Vm of Ks3h1)</t>
  </si>
  <si>
    <t>G (grind) ,Z (zand),L (leem),K (klei),V (veen) i.c.m. g (grindig) ,z (zandig),s (siltig),k (kleiig),h (humues) ,m (mineraalarm) en de gradatie 1 (zwak),2 (matig),3 (sterk),4 (uiterst)</t>
  </si>
  <si>
    <t>NEN5104</t>
  </si>
  <si>
    <t>CLAS_NEN5104_BIJMENGING</t>
  </si>
  <si>
    <t>Beschrijving van de bijzondere bestanddelen behorend bij de classificatie conform de NEN5104</t>
  </si>
  <si>
    <t>NEN5104 bijmenging</t>
  </si>
  <si>
    <t>Monsterniveau</t>
  </si>
  <si>
    <t>Volumegewicht nat</t>
  </si>
  <si>
    <t>Volumegewicht droog</t>
  </si>
  <si>
    <t>Watergehalte</t>
  </si>
  <si>
    <t>Porositeit</t>
  </si>
  <si>
    <t>Poriengetal</t>
  </si>
  <si>
    <t>Verzadigingsgraad</t>
  </si>
  <si>
    <t>Volumegewicht Verzadigd</t>
  </si>
  <si>
    <t>Specifieke massa Inschatting</t>
  </si>
  <si>
    <t>Specifieke massa</t>
  </si>
  <si>
    <t>Gloeiverlies</t>
  </si>
  <si>
    <t>Kalkgehalte</t>
  </si>
  <si>
    <t>Pocketpenetro</t>
  </si>
  <si>
    <t>Torvane</t>
  </si>
  <si>
    <t>Fallinghead K10</t>
  </si>
  <si>
    <t>Constanthead K10</t>
  </si>
  <si>
    <t>Opmerking</t>
  </si>
  <si>
    <t>CLAS_AT</t>
  </si>
  <si>
    <t>Vloeigrens Cas</t>
  </si>
  <si>
    <t>Atterbergsche grenzen</t>
  </si>
  <si>
    <t>Uitrolgrens</t>
  </si>
  <si>
    <t>CLAS_VN</t>
  </si>
  <si>
    <t>Veenclassificatie</t>
  </si>
  <si>
    <t>Hoofdnaam</t>
  </si>
  <si>
    <t>Botanisch</t>
  </si>
  <si>
    <t>Verweringsgraad</t>
  </si>
  <si>
    <t>Fijnevezels</t>
  </si>
  <si>
    <t>Grovevezels</t>
  </si>
  <si>
    <t>Hout</t>
  </si>
  <si>
    <t>Asgehalte</t>
  </si>
  <si>
    <t>KV</t>
  </si>
  <si>
    <t>Korrelverdeling zeefproef en fractieverdeling</t>
  </si>
  <si>
    <t>Laboratorium</t>
  </si>
  <si>
    <t>KV_NEN5104</t>
  </si>
  <si>
    <t>KV_NEN5104_BIJMENGING</t>
  </si>
  <si>
    <t>Beschrijving van de bijmengingen behorend bij de classificatie conform de NEN5104</t>
  </si>
  <si>
    <t>Mediaan Zandfractie</t>
  </si>
  <si>
    <t>Mediaan Allefracties</t>
  </si>
  <si>
    <t>Grind%</t>
  </si>
  <si>
    <t>Zand%</t>
  </si>
  <si>
    <t>Silt%</t>
  </si>
  <si>
    <t>%grind&lt; 63 mm</t>
  </si>
  <si>
    <t>%grind&lt; 31,5 mm</t>
  </si>
  <si>
    <t>%grind&lt; 16 mm</t>
  </si>
  <si>
    <t>%grind&lt; 8 mm</t>
  </si>
  <si>
    <t>%grind&lt; 4 mm</t>
  </si>
  <si>
    <t>%zand&lt; 2 mm</t>
  </si>
  <si>
    <t>%zand&lt; 1 mm</t>
  </si>
  <si>
    <t>%zand&lt; 0,5 mm</t>
  </si>
  <si>
    <t>%zand&lt; 250 μm</t>
  </si>
  <si>
    <t>%zand&lt; 180 μm</t>
  </si>
  <si>
    <t>%zand&lt; 125 μm</t>
  </si>
  <si>
    <t>%silt&lt; 63 μm</t>
  </si>
  <si>
    <t>%silt&lt; 32 μm</t>
  </si>
  <si>
    <t>%silt&lt; 20 μm</t>
  </si>
  <si>
    <t>%slib&lt; 16 μm</t>
  </si>
  <si>
    <t>%lutum&lt; 2 μm</t>
  </si>
  <si>
    <t>D70</t>
  </si>
  <si>
    <t>D60</t>
  </si>
  <si>
    <t>D50</t>
  </si>
  <si>
    <t>D10</t>
  </si>
  <si>
    <t>Cu Zand</t>
  </si>
  <si>
    <t>CPT</t>
  </si>
  <si>
    <t>Kenmerken van de sondering</t>
  </si>
  <si>
    <t>Niveau</t>
  </si>
  <si>
    <t>Trajectlengte gemiddeld</t>
  </si>
  <si>
    <t>Gemeten gemiddelde conusweerstand  qc</t>
  </si>
  <si>
    <t>Gemeten gemiddelde wrijvingsweerstand fs</t>
  </si>
  <si>
    <t>Wrijvingsgetal gemiddeld Rf</t>
  </si>
  <si>
    <t>Waterspanning gemiddeld u2</t>
  </si>
  <si>
    <t>Conusweerstand correctie gem. watersp. qt</t>
  </si>
  <si>
    <t>Verticale grondspanning σv0</t>
  </si>
  <si>
    <t>conusweerstand qc ball weerstandbolsonde</t>
  </si>
  <si>
    <t>CRS</t>
  </si>
  <si>
    <t>CRS proef</t>
  </si>
  <si>
    <t>Filenaam Spanningspad</t>
  </si>
  <si>
    <t>Norm</t>
  </si>
  <si>
    <t>CRS_NEN5104</t>
  </si>
  <si>
    <t>CRS_NEN5104_BIJMENGING</t>
  </si>
  <si>
    <t>Terreinspanning</t>
  </si>
  <si>
    <t>Watergehalte voor</t>
  </si>
  <si>
    <t>Watergehalte na proef</t>
  </si>
  <si>
    <t>Verzadiging</t>
  </si>
  <si>
    <t>Temperatuur proef max</t>
  </si>
  <si>
    <t>Temperatuur proef min</t>
  </si>
  <si>
    <t>Proefstukdiameter voor</t>
  </si>
  <si>
    <t>Proefstukhoogte voor</t>
  </si>
  <si>
    <t>Proefstukhoogte na verzadiging</t>
  </si>
  <si>
    <t>Proefstukhoogte na proef</t>
  </si>
  <si>
    <t>Reksnelheid belasten</t>
  </si>
  <si>
    <t>Reksnelheid ontlasten</t>
  </si>
  <si>
    <t>Relaxatieduur</t>
  </si>
  <si>
    <t>Eff spanning start relaxatie</t>
  </si>
  <si>
    <t>Eff spanning eind relaxatie</t>
  </si>
  <si>
    <t>Eff vert spanning start ontlasten</t>
  </si>
  <si>
    <t>Eff vert spanning eind Ontlasten</t>
  </si>
  <si>
    <t>Eff vert spanning eind proef</t>
  </si>
  <si>
    <t>Max rel wateroverspanning proef</t>
  </si>
  <si>
    <t>Rek bij grensspanning A</t>
  </si>
  <si>
    <t>Bovengrens grensspanning B</t>
  </si>
  <si>
    <t>Isotache A</t>
  </si>
  <si>
    <t>Isotache B</t>
  </si>
  <si>
    <t>Isotache C</t>
  </si>
  <si>
    <t>SD</t>
  </si>
  <si>
    <t>Samendrukkingsproef</t>
  </si>
  <si>
    <t>Filenaam spanningspad</t>
  </si>
  <si>
    <t>SD_NEN5104</t>
  </si>
  <si>
    <t>SD_NEN5104_BIJMENGING</t>
  </si>
  <si>
    <t>Watergehalte initieel</t>
  </si>
  <si>
    <t>Max temperatuur proef</t>
  </si>
  <si>
    <t>Min temperatuur proef</t>
  </si>
  <si>
    <t>Belast ontlaststappen</t>
  </si>
  <si>
    <t>Typeproef</t>
  </si>
  <si>
    <t>Bjerrum grensspanning</t>
  </si>
  <si>
    <t>Bjerrum rek bij grensspanning</t>
  </si>
  <si>
    <t>Bjerrum Cc</t>
  </si>
  <si>
    <t>Bjerrum Cc Trap1 2</t>
  </si>
  <si>
    <t>Bjerrum Cc Trap2 3</t>
  </si>
  <si>
    <t>Bjerrum Cc Trap3 4</t>
  </si>
  <si>
    <t>Bjerrum Cc Trap4 5</t>
  </si>
  <si>
    <t>Bjerrum Cc Trap5 6</t>
  </si>
  <si>
    <t>Bjerrum Cc Trap6 7</t>
  </si>
  <si>
    <t>Bjerrum Cc Trap7 8</t>
  </si>
  <si>
    <t>Bjerrum Cc Trap8 9</t>
  </si>
  <si>
    <t>Bjerrum Cc Trap9 10</t>
  </si>
  <si>
    <t>Bjerrum Cr</t>
  </si>
  <si>
    <t>Bjerrum Cr Trap1 2</t>
  </si>
  <si>
    <t>Bjerrum Cr Trap2 3</t>
  </si>
  <si>
    <t>Bjerrum Cr Trap3 4</t>
  </si>
  <si>
    <t>Bjerrum Cr Trap4 5</t>
  </si>
  <si>
    <t>Bjerrum Cr Trap5 6</t>
  </si>
  <si>
    <t>Bjerrum Cr Trap6 7</t>
  </si>
  <si>
    <t>Bjerrum Cr Trap7 8</t>
  </si>
  <si>
    <t>Bjerrum Sr Trap8 9</t>
  </si>
  <si>
    <t>Bjerrum Rr Trap9 10</t>
  </si>
  <si>
    <t>Bjerrum Calpha</t>
  </si>
  <si>
    <t>Bjerrum Calpha Trap1</t>
  </si>
  <si>
    <t>Bjerrum Calpha Trap2</t>
  </si>
  <si>
    <t>Bjerrum Calpha Trap3</t>
  </si>
  <si>
    <t>Bjerrum Calpha Trap4</t>
  </si>
  <si>
    <t>Bjerrum Calpha Trap5</t>
  </si>
  <si>
    <t>Bjerrum Calpha Trap6</t>
  </si>
  <si>
    <t>Bjerrum Calpha Trap7</t>
  </si>
  <si>
    <t>Bjerrum Calpha Trap8</t>
  </si>
  <si>
    <t>Bjerrum Calpha Trap9</t>
  </si>
  <si>
    <t>Bjerrum Calpha Trap10</t>
  </si>
  <si>
    <t>Bjerrum V0</t>
  </si>
  <si>
    <t>Koppejan Grensspanning</t>
  </si>
  <si>
    <t>Koppejan Rek bij Grensspanning</t>
  </si>
  <si>
    <t>Koppejan C</t>
  </si>
  <si>
    <t>Koppejan C'</t>
  </si>
  <si>
    <t>Koppejan C Trap2 3</t>
  </si>
  <si>
    <t>Koppejan C Trap3 4</t>
  </si>
  <si>
    <t>Koppejan C Trap4 5</t>
  </si>
  <si>
    <t>Koppejan C Trap5 6</t>
  </si>
  <si>
    <t>Koppejan C Trap6 7</t>
  </si>
  <si>
    <t>Koppejan C Trap7 8</t>
  </si>
  <si>
    <t>Koppejan C Trap8 9</t>
  </si>
  <si>
    <t>Koppejan Cp</t>
  </si>
  <si>
    <t>Koppejan C'p</t>
  </si>
  <si>
    <t>Koppejan Cp Trap2 3</t>
  </si>
  <si>
    <t>Koppejan Cp Trap3 4</t>
  </si>
  <si>
    <t>Koppejan Cp Trap4 5</t>
  </si>
  <si>
    <t>Koppejan Cp Trap5 6</t>
  </si>
  <si>
    <t>Koppejan Cp Trap6 7</t>
  </si>
  <si>
    <t>Koppejan Cp Trap7 8</t>
  </si>
  <si>
    <t>Koppejan Cp Trap8 9</t>
  </si>
  <si>
    <t>Koppejan Cs</t>
  </si>
  <si>
    <t>Koppejan C's</t>
  </si>
  <si>
    <t>Koppejan Cs Trap2 3</t>
  </si>
  <si>
    <t>Koppejan Cs Trap3 4</t>
  </si>
  <si>
    <t>Koppejan Cs Trap4 5</t>
  </si>
  <si>
    <t>Koppejan Cs Trap5 6</t>
  </si>
  <si>
    <t>Koppejan Cs Trap6 7</t>
  </si>
  <si>
    <t>Koppejan Cs Trap7 8</t>
  </si>
  <si>
    <t>Koppejan Cs Trap8 9</t>
  </si>
  <si>
    <t>Isotache Grensspanning A</t>
  </si>
  <si>
    <t>Isotache Rek bij Grensspanning A</t>
  </si>
  <si>
    <t>Isotache Bovengrens Grensspanning B</t>
  </si>
  <si>
    <t>Casagrande Cv10 Trap2</t>
  </si>
  <si>
    <t>Casagrande Cv10 Trap3</t>
  </si>
  <si>
    <t>Casagrande Cv10 Trap4</t>
  </si>
  <si>
    <t>Casagrande Cv10 Trap5</t>
  </si>
  <si>
    <t>Casagrande Cv10 Trap6</t>
  </si>
  <si>
    <t>Casagrande Cv10 Trap7</t>
  </si>
  <si>
    <t>Casagrande Cv10 Trap8</t>
  </si>
  <si>
    <t>Casagrande Cv10 Trap9</t>
  </si>
  <si>
    <t>Casagrande K10 Trap2</t>
  </si>
  <si>
    <t>Casagrande K10 Trap3</t>
  </si>
  <si>
    <t>Casagrande K10 Trap4</t>
  </si>
  <si>
    <t>Casagrande K10 Trap5</t>
  </si>
  <si>
    <t>Casagrande K10 Trap6</t>
  </si>
  <si>
    <t>Casagrande K10 Trap7</t>
  </si>
  <si>
    <t>Casagrande K10 Trap8</t>
  </si>
  <si>
    <t>Casagrande K10 Trap9</t>
  </si>
  <si>
    <t>Casagrande Mv Trap2</t>
  </si>
  <si>
    <t>Casagrande Mv Trap3</t>
  </si>
  <si>
    <t>Casagrande Mv Trap4</t>
  </si>
  <si>
    <t>Casagrande Mv Trap5</t>
  </si>
  <si>
    <t>Casagrande Mv Trap6</t>
  </si>
  <si>
    <t>Casagrande Mv Trap7</t>
  </si>
  <si>
    <t>Casagrande Mv Trap8</t>
  </si>
  <si>
    <t>Casagrande Mv Trap9</t>
  </si>
  <si>
    <t>Casagrande Spanning Cv10 Trap2</t>
  </si>
  <si>
    <t>Casagrande Spanning Cv10 Trap3</t>
  </si>
  <si>
    <t>Casagrande Spanning Cv10 Trap4</t>
  </si>
  <si>
    <t>Casagrande Spanning Cv10 Trap5</t>
  </si>
  <si>
    <t>Casagrande Spanning Cv10 Trap6</t>
  </si>
  <si>
    <t>Casagrande Spanning Cv10 Trap7</t>
  </si>
  <si>
    <t>Casagrande Spanning Cv10 Trap8</t>
  </si>
  <si>
    <t>Casagrande Spanning Cv10 Trap9</t>
  </si>
  <si>
    <t>Taylor Cv10 Trap2</t>
  </si>
  <si>
    <t>Taylor Cv10 Trap3</t>
  </si>
  <si>
    <t>Taylor Cv10 Trap4</t>
  </si>
  <si>
    <t>Taylor Cv10 Trap5</t>
  </si>
  <si>
    <t>Taylor Cv10 Trap6</t>
  </si>
  <si>
    <t>Taylor Cv10 Trap7</t>
  </si>
  <si>
    <t>Taylor Cv10 Trap8</t>
  </si>
  <si>
    <t>Taylor Cv10 Trap9</t>
  </si>
  <si>
    <t>Taylor K10 Trap2</t>
  </si>
  <si>
    <t>Taylor K10 Trap3</t>
  </si>
  <si>
    <t>Taylor K10 Trap4</t>
  </si>
  <si>
    <t>Taylor K10 Trap5</t>
  </si>
  <si>
    <t>Taylor K10 Trap6</t>
  </si>
  <si>
    <t>Taylor K10 Trap7</t>
  </si>
  <si>
    <t>Taylor K10 Trap8</t>
  </si>
  <si>
    <t>Taylor K10 Trap9</t>
  </si>
  <si>
    <t>Taylor Mv Trap2</t>
  </si>
  <si>
    <t>Taylor Mv Trap3</t>
  </si>
  <si>
    <t>Taylor Mv Trap4</t>
  </si>
  <si>
    <t>Taylor Mv Trap5</t>
  </si>
  <si>
    <t>Taylor Mv Trap6</t>
  </si>
  <si>
    <t>Taylor Mv Trap7</t>
  </si>
  <si>
    <t>Taylor Mv Trap8</t>
  </si>
  <si>
    <t>Taylor Mv Trap9</t>
  </si>
  <si>
    <t>Taylor Spanning Cv10 Trap2</t>
  </si>
  <si>
    <t>Taylor Spanning Cv10 Trap3</t>
  </si>
  <si>
    <t>Taylor Spanning Cv10 Trap4</t>
  </si>
  <si>
    <t>Taylor Spanning Cv10 Trap5</t>
  </si>
  <si>
    <t>Taylor Spanning Cv10 Trap6</t>
  </si>
  <si>
    <t>Taylor Spanning Cv10 Trap7</t>
  </si>
  <si>
    <t>Taylor Spanning Cv10 Trap8</t>
  </si>
  <si>
    <t>Taylor Spanning Cv10 Trap9</t>
  </si>
  <si>
    <t>DSS</t>
  </si>
  <si>
    <t>DSS proef</t>
  </si>
  <si>
    <t>DSS_NEN5104</t>
  </si>
  <si>
    <t>DSS_NEN5104_BIJMENGING</t>
  </si>
  <si>
    <t>Verzadiginggraad voor</t>
  </si>
  <si>
    <t>Poriengetal voor</t>
  </si>
  <si>
    <t>Poriengetal einde consolidatie</t>
  </si>
  <si>
    <t>proefstukdiameter voor</t>
  </si>
  <si>
    <t>proefstukhoogte voor</t>
  </si>
  <si>
    <t>proefstukhoogte na consolidatie</t>
  </si>
  <si>
    <t>Uitgevoerde Correcties</t>
  </si>
  <si>
    <t>Uitvoeringswijze</t>
  </si>
  <si>
    <t>Effectieve vertikale spanning - max consolidatie</t>
  </si>
  <si>
    <t>Effectieve vertikale spanning - einde consolidatie</t>
  </si>
  <si>
    <t>Overconsolidatieratio monster</t>
  </si>
  <si>
    <t>Axiale rek einde consolidatie</t>
  </si>
  <si>
    <t>Belastingsstappen consolidatie</t>
  </si>
  <si>
    <t>Duur consolidatie</t>
  </si>
  <si>
    <t>Afschuifsnelheid %/uur</t>
  </si>
  <si>
    <t>Afschuifsnelheid mm/uur</t>
  </si>
  <si>
    <t>Normaalspanning σ'n bij 2% rek</t>
  </si>
  <si>
    <t>Schuifspanning τ bij 2% rek</t>
  </si>
  <si>
    <t>Normaalspanning σ'n bij 5% rek</t>
  </si>
  <si>
    <t>Schuifspanning τ bij 5% rek</t>
  </si>
  <si>
    <t>Normaalspanning σ'n bij 10% rek</t>
  </si>
  <si>
    <t>Schuifspanning τ bij 10% rek</t>
  </si>
  <si>
    <t>Normaalspanning σ'n bij 15% rek</t>
  </si>
  <si>
    <t>Schuifspanning τ bij 15% rek</t>
  </si>
  <si>
    <t>Normaalspanning σ'n bij 20% rek</t>
  </si>
  <si>
    <t>Schuifspanning τ bij 20% rek</t>
  </si>
  <si>
    <t>Normaalspanning σ'n bij τ piek</t>
  </si>
  <si>
    <t>Maximale schuifspanning τ piek</t>
  </si>
  <si>
    <t>Schuifrek bij max schuifspanning τ piek</t>
  </si>
  <si>
    <t>Normaalspanning σ'n bij τ eind schuifrek</t>
  </si>
  <si>
    <t>Schuifspanning τ bij eind schuifrek</t>
  </si>
  <si>
    <t>Eind schuifrek</t>
  </si>
  <si>
    <t>Schuifmodulus G50</t>
  </si>
  <si>
    <t>TXT_SS</t>
  </si>
  <si>
    <t>Triaxiaalproeven single stage (CU SS)</t>
  </si>
  <si>
    <t>TXT_SS_NEN5104</t>
  </si>
  <si>
    <t>TXT_SS_NEN5104_BIJMENGING</t>
  </si>
  <si>
    <t>Terreinspanning σv'</t>
  </si>
  <si>
    <t>Verzadigingsgraad voor</t>
  </si>
  <si>
    <t>Type proef</t>
  </si>
  <si>
    <t>Membraancorrectie</t>
  </si>
  <si>
    <t>Overigecorrecties</t>
  </si>
  <si>
    <t>Consolidatiewijze</t>
  </si>
  <si>
    <t>Spanningsverhouding stopcr K</t>
  </si>
  <si>
    <t>Stopcriterium consolidatie</t>
  </si>
  <si>
    <t>Gem effectieve spanning σ' - isotrope consolidatie</t>
  </si>
  <si>
    <t>Schuifspanning τ - isotrope consolidatie</t>
  </si>
  <si>
    <t>Gem effectieve spanning σ' - max consolidatie</t>
  </si>
  <si>
    <t>Schuifspanning τ - max consolidatie</t>
  </si>
  <si>
    <t>Gem effectieve spanning σ' - einde consolidatie</t>
  </si>
  <si>
    <t>Schuifspanning τ - einde consolidatie</t>
  </si>
  <si>
    <t>Axialerek consolidatie</t>
  </si>
  <si>
    <t>Volumerek consolidatie</t>
  </si>
  <si>
    <t>Stopcriterium Afschuiven</t>
  </si>
  <si>
    <t>Axialereksnelheid Afschuiven</t>
  </si>
  <si>
    <t>Gem eff spanning σ' bij 2% rek</t>
  </si>
  <si>
    <t>Gem eff spanning σ' bij 5% rek</t>
  </si>
  <si>
    <t>Gem eff spanning σ' bij 15% rek</t>
  </si>
  <si>
    <t>Gem eff spanning σ' bij τ piek</t>
  </si>
  <si>
    <t>Schuifrek bij maximale schuifspanning τ piek</t>
  </si>
  <si>
    <t>Gem eff spanning σ' bij τ eind schuifrek</t>
  </si>
  <si>
    <t>E Undr50</t>
  </si>
  <si>
    <t>Rek bij E Undr50</t>
  </si>
  <si>
    <t>Skempton A</t>
  </si>
  <si>
    <t>TXT_MS</t>
  </si>
  <si>
    <t>Ms Filenaam PDF</t>
  </si>
  <si>
    <t>Triaxiaalproeven multistage (CU-MS)</t>
  </si>
  <si>
    <t>Ms Filenaam Spanningspad</t>
  </si>
  <si>
    <t>Ms Monsterid</t>
  </si>
  <si>
    <t>Ms Laboratorium</t>
  </si>
  <si>
    <t>Ms consolidatiespanning</t>
  </si>
  <si>
    <t>Ms Rek bij E Undr50</t>
  </si>
  <si>
    <t>Ms E Undr50</t>
  </si>
  <si>
    <t>Ms σ1' 2%</t>
  </si>
  <si>
    <t>Ms σ2' 2%</t>
  </si>
  <si>
    <t>Ms σ3' 2%</t>
  </si>
  <si>
    <t>Ms τ1 2%</t>
  </si>
  <si>
    <t>Ms τ2 2%</t>
  </si>
  <si>
    <t>Ms τ3 2%</t>
  </si>
  <si>
    <t>Ms C 2%</t>
  </si>
  <si>
    <t>Ms Phi 2%</t>
  </si>
  <si>
    <t>Ms σ1' 5%</t>
  </si>
  <si>
    <t>Ms σ2' 5%</t>
  </si>
  <si>
    <t>Ms σ3' 5%</t>
  </si>
  <si>
    <t>Ms τ1 5%</t>
  </si>
  <si>
    <t>Ms τ2 5%</t>
  </si>
  <si>
    <t>Ms τ3 5%</t>
  </si>
  <si>
    <t>Ms C 5%</t>
  </si>
  <si>
    <t>Ms Phi 5%</t>
  </si>
  <si>
    <t>CEL</t>
  </si>
  <si>
    <t>Celproef</t>
  </si>
  <si>
    <t>Phi1</t>
  </si>
  <si>
    <t>C1</t>
  </si>
  <si>
    <t>Phi2</t>
  </si>
  <si>
    <t>C2</t>
  </si>
  <si>
    <t>Phi3</t>
  </si>
  <si>
    <t>C3</t>
  </si>
  <si>
    <t>Phi4</t>
  </si>
  <si>
    <t>C4</t>
  </si>
  <si>
    <t>Phi5</t>
  </si>
  <si>
    <t>C5</t>
  </si>
  <si>
    <t>Eindspanning</t>
  </si>
  <si>
    <t>IN ASCII_UITWISSELBESTAND
0 = nee, 1 = kort, 2 = uitgebreid</t>
  </si>
  <si>
    <t>NR_KolomDB_v4_1</t>
  </si>
  <si>
    <t>NAAM DATABASE_v4_1</t>
  </si>
  <si>
    <t>ntb</t>
  </si>
  <si>
    <t>AK_ID</t>
  </si>
  <si>
    <t>AK_opdracht</t>
  </si>
  <si>
    <t>AK_project</t>
  </si>
  <si>
    <t>AK_projectref</t>
  </si>
  <si>
    <t>AK_naam</t>
  </si>
  <si>
    <t>AK_DP</t>
  </si>
  <si>
    <t>AK_regio</t>
  </si>
  <si>
    <t>AK_type</t>
  </si>
  <si>
    <t>CL_jaaraanleg</t>
  </si>
  <si>
    <t>CL_bodemkaart</t>
  </si>
  <si>
    <t>AK_geo</t>
  </si>
  <si>
    <t>AK_Geoprof</t>
  </si>
  <si>
    <t>AK_X</t>
  </si>
  <si>
    <t>AK_Y</t>
  </si>
  <si>
    <t>AK_Z</t>
  </si>
  <si>
    <t>AK_boring</t>
  </si>
  <si>
    <t>AK_positie</t>
  </si>
  <si>
    <t>AK_datum</t>
  </si>
  <si>
    <t>AK_hyperlink</t>
  </si>
  <si>
    <t>AK_uitvoer</t>
  </si>
  <si>
    <t>AK_boormeester</t>
  </si>
  <si>
    <t>AK_boormethode</t>
  </si>
  <si>
    <t>AK_GWS</t>
  </si>
  <si>
    <t>AK_monster</t>
  </si>
  <si>
    <t>CL_</t>
  </si>
  <si>
    <t>AK_diepte_NAP_van</t>
  </si>
  <si>
    <t>AK_diepte_NAP_tot</t>
  </si>
  <si>
    <t>AK_diepte_mv_van</t>
  </si>
  <si>
    <t>AK_diepte_mv_tot</t>
  </si>
  <si>
    <t>CL_hyperlink</t>
  </si>
  <si>
    <t>CL_bepaald</t>
  </si>
  <si>
    <t>CL_datum</t>
  </si>
  <si>
    <t>CLAS_CLASSIFICATIE</t>
  </si>
  <si>
    <t>AK_NEN5104</t>
  </si>
  <si>
    <t>CLAS_CLASSIFICATIE_BIJMENGING</t>
  </si>
  <si>
    <t>CL_bijmengingen</t>
  </si>
  <si>
    <t>VGW_nat</t>
  </si>
  <si>
    <t>VGW_droog</t>
  </si>
  <si>
    <t>VGW_water</t>
  </si>
  <si>
    <t>VGW_porien</t>
  </si>
  <si>
    <t>VGW_sp_massa</t>
  </si>
  <si>
    <t>OG_org</t>
  </si>
  <si>
    <t>OG_CaCO3</t>
  </si>
  <si>
    <t>IS_pocketpen</t>
  </si>
  <si>
    <t>IS_torvane</t>
  </si>
  <si>
    <t>OV_FH</t>
  </si>
  <si>
    <t>CL_opm</t>
  </si>
  <si>
    <t>AT_vloei</t>
  </si>
  <si>
    <t>AT_uitrol</t>
  </si>
  <si>
    <t>AT_plast</t>
  </si>
  <si>
    <t>AT_cons</t>
  </si>
  <si>
    <t>CL_hoofdnaamveen</t>
  </si>
  <si>
    <t>CL_bot</t>
  </si>
  <si>
    <t>CL_verw</t>
  </si>
  <si>
    <t>CL_vezelfijn</t>
  </si>
  <si>
    <t>CL_vezelgrof</t>
  </si>
  <si>
    <t>CL_hout</t>
  </si>
  <si>
    <t>OG_as</t>
  </si>
  <si>
    <t>FR_hyperlink</t>
  </si>
  <si>
    <t>KV_CLASSIFICATIE</t>
  </si>
  <si>
    <t>KV_CLASSIFICATIE_BIJMENGING</t>
  </si>
  <si>
    <t>FR_mediaan</t>
  </si>
  <si>
    <t>KR_grind</t>
  </si>
  <si>
    <t>KR_zand</t>
  </si>
  <si>
    <t>FR_kd8mm</t>
  </si>
  <si>
    <t>FR_kd4mm</t>
  </si>
  <si>
    <t>FR_kd2mm</t>
  </si>
  <si>
    <t>FR_kd1mm</t>
  </si>
  <si>
    <t>FR_kd0,5mm</t>
  </si>
  <si>
    <t>FR_kd250μm</t>
  </si>
  <si>
    <t>FR_kd180μm</t>
  </si>
  <si>
    <t>FR_kd125μm</t>
  </si>
  <si>
    <t>FR_kd63μm</t>
  </si>
  <si>
    <t>FR_kd16μm</t>
  </si>
  <si>
    <t>FR_kd2μm</t>
  </si>
  <si>
    <t>KR_d70</t>
  </si>
  <si>
    <t>KR_d50</t>
  </si>
  <si>
    <t>KR_d10</t>
  </si>
  <si>
    <t>KR_d60d10</t>
  </si>
  <si>
    <t>IS_qc</t>
  </si>
  <si>
    <t>IS_qnet</t>
  </si>
  <si>
    <t>IS_qt</t>
  </si>
  <si>
    <t>IS_vo</t>
  </si>
  <si>
    <t>IS_Nkt</t>
  </si>
  <si>
    <t>IS_qball</t>
  </si>
  <si>
    <t>IS_Nb</t>
  </si>
  <si>
    <t>CRS_hyperlink</t>
  </si>
  <si>
    <t>CRS_monster-id</t>
  </si>
  <si>
    <t>CRS_bepaald</t>
  </si>
  <si>
    <t>CRS_norm</t>
  </si>
  <si>
    <t>CRS_datum</t>
  </si>
  <si>
    <t>CRS_CLASSIFICATIE</t>
  </si>
  <si>
    <t>CRS_grondsoort</t>
  </si>
  <si>
    <t>CRS_CLASSIFICATIE_BIJMENGING</t>
  </si>
  <si>
    <t>CRS_diepte_NAP_van</t>
  </si>
  <si>
    <t>CRS_terreinspanning</t>
  </si>
  <si>
    <t>CRS_vnat</t>
  </si>
  <si>
    <t>CRS_vdroog</t>
  </si>
  <si>
    <t>CRS_watervoor</t>
  </si>
  <si>
    <t>CRS_waterna</t>
  </si>
  <si>
    <t>CRS_verz</t>
  </si>
  <si>
    <t>CRS_maxtemp</t>
  </si>
  <si>
    <t>CRS_mintemp</t>
  </si>
  <si>
    <t>CRS_init_d</t>
  </si>
  <si>
    <t>CRS_init_h</t>
  </si>
  <si>
    <t>CRS_verzadiging_h</t>
  </si>
  <si>
    <t>CRS_eindproef_h</t>
  </si>
  <si>
    <t>CRS_rek_bel</t>
  </si>
  <si>
    <t>CRS_rek_ont</t>
  </si>
  <si>
    <t>CRS_relduur</t>
  </si>
  <si>
    <t>CRS_v_eff_startrel</t>
  </si>
  <si>
    <t>CRS_v_eff_eindrel</t>
  </si>
  <si>
    <t>CRS_v_eff_start</t>
  </si>
  <si>
    <t>CRS_v_eff_eindontlast</t>
  </si>
  <si>
    <t>CRS_v_eff_eindproef</t>
  </si>
  <si>
    <t>CRS_maxWOSP</t>
  </si>
  <si>
    <t>CRS_GrensA</t>
  </si>
  <si>
    <t>CRS_Grensrek</t>
  </si>
  <si>
    <t>CRS_GrensB</t>
  </si>
  <si>
    <t>CRS_isaA</t>
  </si>
  <si>
    <t>CRS_isaB</t>
  </si>
  <si>
    <t>CRS_isaC</t>
  </si>
  <si>
    <t>SD_hyperlink</t>
  </si>
  <si>
    <t>SD_monster-id</t>
  </si>
  <si>
    <t>SD_bepaald</t>
  </si>
  <si>
    <t>SD_norm</t>
  </si>
  <si>
    <t>SD_datum</t>
  </si>
  <si>
    <t>SD_CLASSIFICATIE</t>
  </si>
  <si>
    <t>SD_grondsoort</t>
  </si>
  <si>
    <t>SD_CLASSIFICATIE_BIJMENGING</t>
  </si>
  <si>
    <t>SD_diepte_NAP_van</t>
  </si>
  <si>
    <t>SD_terreinspanning</t>
  </si>
  <si>
    <t>SD_vnat</t>
  </si>
  <si>
    <t>SD_vdroog</t>
  </si>
  <si>
    <t>SD_watervoor</t>
  </si>
  <si>
    <t>SD_waterna</t>
  </si>
  <si>
    <t>SD_e0</t>
  </si>
  <si>
    <t>SD_maxtemp</t>
  </si>
  <si>
    <t>SD_mintemp</t>
  </si>
  <si>
    <t>SD_BT</t>
  </si>
  <si>
    <t>SD_typeproef</t>
  </si>
  <si>
    <t>SD_NBPc</t>
  </si>
  <si>
    <t>SD_NBPcrek</t>
  </si>
  <si>
    <t>SD_Cc</t>
  </si>
  <si>
    <t>SD_NBCc_tr1-2</t>
  </si>
  <si>
    <t>SD_NBCc_tr2-3</t>
  </si>
  <si>
    <t>SD_NBCc_tr3-4</t>
  </si>
  <si>
    <t>SD_NBCc_tr4-5</t>
  </si>
  <si>
    <t>SD_NBCc_tr5-6</t>
  </si>
  <si>
    <t>SD_NBCc_tr6-7</t>
  </si>
  <si>
    <t>SD_NBCc_tr7-8</t>
  </si>
  <si>
    <t>SD_NBCc_tr8-9</t>
  </si>
  <si>
    <t>SD_NBCc_tr9-10</t>
  </si>
  <si>
    <t>SD_Cr</t>
  </si>
  <si>
    <t>SD_NBCr_tr1-2</t>
  </si>
  <si>
    <t>SD_NBCr_tr2-3</t>
  </si>
  <si>
    <t>SD_NBCr_tr3-4</t>
  </si>
  <si>
    <t>SD_NBCr_tr4-5</t>
  </si>
  <si>
    <t>SD_NBCr_tr5-6</t>
  </si>
  <si>
    <t>SD_NBCr_tr6-7</t>
  </si>
  <si>
    <t>SD_NBCr_tr7-8</t>
  </si>
  <si>
    <t>SD_NBCr_tr8-9</t>
  </si>
  <si>
    <t>SD_NBCr_tr9-10</t>
  </si>
  <si>
    <t>SD_Ca</t>
  </si>
  <si>
    <t>SD_NBCa_tr1</t>
  </si>
  <si>
    <t>SD_NBCa_tr2</t>
  </si>
  <si>
    <t>SD_NBCa_tr3</t>
  </si>
  <si>
    <t>SD_NBCa_tr4</t>
  </si>
  <si>
    <t>SD_NBCa_tr5</t>
  </si>
  <si>
    <t>SD_NBCa_tr6</t>
  </si>
  <si>
    <t>SD_NBCa_tr7</t>
  </si>
  <si>
    <t>SD_NBCa_tr8</t>
  </si>
  <si>
    <t>SD_NBCa_tr9</t>
  </si>
  <si>
    <t>SD_NBCa_tr10</t>
  </si>
  <si>
    <t>SD_Vo</t>
  </si>
  <si>
    <t>SD_KJPc</t>
  </si>
  <si>
    <t>SD_KJPcrek</t>
  </si>
  <si>
    <t>SD_C1</t>
  </si>
  <si>
    <t>SD_C2</t>
  </si>
  <si>
    <t>SD_C2_tr2-3</t>
  </si>
  <si>
    <t>SD_C2_tr3-4</t>
  </si>
  <si>
    <t>SD_C2_tr4-5</t>
  </si>
  <si>
    <t>SD_C2_tr5-6</t>
  </si>
  <si>
    <t>SD_C2_tr6-7</t>
  </si>
  <si>
    <t>SD_C2_tr7-8</t>
  </si>
  <si>
    <t>SD_C2_tr8-9</t>
  </si>
  <si>
    <t>SD_Cp1</t>
  </si>
  <si>
    <t>SD_Cp2</t>
  </si>
  <si>
    <t>SD_Cp2_tr2-3</t>
  </si>
  <si>
    <t>SD_Cp2_tr3-4</t>
  </si>
  <si>
    <t>SD_Cp2_tr4-5</t>
  </si>
  <si>
    <t>SD_Cp2_tr5-6</t>
  </si>
  <si>
    <t>SD_Cp2_tr6-7</t>
  </si>
  <si>
    <t>SD_Cp2_tr7-8</t>
  </si>
  <si>
    <t>SD_Cp2_tr8-9</t>
  </si>
  <si>
    <t>SD_Cs1</t>
  </si>
  <si>
    <t>SD_Cs2</t>
  </si>
  <si>
    <t>SD_Cs2_tr2-3</t>
  </si>
  <si>
    <t>SD_Cs2_tr3-4</t>
  </si>
  <si>
    <t>SD_Cs2_tr4-5</t>
  </si>
  <si>
    <t>SD_Cs2_tr5-6</t>
  </si>
  <si>
    <t>SD_Cs2_tr6-7</t>
  </si>
  <si>
    <t>SD_Cs2_tr7-8</t>
  </si>
  <si>
    <t>SD_Cs2_tr8-9</t>
  </si>
  <si>
    <t>SD_A</t>
  </si>
  <si>
    <t>SD_B</t>
  </si>
  <si>
    <t>SD_C</t>
  </si>
  <si>
    <t>SD_ISOpc</t>
  </si>
  <si>
    <t>SD_ISOpcrek</t>
  </si>
  <si>
    <t>SD_ISOpcboven</t>
  </si>
  <si>
    <t>SD_CCv2</t>
  </si>
  <si>
    <t>SD_CCv3</t>
  </si>
  <si>
    <t>SD_CCv4</t>
  </si>
  <si>
    <t>SD_CCv5</t>
  </si>
  <si>
    <t>SD_CCv6</t>
  </si>
  <si>
    <t>SD_CCv8</t>
  </si>
  <si>
    <t>SD_CCv9</t>
  </si>
  <si>
    <t>SD_CK2</t>
  </si>
  <si>
    <t>SD_CK3</t>
  </si>
  <si>
    <t>SD_CMv4</t>
  </si>
  <si>
    <t>SD_CMv5</t>
  </si>
  <si>
    <t>SD_CMv6</t>
  </si>
  <si>
    <t>SD_CK8</t>
  </si>
  <si>
    <t>SD_CK9</t>
  </si>
  <si>
    <t>SD_CMv2</t>
  </si>
  <si>
    <t>SD_CMv3</t>
  </si>
  <si>
    <t>SD_CK4</t>
  </si>
  <si>
    <t>SD_CK5</t>
  </si>
  <si>
    <t>SD_CK6</t>
  </si>
  <si>
    <t>SD_CMv8</t>
  </si>
  <si>
    <t>SD_CMv9</t>
  </si>
  <si>
    <t>SD_Cs3</t>
  </si>
  <si>
    <t>SD_Cs4</t>
  </si>
  <si>
    <t>SD_Cs5</t>
  </si>
  <si>
    <t>SD_Cs6</t>
  </si>
  <si>
    <t>SD_Cs8</t>
  </si>
  <si>
    <t>SD_Cs9</t>
  </si>
  <si>
    <t>SD_TCv2</t>
  </si>
  <si>
    <t>SD_TCv3</t>
  </si>
  <si>
    <t>SD_TCv4</t>
  </si>
  <si>
    <t>SD_TCv5</t>
  </si>
  <si>
    <t>SD_TCv6</t>
  </si>
  <si>
    <t>SD_TCv8,</t>
  </si>
  <si>
    <t>SD_TCv9</t>
  </si>
  <si>
    <t>SD_k2</t>
  </si>
  <si>
    <t>SD_k3</t>
  </si>
  <si>
    <t>SD_k4</t>
  </si>
  <si>
    <t>SD_k5</t>
  </si>
  <si>
    <t>SD_k6</t>
  </si>
  <si>
    <t>SD_k8</t>
  </si>
  <si>
    <t>SD_k9</t>
  </si>
  <si>
    <t>SD_mv2</t>
  </si>
  <si>
    <t>SD_mv3</t>
  </si>
  <si>
    <t>SD_mv4</t>
  </si>
  <si>
    <t>SD_mv5</t>
  </si>
  <si>
    <t>SD_mv6</t>
  </si>
  <si>
    <t>SD_mv8</t>
  </si>
  <si>
    <t>SD_mv9</t>
  </si>
  <si>
    <t>SD_Ts2</t>
  </si>
  <si>
    <t>SD_Ts3</t>
  </si>
  <si>
    <t>SD_Ts4</t>
  </si>
  <si>
    <t>SD_Ts5</t>
  </si>
  <si>
    <t>SD_Ts6</t>
  </si>
  <si>
    <t>SD_Ts8</t>
  </si>
  <si>
    <t>SD_Ts9</t>
  </si>
  <si>
    <t>DSS_Hyperlink</t>
  </si>
  <si>
    <t>DSS_monster-id</t>
  </si>
  <si>
    <t>DSS_bepaald</t>
  </si>
  <si>
    <t>DSS_norm</t>
  </si>
  <si>
    <t>DSS_datum</t>
  </si>
  <si>
    <t>DSS_CLASSIFICATIE</t>
  </si>
  <si>
    <t>DSS_grondsoort</t>
  </si>
  <si>
    <t>DSS_CLASSIFICATIE_BIJMENGING</t>
  </si>
  <si>
    <t>DSS_diepte_NAP_van</t>
  </si>
  <si>
    <t>DSS_terreinspanning</t>
  </si>
  <si>
    <t>DSS_vnat</t>
  </si>
  <si>
    <t>DSS_vdroog</t>
  </si>
  <si>
    <t>DSS_watervoor</t>
  </si>
  <si>
    <t>DSS_waterna</t>
  </si>
  <si>
    <t>DSS_verzadiging_voor</t>
  </si>
  <si>
    <t>DSS_e_initieel</t>
  </si>
  <si>
    <t>DSS_e_voorafschuiven</t>
  </si>
  <si>
    <t>DSS_smassa</t>
  </si>
  <si>
    <t>DSS_maxtemp</t>
  </si>
  <si>
    <t>DSS_mintemp</t>
  </si>
  <si>
    <t>DSS_init_d</t>
  </si>
  <si>
    <t>DSS_init_h</t>
  </si>
  <si>
    <t>DSS_hoogtena</t>
  </si>
  <si>
    <t>DSS_correcties</t>
  </si>
  <si>
    <t>DSS_uitvoeringwijze</t>
  </si>
  <si>
    <t>DSS_Csmax</t>
  </si>
  <si>
    <t>DSS_CS</t>
  </si>
  <si>
    <t>DSS_axialerek</t>
  </si>
  <si>
    <t>DSS_aantalbel</t>
  </si>
  <si>
    <t>DSS_duur</t>
  </si>
  <si>
    <t>DSS_snelheid</t>
  </si>
  <si>
    <t>DSS_s2</t>
  </si>
  <si>
    <t>DSS_t2</t>
  </si>
  <si>
    <t>DSS_s5</t>
  </si>
  <si>
    <t>DSS_t5</t>
  </si>
  <si>
    <t>DSS_s10</t>
  </si>
  <si>
    <t>DSS_t10</t>
  </si>
  <si>
    <t>DSS_s15</t>
  </si>
  <si>
    <t>DSS_t15</t>
  </si>
  <si>
    <t>DSS_s20</t>
  </si>
  <si>
    <t>DSS_t20</t>
  </si>
  <si>
    <t>DSS_smax</t>
  </si>
  <si>
    <t>DSS_tmax</t>
  </si>
  <si>
    <t>DSS_Gmax</t>
  </si>
  <si>
    <t>DSS_seind</t>
  </si>
  <si>
    <t>DSS_teind</t>
  </si>
  <si>
    <t>DSS_Geind</t>
  </si>
  <si>
    <t>DSS_smaxratio</t>
  </si>
  <si>
    <t>DSS_tmaxratio</t>
  </si>
  <si>
    <t>DSS_Gmaxratio</t>
  </si>
  <si>
    <t>DSS_G50</t>
  </si>
  <si>
    <t>TR_SS_Hyperlink</t>
  </si>
  <si>
    <t>TR_SS_monster-id</t>
  </si>
  <si>
    <t>TR_SS_bepaald</t>
  </si>
  <si>
    <t>TR_SS_norm</t>
  </si>
  <si>
    <t>TR_SS_datum</t>
  </si>
  <si>
    <t>TXT_SS_CLASSIFICATIE</t>
  </si>
  <si>
    <t>TR_SS_grondsoort</t>
  </si>
  <si>
    <t>TXT_SS_CLASSIFICATIE_BIJMENGING</t>
  </si>
  <si>
    <t>TR_SS_diepte_NAP_van</t>
  </si>
  <si>
    <t>TR_SS_terreinspanning</t>
  </si>
  <si>
    <t>TR_SS_vnat</t>
  </si>
  <si>
    <t>TR_SS_vdroog</t>
  </si>
  <si>
    <t>TR_SS_waterna</t>
  </si>
  <si>
    <t>TR_SS_watervoor</t>
  </si>
  <si>
    <t>TR_SS_maxtemp</t>
  </si>
  <si>
    <t>TR_SS_mintemp</t>
  </si>
  <si>
    <t>TR_SS_init_d</t>
  </si>
  <si>
    <t>TR_SS_init_h</t>
  </si>
  <si>
    <t>TR_SS_typeproef</t>
  </si>
  <si>
    <t>TR_SS_membraan</t>
  </si>
  <si>
    <t>TR_SS_correcties</t>
  </si>
  <si>
    <t>TR_SS_BP</t>
  </si>
  <si>
    <t>TR_SS_type</t>
  </si>
  <si>
    <t>TR_SS_Spanningverh</t>
  </si>
  <si>
    <t>TR_SS_STOP</t>
  </si>
  <si>
    <t>TR_SS_CS_s1</t>
  </si>
  <si>
    <t>TR_SS_CS_t1</t>
  </si>
  <si>
    <t>TR_SS_CS_s2</t>
  </si>
  <si>
    <t>TR_SS_CS_t2</t>
  </si>
  <si>
    <t>TR_SS_CS_s3</t>
  </si>
  <si>
    <t>TR_SS_CS_t3</t>
  </si>
  <si>
    <t>TR_SS_ARC</t>
  </si>
  <si>
    <t>TR_SS_VRC</t>
  </si>
  <si>
    <t>TR_SS_STOP2</t>
  </si>
  <si>
    <t>TR_SS_REK2</t>
  </si>
  <si>
    <t>TR_SS_s2</t>
  </si>
  <si>
    <t>TR_SS_t2</t>
  </si>
  <si>
    <t>TR_SS_s5</t>
  </si>
  <si>
    <t>TR_SS_t5</t>
  </si>
  <si>
    <t>TR_SS_s15</t>
  </si>
  <si>
    <t>TR_SS_t15</t>
  </si>
  <si>
    <t>TR_SS_smax</t>
  </si>
  <si>
    <t>TR_SS_tmax</t>
  </si>
  <si>
    <t>TR_SS_Gmax</t>
  </si>
  <si>
    <t>TR_SS_seind</t>
  </si>
  <si>
    <t>TR_SS_teind</t>
  </si>
  <si>
    <t>TR_SS_Geind</t>
  </si>
  <si>
    <t>TR_SS_Edev</t>
  </si>
  <si>
    <t>TR_SS_Gdev</t>
  </si>
  <si>
    <t>TR_SS_SkemptonA</t>
  </si>
  <si>
    <t>TR_MS_hyperlink</t>
  </si>
  <si>
    <t>TR_MS_monster-id</t>
  </si>
  <si>
    <t>TR_MS_bepaald</t>
  </si>
  <si>
    <t>TR_MS_CS</t>
  </si>
  <si>
    <t>TR_MS_Gdev</t>
  </si>
  <si>
    <t>TR_MS_Edev</t>
  </si>
  <si>
    <t>TR_MS_s2_1</t>
  </si>
  <si>
    <t>TR_MS_s2_2</t>
  </si>
  <si>
    <t>TR_MS_s2_3</t>
  </si>
  <si>
    <t>TR_MS_t2_1</t>
  </si>
  <si>
    <t>TR_MS_t2_2</t>
  </si>
  <si>
    <t>TR_MS_t2_3</t>
  </si>
  <si>
    <t>TR_MS_c2</t>
  </si>
  <si>
    <t>TR_MS_phi2</t>
  </si>
  <si>
    <t>TR_MS_s5_1</t>
  </si>
  <si>
    <t>TR_MS_s5_2</t>
  </si>
  <si>
    <t>TR_MS_s5_3</t>
  </si>
  <si>
    <t>TR_MS_t5_1</t>
  </si>
  <si>
    <t>TR_MS_t5_2</t>
  </si>
  <si>
    <t>TR_MS_t5_3</t>
  </si>
  <si>
    <t>TR_MS_c5</t>
  </si>
  <si>
    <t>TR_MS_phi5</t>
  </si>
  <si>
    <t>CP_phi1</t>
  </si>
  <si>
    <t>CP_c1</t>
  </si>
  <si>
    <t>CP_phi2</t>
  </si>
  <si>
    <t>CP_c2</t>
  </si>
  <si>
    <t>CP_phi3</t>
  </si>
  <si>
    <t>CP_c3</t>
  </si>
  <si>
    <t>CP_phi4</t>
  </si>
  <si>
    <t>CP_c4</t>
  </si>
  <si>
    <t>CP_phi5</t>
  </si>
  <si>
    <t>CP_c5</t>
  </si>
  <si>
    <t>CP_einds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</si>
</sst>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9D8FF"/>
        <bgColor indexed="64"/>
      </patternFill>
    </fill>
    <fill>
      <patternFill patternType="solid">
        <fgColor rgb="FFF79747"/>
        <bgColor indexed="64"/>
      </patternFill>
    </fill>
    <fill>
      <patternFill patternType="solid">
        <fgColor rgb="FFA6D86E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A86ED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vertical="top" wrapText="1"/>
    </xf>
    <xf numFmtId="17" fontId="3" fillId="0" borderId="0" xfId="0" quotePrefix="1" applyNumberFormat="1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3" fillId="0" borderId="0" xfId="1" quotePrefix="1" applyFont="1" applyAlignment="1">
      <alignment horizontal="left" vertical="top" wrapText="1"/>
    </xf>
    <xf numFmtId="17" fontId="3" fillId="0" borderId="0" xfId="1" quotePrefix="1" applyNumberFormat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4" borderId="0" xfId="1" applyFont="1" applyFill="1" applyAlignment="1">
      <alignment horizontal="left"/>
    </xf>
    <xf numFmtId="0" fontId="3" fillId="4" borderId="0" xfId="1" applyFont="1" applyFill="1" applyAlignment="1">
      <alignment horizontal="left" vertical="top"/>
    </xf>
    <xf numFmtId="0" fontId="3" fillId="4" borderId="0" xfId="1" applyFont="1" applyFill="1" applyAlignment="1">
      <alignment horizontal="left" vertical="top" wrapText="1"/>
    </xf>
    <xf numFmtId="0" fontId="1" fillId="0" borderId="0" xfId="0" applyFont="1"/>
    <xf numFmtId="0" fontId="1" fillId="5" borderId="0" xfId="0" applyFont="1" applyFill="1"/>
    <xf numFmtId="0" fontId="0" fillId="5" borderId="0" xfId="0" applyFill="1"/>
    <xf numFmtId="0" fontId="1" fillId="3" borderId="0" xfId="0" applyFont="1" applyFill="1"/>
    <xf numFmtId="0" fontId="0" fillId="3" borderId="0" xfId="0" applyFill="1"/>
    <xf numFmtId="0" fontId="3" fillId="0" borderId="0" xfId="0" quotePrefix="1" applyFont="1" applyAlignment="1">
      <alignment vertical="top"/>
    </xf>
    <xf numFmtId="0" fontId="0" fillId="6" borderId="0" xfId="0" applyFill="1"/>
    <xf numFmtId="0" fontId="1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14" fontId="3" fillId="0" borderId="0" xfId="0" applyNumberFormat="1" applyFont="1"/>
    <xf numFmtId="11" fontId="3" fillId="0" borderId="0" xfId="0" applyNumberFormat="1" applyFont="1"/>
    <xf numFmtId="2" fontId="3" fillId="0" borderId="0" xfId="0" applyNumberFormat="1" applyFont="1"/>
    <xf numFmtId="0" fontId="3" fillId="0" borderId="0" xfId="0" applyFont="1" applyAlignment="1">
      <alignment horizontal="right"/>
    </xf>
    <xf numFmtId="1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</cellXfs>
  <cellStyles count="2">
    <cellStyle name="Standaard" xfId="0" builtinId="0"/>
    <cellStyle name="Standaard 2" xfId="1" xr:uid="{00000000-0005-0000-0000-000001000000}"/>
  </cellStyles>
  <dxfs count="467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</dxfs>
  <tableStyles count="0" defaultTableStyle="TableStyleMedium9" defaultPivotStyle="PivotStyleLight16"/>
  <colors>
    <mruColors>
      <color rgb="FFFF6565"/>
      <color rgb="FFA86ED4"/>
      <color rgb="FFA6D86E"/>
      <color rgb="FFF79747"/>
      <color rgb="FF69D8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base!FK1"/><Relationship Id="rId2" Type="http://schemas.openxmlformats.org/officeDocument/2006/relationships/hyperlink" Target="#Dbase!NH1"/><Relationship Id="rId1" Type="http://schemas.openxmlformats.org/officeDocument/2006/relationships/hyperlink" Target="#Dbase!LG1"/><Relationship Id="rId6" Type="http://schemas.openxmlformats.org/officeDocument/2006/relationships/hyperlink" Target="#Dbase!AQ1"/><Relationship Id="rId5" Type="http://schemas.openxmlformats.org/officeDocument/2006/relationships/hyperlink" Target="#Dbase!CE1"/><Relationship Id="rId4" Type="http://schemas.openxmlformats.org/officeDocument/2006/relationships/hyperlink" Target="#Dbase!E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59532</xdr:colOff>
      <xdr:row>2</xdr:row>
      <xdr:rowOff>35719</xdr:rowOff>
    </xdr:from>
    <xdr:to>
      <xdr:col>7</xdr:col>
      <xdr:colOff>940595</xdr:colOff>
      <xdr:row>4</xdr:row>
      <xdr:rowOff>142875</xdr:rowOff>
    </xdr:to>
    <xdr:sp macro="" textlink="">
      <xdr:nvSpPr>
        <xdr:cNvPr id="8" name="Tekstvak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B35062-31DD-4D9A-B1DD-60DA8A12DB47}"/>
            </a:ext>
          </a:extLst>
        </xdr:cNvPr>
        <xdr:cNvSpPr txBox="1"/>
      </xdr:nvSpPr>
      <xdr:spPr>
        <a:xfrm>
          <a:off x="6536532" y="369094"/>
          <a:ext cx="881063" cy="44053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 b="1"/>
            <a:t>Naar DSS resultaten</a:t>
          </a:r>
        </a:p>
      </xdr:txBody>
    </xdr:sp>
    <xdr:clientData/>
  </xdr:twoCellAnchor>
  <xdr:twoCellAnchor>
    <xdr:from>
      <xdr:col>8</xdr:col>
      <xdr:colOff>59532</xdr:colOff>
      <xdr:row>2</xdr:row>
      <xdr:rowOff>35719</xdr:rowOff>
    </xdr:from>
    <xdr:to>
      <xdr:col>8</xdr:col>
      <xdr:colOff>916781</xdr:colOff>
      <xdr:row>4</xdr:row>
      <xdr:rowOff>154782</xdr:rowOff>
    </xdr:to>
    <xdr:sp macro="" textlink="">
      <xdr:nvSpPr>
        <xdr:cNvPr id="9" name="Tekstvak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D28D97-0278-4579-9D26-C8F863566254}"/>
            </a:ext>
          </a:extLst>
        </xdr:cNvPr>
        <xdr:cNvSpPr txBox="1"/>
      </xdr:nvSpPr>
      <xdr:spPr>
        <a:xfrm>
          <a:off x="7560470" y="369094"/>
          <a:ext cx="857249" cy="452438"/>
        </a:xfrm>
        <a:prstGeom prst="rect">
          <a:avLst/>
        </a:prstGeom>
        <a:gradFill>
          <a:gsLst>
            <a:gs pos="0">
              <a:schemeClr val="accent4"/>
            </a:gs>
            <a:gs pos="35000">
              <a:schemeClr val="accent4">
                <a:lumMod val="60000"/>
                <a:lumOff val="40000"/>
              </a:schemeClr>
            </a:gs>
            <a:gs pos="100000">
              <a:schemeClr val="accent4">
                <a:lumMod val="20000"/>
                <a:lumOff val="80000"/>
              </a:schemeClr>
            </a:gs>
          </a:gsLst>
        </a:gradFill>
        <a:ln>
          <a:solidFill>
            <a:schemeClr val="accent4">
              <a:lumMod val="5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 b="1"/>
            <a:t>Naar Triax</a:t>
          </a:r>
          <a:r>
            <a:rPr lang="nl-NL" sz="1100" b="1" baseline="0"/>
            <a:t> resultaten</a:t>
          </a:r>
          <a:endParaRPr lang="nl-NL" sz="1100" b="1"/>
        </a:p>
      </xdr:txBody>
    </xdr:sp>
    <xdr:clientData/>
  </xdr:twoCellAnchor>
  <xdr:twoCellAnchor>
    <xdr:from>
      <xdr:col>6</xdr:col>
      <xdr:colOff>59532</xdr:colOff>
      <xdr:row>2</xdr:row>
      <xdr:rowOff>35719</xdr:rowOff>
    </xdr:from>
    <xdr:to>
      <xdr:col>6</xdr:col>
      <xdr:colOff>1226343</xdr:colOff>
      <xdr:row>5</xdr:row>
      <xdr:rowOff>0</xdr:rowOff>
    </xdr:to>
    <xdr:sp macro="" textlink="">
      <xdr:nvSpPr>
        <xdr:cNvPr id="10" name="Tekstvak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3A75FB-95BA-403E-8500-87440E9D439C}"/>
            </a:ext>
          </a:extLst>
        </xdr:cNvPr>
        <xdr:cNvSpPr txBox="1"/>
      </xdr:nvSpPr>
      <xdr:spPr>
        <a:xfrm>
          <a:off x="5238751" y="369094"/>
          <a:ext cx="1166811" cy="464344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 b="1"/>
            <a:t>Naar Samendruk</a:t>
          </a:r>
          <a:r>
            <a:rPr lang="nl-NL" sz="1100" b="1" baseline="0"/>
            <a:t> resultaten</a:t>
          </a:r>
          <a:endParaRPr lang="nl-NL" sz="1100" b="1"/>
        </a:p>
      </xdr:txBody>
    </xdr:sp>
    <xdr:clientData/>
  </xdr:twoCellAnchor>
  <xdr:twoCellAnchor>
    <xdr:from>
      <xdr:col>5</xdr:col>
      <xdr:colOff>59533</xdr:colOff>
      <xdr:row>2</xdr:row>
      <xdr:rowOff>35719</xdr:rowOff>
    </xdr:from>
    <xdr:to>
      <xdr:col>5</xdr:col>
      <xdr:colOff>897734</xdr:colOff>
      <xdr:row>4</xdr:row>
      <xdr:rowOff>154781</xdr:rowOff>
    </xdr:to>
    <xdr:sp macro="" textlink="">
      <xdr:nvSpPr>
        <xdr:cNvPr id="11" name="Tekstvak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08E1DD-5AB0-4F12-9B4C-D36284C63410}"/>
            </a:ext>
          </a:extLst>
        </xdr:cNvPr>
        <xdr:cNvSpPr txBox="1"/>
      </xdr:nvSpPr>
      <xdr:spPr>
        <a:xfrm>
          <a:off x="4298158" y="369094"/>
          <a:ext cx="838201" cy="45243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 b="1"/>
            <a:t>Naar CRS </a:t>
          </a:r>
          <a:r>
            <a:rPr lang="nl-NL" sz="1100" b="1" baseline="0"/>
            <a:t>resultaten</a:t>
          </a:r>
          <a:endParaRPr lang="nl-NL" sz="1100" b="1"/>
        </a:p>
      </xdr:txBody>
    </xdr:sp>
    <xdr:clientData/>
  </xdr:twoCellAnchor>
  <xdr:twoCellAnchor>
    <xdr:from>
      <xdr:col>3</xdr:col>
      <xdr:colOff>71442</xdr:colOff>
      <xdr:row>2</xdr:row>
      <xdr:rowOff>35719</xdr:rowOff>
    </xdr:from>
    <xdr:to>
      <xdr:col>3</xdr:col>
      <xdr:colOff>926312</xdr:colOff>
      <xdr:row>5</xdr:row>
      <xdr:rowOff>11906</xdr:rowOff>
    </xdr:to>
    <xdr:sp macro="" textlink="">
      <xdr:nvSpPr>
        <xdr:cNvPr id="13" name="Tekstvak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6E1951-9F39-40A2-A9CF-68896470FEC7}"/>
            </a:ext>
          </a:extLst>
        </xdr:cNvPr>
        <xdr:cNvSpPr txBox="1"/>
      </xdr:nvSpPr>
      <xdr:spPr>
        <a:xfrm>
          <a:off x="2738442" y="369094"/>
          <a:ext cx="854870" cy="476250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 b="1"/>
            <a:t>Naar KVD </a:t>
          </a:r>
          <a:r>
            <a:rPr lang="nl-NL" sz="1100" b="1" baseline="0"/>
            <a:t>resultaten</a:t>
          </a:r>
          <a:endParaRPr lang="nl-NL" sz="1100" b="1"/>
        </a:p>
      </xdr:txBody>
    </xdr:sp>
    <xdr:clientData/>
  </xdr:twoCellAnchor>
  <xdr:twoCellAnchor>
    <xdr:from>
      <xdr:col>1</xdr:col>
      <xdr:colOff>11906</xdr:colOff>
      <xdr:row>2</xdr:row>
      <xdr:rowOff>35719</xdr:rowOff>
    </xdr:from>
    <xdr:to>
      <xdr:col>1</xdr:col>
      <xdr:colOff>1226345</xdr:colOff>
      <xdr:row>4</xdr:row>
      <xdr:rowOff>140496</xdr:rowOff>
    </xdr:to>
    <xdr:sp macro="" textlink="">
      <xdr:nvSpPr>
        <xdr:cNvPr id="14" name="Tekstvak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3A75EF-6606-4C3D-B198-0C08477D2E29}"/>
            </a:ext>
          </a:extLst>
        </xdr:cNvPr>
        <xdr:cNvSpPr txBox="1"/>
      </xdr:nvSpPr>
      <xdr:spPr>
        <a:xfrm>
          <a:off x="797719" y="369094"/>
          <a:ext cx="1214439" cy="438152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l-NL" sz="1100" b="1"/>
            <a:t>Naar Classificatie </a:t>
          </a:r>
          <a:r>
            <a:rPr lang="nl-NL" sz="1100" b="1" baseline="0"/>
            <a:t>resultaten</a:t>
          </a:r>
          <a:endParaRPr lang="nl-NL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" displayName="D" ref="A9:QS238" totalsRowShown="0" headerRowDxfId="466" dataDxfId="465">
  <autoFilter ref="A9:QS238" xr:uid="{00000000-0009-0000-0100-000001000000}"/>
  <tableColumns count="461">
    <tableColumn id="1" xr3:uid="{00000000-0010-0000-0000-000001000000}" name="REGEL" dataDxfId="464"/>
    <tableColumn id="2" xr3:uid="{00000000-0010-0000-0000-000002000000}" name="ALG__GRONDSOORT" dataDxfId="463">
      <calculatedColumnFormula>IF(ISBLANK(D[[#This Row],[CLAS_GRONDSOORT]]),"ONWAAR","WAAR")</calculatedColumnFormula>
    </tableColumn>
    <tableColumn id="3" xr3:uid="{00000000-0010-0000-0000-000003000000}" name="ALG__VEENCLASSIFICATIE" dataDxfId="462">
      <calculatedColumnFormula>IF(ISBLANK(D[[#This Row],[CLAS_VN_HOOFDNAAM]]),"ONWAAR","WAAR")</calculatedColumnFormula>
    </tableColumn>
    <tableColumn id="4" xr3:uid="{00000000-0010-0000-0000-000004000000}" name="ALG__KORRELVERDELING" dataDxfId="461">
      <calculatedColumnFormula>IF(ISBLANK(D[[#This Row],[KV_GRONDSOORT]]),"ONWAAR","WAAR")</calculatedColumnFormula>
    </tableColumn>
    <tableColumn id="5" xr3:uid="{00000000-0010-0000-0000-000005000000}" name="ALG__SONDEERWAARDE" dataDxfId="460">
      <calculatedColumnFormula>IF(ISBLANK(D[[#This Row],[CPT_QNET]]),"ONWAAR","WAAR")</calculatedColumnFormula>
    </tableColumn>
    <tableColumn id="6" xr3:uid="{00000000-0010-0000-0000-000006000000}" name="ALG__CRS" dataDxfId="459">
      <calculatedColumnFormula>IF(ISBLANK(D[[#This Row],[CRS_GRONDSOORT]]),"ONWAAR","WAAR")</calculatedColumnFormula>
    </tableColumn>
    <tableColumn id="7" xr3:uid="{00000000-0010-0000-0000-000007000000}" name="ALG__SAMENDRUKKING" dataDxfId="458">
      <calculatedColumnFormula>IF(ISBLANK(D[[#This Row],[SD_GRONDSOORT]]),"ONWAAR","WAAR")</calculatedColumnFormula>
    </tableColumn>
    <tableColumn id="8" xr3:uid="{00000000-0010-0000-0000-000008000000}" name="ALG__DSS" dataDxfId="457">
      <calculatedColumnFormula>IF(ISBLANK(D[[#This Row],[DSS_GRONDSOORT]]),"ONWAAR","WAAR")</calculatedColumnFormula>
    </tableColumn>
    <tableColumn id="9" xr3:uid="{00000000-0010-0000-0000-000009000000}" name="ALG__TRIAXIAAL" dataDxfId="456">
      <calculatedColumnFormula>IF(ISBLANK(D[[#This Row],[TXT_SS_GRONDSOORT]]),"ONWAAR","WAAR")</calculatedColumnFormula>
    </tableColumn>
    <tableColumn id="10" xr3:uid="{00000000-0010-0000-0000-00000A000000}" name="ALG__BORING_MONSTERNR_ID" dataDxfId="455"/>
    <tableColumn id="11" xr3:uid="{00000000-0010-0000-0000-00000B000000}" name="ALG_OPDRACHTGEVER" dataDxfId="454"/>
    <tableColumn id="12" xr3:uid="{00000000-0010-0000-0000-00000C000000}" name="ALG_PROJECTNAAM" dataDxfId="453"/>
    <tableColumn id="13" xr3:uid="{00000000-0010-0000-0000-00000D000000}" name="ALG_PROJECTNUMMER" dataDxfId="452"/>
    <tableColumn id="14" xr3:uid="{00000000-0010-0000-0000-00000E000000}" name="ALG_NAAM_POLDER_DIJK" dataDxfId="451"/>
    <tableColumn id="15" xr3:uid="{00000000-0010-0000-0000-00000F000000}" name="ALG_REFERENTIE" dataDxfId="450"/>
    <tableColumn id="16" xr3:uid="{00000000-0010-0000-0000-000010000000}" name="ALG_REGIO" dataDxfId="449"/>
    <tableColumn id="17" xr3:uid="{00000000-0010-0000-0000-000011000000}" name="ALG_TYPE_WATERKERING" dataDxfId="448"/>
    <tableColumn id="18" xr3:uid="{00000000-0010-0000-0000-000012000000}" name="ALG_AANLEGJAAR" dataDxfId="447"/>
    <tableColumn id="19" xr3:uid="{00000000-0010-0000-0000-000013000000}" name="ALG_BODEMKAART" dataDxfId="446"/>
    <tableColumn id="20" xr3:uid="{00000000-0010-0000-0000-000014000000}" name="ALG_GEOLOGIE" dataDxfId="445"/>
    <tableColumn id="21" xr3:uid="{00000000-0010-0000-0000-000015000000}" name="ALG_FILENAAM_GEOT_PROFIEL" dataDxfId="444"/>
    <tableColumn id="22" xr3:uid="{00000000-0010-0000-0000-000016000000}" name="BORING_XID" dataDxfId="443"/>
    <tableColumn id="23" xr3:uid="{00000000-0010-0000-0000-000017000000}" name="BORING_YID" dataDxfId="442"/>
    <tableColumn id="24" xr3:uid="{00000000-0010-0000-0000-000018000000}" name="BORING_MAAIVELDPEIL" dataDxfId="441"/>
    <tableColumn id="25" xr3:uid="{00000000-0010-0000-0000-000019000000}" name="BORING_NUMMER" dataDxfId="440"/>
    <tableColumn id="26" xr3:uid="{00000000-0010-0000-0000-00001A000000}" name="BORING_POSITIE" dataDxfId="439"/>
    <tableColumn id="27" xr3:uid="{00000000-0010-0000-0000-00001B000000}" name="BORING_DATUM" dataDxfId="438"/>
    <tableColumn id="28" xr3:uid="{00000000-0010-0000-0000-00001C000000}" name="BORING_FILENAAM_PDF" dataDxfId="437"/>
    <tableColumn id="29" xr3:uid="{00000000-0010-0000-0000-00001D000000}" name="BORING_FILENAAM_GEF" dataDxfId="436"/>
    <tableColumn id="30" xr3:uid="{00000000-0010-0000-0000-00001E000000}" name="BORING_BEDRIJF" dataDxfId="435"/>
    <tableColumn id="31" xr3:uid="{00000000-0010-0000-0000-00001F000000}" name="BORING_BOORMEESTER" dataDxfId="434"/>
    <tableColumn id="32" xr3:uid="{00000000-0010-0000-0000-000020000000}" name="BORING_METHODE" dataDxfId="433"/>
    <tableColumn id="33" xr3:uid="{00000000-0010-0000-0000-000021000000}" name="BORING_OPNAME_GWS" dataDxfId="432"/>
    <tableColumn id="34" xr3:uid="{00000000-0010-0000-0000-000022000000}" name="BORING_GLG" dataDxfId="431"/>
    <tableColumn id="35" xr3:uid="{00000000-0010-0000-0000-000023000000}" name="MONSTER_ID" dataDxfId="430"/>
    <tableColumn id="36" xr3:uid="{00000000-0010-0000-0000-000024000000}" name="MONSTER_STEEKMETHODE" dataDxfId="429"/>
    <tableColumn id="37" xr3:uid="{00000000-0010-0000-0000-000025000000}" name="MONSTER_OPSLAGWIJZE" dataDxfId="428"/>
    <tableColumn id="38" xr3:uid="{00000000-0010-0000-0000-000026000000}" name="MONSTER_NIVEAU_NAP_VANAF" dataDxfId="427"/>
    <tableColumn id="39" xr3:uid="{00000000-0010-0000-0000-000027000000}" name="MONSTER_NIVEAU_NAP_TOT" dataDxfId="426"/>
    <tableColumn id="40" xr3:uid="{00000000-0010-0000-0000-000028000000}" name="MONSTER_NIVEAU_MV_VANAF" dataDxfId="425"/>
    <tableColumn id="41" xr3:uid="{00000000-0010-0000-0000-000029000000}" name="MONSTER_NIVEAU_MV_TOT" dataDxfId="424"/>
    <tableColumn id="42" xr3:uid="{00000000-0010-0000-0000-00002A000000}" name="MONSTER_TOTAAL_VOLUMEGEWICHT" dataDxfId="423"/>
    <tableColumn id="43" xr3:uid="{00000000-0010-0000-0000-00002B000000}" name="CLAS_FILENAAM_PDF" dataDxfId="422"/>
    <tableColumn id="44" xr3:uid="{00000000-0010-0000-0000-00002C000000}" name="CLAS_FILENAAM_DIGITAAL" dataDxfId="421"/>
    <tableColumn id="45" xr3:uid="{00000000-0010-0000-0000-00002D000000}" name="CLAS_MONSTERID" dataDxfId="420"/>
    <tableColumn id="46" xr3:uid="{00000000-0010-0000-0000-00002E000000}" name="CLAS_LABORATORIUM" dataDxfId="419"/>
    <tableColumn id="47" xr3:uid="{00000000-0010-0000-0000-00002F000000}" name="CLAS_NORMEN" dataDxfId="418"/>
    <tableColumn id="48" xr3:uid="{00000000-0010-0000-0000-000030000000}" name="CLAS_DATUM" dataDxfId="417"/>
    <tableColumn id="49" xr3:uid="{00000000-0010-0000-0000-000031000000}" name="CLAS_GRONDSOORT" dataDxfId="416"/>
    <tableColumn id="50" xr3:uid="{00000000-0010-0000-0000-000032000000}" name="CLAS_OVERIGE_BESTANDDELEN" dataDxfId="415"/>
    <tableColumn id="51" xr3:uid="{00000000-0010-0000-0000-000033000000}" name="CLAS_MONSTERNIVEAU" dataDxfId="414"/>
    <tableColumn id="52" xr3:uid="{00000000-0010-0000-0000-000034000000}" name="CLAS_VOLUMEGEWICHT_NAT" dataDxfId="413"/>
    <tableColumn id="53" xr3:uid="{00000000-0010-0000-0000-000035000000}" name="CLAS_VOLUMEGEWICHT_DRG" dataDxfId="412"/>
    <tableColumn id="54" xr3:uid="{00000000-0010-0000-0000-000036000000}" name="CLAS_WATERGEHALTE" dataDxfId="411"/>
    <tableColumn id="55" xr3:uid="{00000000-0010-0000-0000-000037000000}" name="CLAS_POROSITEIT" dataDxfId="410"/>
    <tableColumn id="56" xr3:uid="{00000000-0010-0000-0000-000038000000}" name="CLAS_PORIENGETAL" dataDxfId="409"/>
    <tableColumn id="57" xr3:uid="{00000000-0010-0000-0000-000039000000}" name="CLAS_VERZADIGINGSGRAAD" dataDxfId="408"/>
    <tableColumn id="58" xr3:uid="{00000000-0010-0000-0000-00003A000000}" name="CLAS_VOLUMEGEWICHT_VERZADIGD" dataDxfId="407"/>
    <tableColumn id="59" xr3:uid="{00000000-0010-0000-0000-00003B000000}" name="CLAS_SPECIFIEKE_MASSA_INSCHATTING" dataDxfId="406"/>
    <tableColumn id="60" xr3:uid="{00000000-0010-0000-0000-00003C000000}" name="CLAS_SPECIFIEKE_MASSA" dataDxfId="405"/>
    <tableColumn id="61" xr3:uid="{00000000-0010-0000-0000-00003D000000}" name="CLAS_GLOEIVERLIES" dataDxfId="404"/>
    <tableColumn id="62" xr3:uid="{00000000-0010-0000-0000-00003E000000}" name="CLAS_KALKGEHALTE" dataDxfId="403"/>
    <tableColumn id="63" xr3:uid="{00000000-0010-0000-0000-00003F000000}" name="CLAS_POCKETPENETRO" dataDxfId="402"/>
    <tableColumn id="64" xr3:uid="{00000000-0010-0000-0000-000040000000}" name="CLAS_TORVANE" dataDxfId="401"/>
    <tableColumn id="65" xr3:uid="{00000000-0010-0000-0000-000041000000}" name="CLAS_FALLINGHEAD_K10" dataDxfId="400"/>
    <tableColumn id="66" xr3:uid="{00000000-0010-0000-0000-000042000000}" name="CLAS_CONSTANTHEAD_K10" dataDxfId="399"/>
    <tableColumn id="67" xr3:uid="{00000000-0010-0000-0000-000043000000}" name="CLAS_OPMERKING" dataDxfId="398"/>
    <tableColumn id="68" xr3:uid="{00000000-0010-0000-0000-000044000000}" name="CLAS_AT_VLOEIGRENS_CAS" dataDxfId="397"/>
    <tableColumn id="69" xr3:uid="{00000000-0010-0000-0000-000045000000}" name="CLAS_AT_UITROLGRENS" dataDxfId="396"/>
    <tableColumn id="70" xr3:uid="{00000000-0010-0000-0000-000046000000}" name="CLAS_AT_PI" dataDxfId="395"/>
    <tableColumn id="71" xr3:uid="{00000000-0010-0000-0000-000047000000}" name="CLAS_AT_IC" dataDxfId="394"/>
    <tableColumn id="72" xr3:uid="{00000000-0010-0000-0000-000048000000}" name="CLAS_VN_FILENAAM_PDF" dataDxfId="393"/>
    <tableColumn id="73" xr3:uid="{00000000-0010-0000-0000-000049000000}" name="CLAS_VN_FILENAAM_DIGITAAL" dataDxfId="392"/>
    <tableColumn id="74" xr3:uid="{00000000-0010-0000-0000-00004A000000}" name="CLAS_VN_HOOFDNAAM" dataDxfId="391"/>
    <tableColumn id="75" xr3:uid="{00000000-0010-0000-0000-00004B000000}" name="CLAS_VN_BOTANISCH" dataDxfId="390"/>
    <tableColumn id="76" xr3:uid="{00000000-0010-0000-0000-00004C000000}" name="CLAS_VN_VERWERINGSGRAAD" dataDxfId="389"/>
    <tableColumn id="77" xr3:uid="{00000000-0010-0000-0000-00004D000000}" name="CLAS_VN_WATERGEHALTE" dataDxfId="388"/>
    <tableColumn id="78" xr3:uid="{00000000-0010-0000-0000-00004E000000}" name="CLAS_VN_FIJNEVEZELS" dataDxfId="387"/>
    <tableColumn id="79" xr3:uid="{00000000-0010-0000-0000-00004F000000}" name="CLAS_VN_GROVEVEZELS" dataDxfId="386"/>
    <tableColumn id="80" xr3:uid="{00000000-0010-0000-0000-000050000000}" name="CLAS_VN_HOUT" dataDxfId="385"/>
    <tableColumn id="81" xr3:uid="{00000000-0010-0000-0000-000051000000}" name="CLAS_VN_GLOEIVERLIES" dataDxfId="384"/>
    <tableColumn id="82" xr3:uid="{00000000-0010-0000-0000-000052000000}" name="CLAS_VN_ASGEHALTE" dataDxfId="383"/>
    <tableColumn id="83" xr3:uid="{00000000-0010-0000-0000-000053000000}" name="KV_FILENAAM_PDF" dataDxfId="382"/>
    <tableColumn id="84" xr3:uid="{00000000-0010-0000-0000-000054000000}" name="KV_FILENAAM_GEF" dataDxfId="381"/>
    <tableColumn id="85" xr3:uid="{00000000-0010-0000-0000-000055000000}" name="KV_MONSTERID" dataDxfId="380"/>
    <tableColumn id="86" xr3:uid="{00000000-0010-0000-0000-000056000000}" name="KV_LABORATORIUM" dataDxfId="379"/>
    <tableColumn id="87" xr3:uid="{00000000-0010-0000-0000-000057000000}" name="KV_NORMEN" dataDxfId="378"/>
    <tableColumn id="88" xr3:uid="{00000000-0010-0000-0000-000058000000}" name="KV_DATUM" dataDxfId="377"/>
    <tableColumn id="89" xr3:uid="{00000000-0010-0000-0000-000059000000}" name="KV_GRONDSOORT" dataDxfId="376"/>
    <tableColumn id="90" xr3:uid="{00000000-0010-0000-0000-00005A000000}" name="KV_OVERIGE_BESTANDDELEN" dataDxfId="375"/>
    <tableColumn id="91" xr3:uid="{00000000-0010-0000-0000-00005B000000}" name="KV_MEDIAAN_ZANDFRACTIE" dataDxfId="374"/>
    <tableColumn id="92" xr3:uid="{00000000-0010-0000-0000-00005C000000}" name="KV_MEDIAAN_ALLEFRACTIES" dataDxfId="373"/>
    <tableColumn id="93" xr3:uid="{00000000-0010-0000-0000-00005D000000}" name="KV_GRIND%" dataDxfId="372"/>
    <tableColumn id="94" xr3:uid="{00000000-0010-0000-0000-00005E000000}" name="KV_ZAND%" dataDxfId="371"/>
    <tableColumn id="95" xr3:uid="{00000000-0010-0000-0000-00005F000000}" name="KV_SILT%" dataDxfId="370"/>
    <tableColumn id="96" xr3:uid="{00000000-0010-0000-0000-000060000000}" name="KV_DOOR_63MM" dataDxfId="369"/>
    <tableColumn id="97" xr3:uid="{00000000-0010-0000-0000-000061000000}" name="KV_DOOR_31.5MM" dataDxfId="368"/>
    <tableColumn id="98" xr3:uid="{00000000-0010-0000-0000-000062000000}" name="KV_DOOR_16MM" dataDxfId="367"/>
    <tableColumn id="99" xr3:uid="{00000000-0010-0000-0000-000063000000}" name="KV_DOOR_8MM" dataDxfId="366"/>
    <tableColumn id="100" xr3:uid="{00000000-0010-0000-0000-000064000000}" name="KV_DOOR_4MM" dataDxfId="365"/>
    <tableColumn id="101" xr3:uid="{00000000-0010-0000-0000-000065000000}" name="KV_DOOR_2MM" dataDxfId="364"/>
    <tableColumn id="102" xr3:uid="{00000000-0010-0000-0000-000066000000}" name="KV_DOOR_1MM" dataDxfId="363"/>
    <tableColumn id="103" xr3:uid="{00000000-0010-0000-0000-000067000000}" name="KV_DOOR_500MU" dataDxfId="362"/>
    <tableColumn id="104" xr3:uid="{00000000-0010-0000-0000-000068000000}" name="KV_DOOR_250MU" dataDxfId="361"/>
    <tableColumn id="105" xr3:uid="{00000000-0010-0000-0000-000069000000}" name="KV_DOOR_180MU" dataDxfId="360"/>
    <tableColumn id="106" xr3:uid="{00000000-0010-0000-0000-00006A000000}" name="KV_DOOR_125MU" dataDxfId="359"/>
    <tableColumn id="107" xr3:uid="{00000000-0010-0000-0000-00006B000000}" name="KV_DOOR_63MU" dataDxfId="358"/>
    <tableColumn id="108" xr3:uid="{00000000-0010-0000-0000-00006C000000}" name="KV_DOOR_32MU" dataDxfId="357"/>
    <tableColumn id="109" xr3:uid="{00000000-0010-0000-0000-00006D000000}" name="KV_DOOR_20MU" dataDxfId="356"/>
    <tableColumn id="110" xr3:uid="{00000000-0010-0000-0000-00006E000000}" name="KV_DOOR_16MU" dataDxfId="355"/>
    <tableColumn id="111" xr3:uid="{00000000-0010-0000-0000-00006F000000}" name="KV_DOOR_2MU" dataDxfId="354"/>
    <tableColumn id="112" xr3:uid="{00000000-0010-0000-0000-000070000000}" name="KV_D70" dataDxfId="353"/>
    <tableColumn id="113" xr3:uid="{00000000-0010-0000-0000-000071000000}" name="KV_D60" dataDxfId="352"/>
    <tableColumn id="114" xr3:uid="{00000000-0010-0000-0000-000072000000}" name="KV_D50" dataDxfId="351"/>
    <tableColumn id="115" xr3:uid="{00000000-0010-0000-0000-000073000000}" name="KV_D10" dataDxfId="350"/>
    <tableColumn id="116" xr3:uid="{00000000-0010-0000-0000-000074000000}" name="KV_CU_ZAND" dataDxfId="349"/>
    <tableColumn id="117" xr3:uid="{00000000-0010-0000-0000-000075000000}" name="CPT_FILENAAM_PDF" dataDxfId="348"/>
    <tableColumn id="118" xr3:uid="{00000000-0010-0000-0000-000076000000}" name="CPT_FILENAAM_GEF" dataDxfId="347"/>
    <tableColumn id="119" xr3:uid="{00000000-0010-0000-0000-000077000000}" name="CPT_NIVEAU" dataDxfId="346"/>
    <tableColumn id="120" xr3:uid="{00000000-0010-0000-0000-000078000000}" name="CPT_TRAJECTLENGTE_GEM" dataDxfId="345"/>
    <tableColumn id="121" xr3:uid="{00000000-0010-0000-0000-000079000000}" name="CPT_CONUSWEERSTAND_GEM" dataDxfId="344"/>
    <tableColumn id="122" xr3:uid="{00000000-0010-0000-0000-00007A000000}" name="CPT_WRIJVINGSWEERSTAND_GEM" dataDxfId="343"/>
    <tableColumn id="123" xr3:uid="{00000000-0010-0000-0000-00007B000000}" name="CPT_WRIJVINGSGETAL_GEM" dataDxfId="342"/>
    <tableColumn id="124" xr3:uid="{00000000-0010-0000-0000-00007C000000}" name="CPT_WATERSPANNING_GEM" dataDxfId="341"/>
    <tableColumn id="125" xr3:uid="{00000000-0010-0000-0000-00007D000000}" name="CPT_QNET" dataDxfId="340"/>
    <tableColumn id="126" xr3:uid="{00000000-0010-0000-0000-00007E000000}" name="CPT_QT" dataDxfId="339"/>
    <tableColumn id="127" xr3:uid="{00000000-0010-0000-0000-00007F000000}" name="CPT_VO" dataDxfId="338"/>
    <tableColumn id="128" xr3:uid="{00000000-0010-0000-0000-000080000000}" name="CPT_KLASSE" dataDxfId="337"/>
    <tableColumn id="129" xr3:uid="{00000000-0010-0000-0000-000081000000}" name="CPT_A_FACTOR" dataDxfId="336"/>
    <tableColumn id="130" xr3:uid="{00000000-0010-0000-0000-000082000000}" name="CPT_QBALL" dataDxfId="335"/>
    <tableColumn id="131" xr3:uid="{00000000-0010-0000-0000-000083000000}" name="CRS_FILENAAM_PDF" dataDxfId="334"/>
    <tableColumn id="132" xr3:uid="{00000000-0010-0000-0000-000084000000}" name="CRS_FILENAAM_SPANNINGSPAD" dataDxfId="333"/>
    <tableColumn id="133" xr3:uid="{00000000-0010-0000-0000-000085000000}" name="CRS_MONSTERID" dataDxfId="332"/>
    <tableColumn id="134" xr3:uid="{00000000-0010-0000-0000-000086000000}" name="CRS_LABORATORIUM" dataDxfId="331"/>
    <tableColumn id="135" xr3:uid="{00000000-0010-0000-0000-000087000000}" name="CRS_NORM" dataDxfId="330"/>
    <tableColumn id="136" xr3:uid="{00000000-0010-0000-0000-000088000000}" name="CRS_DATUM" dataDxfId="329"/>
    <tableColumn id="137" xr3:uid="{00000000-0010-0000-0000-000089000000}" name="CRS_GRONDSOORT" dataDxfId="328"/>
    <tableColumn id="138" xr3:uid="{00000000-0010-0000-0000-00008A000000}" name="CRS_OVERIGE_BESTANDDELEN" dataDxfId="327"/>
    <tableColumn id="139" xr3:uid="{00000000-0010-0000-0000-00008B000000}" name="CRS_MONSTERNIVEAU" dataDxfId="326"/>
    <tableColumn id="140" xr3:uid="{00000000-0010-0000-0000-00008C000000}" name="CRS_TERREINSPANNING" dataDxfId="325"/>
    <tableColumn id="141" xr3:uid="{00000000-0010-0000-0000-00008D000000}" name="CRS_VOLUMEGEWICHT_NAT" dataDxfId="324"/>
    <tableColumn id="142" xr3:uid="{00000000-0010-0000-0000-00008E000000}" name="CRS_VOLUMEGEWICHT_DRG" dataDxfId="323"/>
    <tableColumn id="143" xr3:uid="{00000000-0010-0000-0000-00008F000000}" name="CRS_WATERGEHALTE_VOOR" dataDxfId="322"/>
    <tableColumn id="144" xr3:uid="{00000000-0010-0000-0000-000090000000}" name="CRS_WATERGEHALTE_NA_PROEF" dataDxfId="321"/>
    <tableColumn id="145" xr3:uid="{00000000-0010-0000-0000-000091000000}" name="CRS_VERZADIGING" dataDxfId="320"/>
    <tableColumn id="146" xr3:uid="{00000000-0010-0000-0000-000092000000}" name="CRS_TEMPERATUUR_PROEF_MAX" dataDxfId="319"/>
    <tableColumn id="147" xr3:uid="{00000000-0010-0000-0000-000093000000}" name="CRS_TEMPERATUUR_PROEF_MIN" dataDxfId="318"/>
    <tableColumn id="148" xr3:uid="{00000000-0010-0000-0000-000094000000}" name="CRS_PROEFSTUKDIAMETER_VOOR" dataDxfId="317"/>
    <tableColumn id="149" xr3:uid="{00000000-0010-0000-0000-000095000000}" name="CRS_PROEFSTUKHOOGTE_VOOR" dataDxfId="316"/>
    <tableColumn id="150" xr3:uid="{00000000-0010-0000-0000-000096000000}" name="CRS_PROEFSTUKHOOGTE_NA_VERZADIGING" dataDxfId="315"/>
    <tableColumn id="151" xr3:uid="{00000000-0010-0000-0000-000097000000}" name="CRS_PROEFSTUKHOOGTE_NA_PROEF" dataDxfId="314"/>
    <tableColumn id="152" xr3:uid="{00000000-0010-0000-0000-000098000000}" name="CRS_REKSNELHEID_BELASTEN" dataDxfId="313"/>
    <tableColumn id="153" xr3:uid="{00000000-0010-0000-0000-000099000000}" name="CRS_REKSNELHEID_ONTLASTEN" dataDxfId="312"/>
    <tableColumn id="154" xr3:uid="{00000000-0010-0000-0000-00009A000000}" name="CRS_RELAXATIEDUUR" dataDxfId="311"/>
    <tableColumn id="155" xr3:uid="{00000000-0010-0000-0000-00009B000000}" name="CRS_EFF_SPANNING_START_RELAXATIE" dataDxfId="310"/>
    <tableColumn id="156" xr3:uid="{00000000-0010-0000-0000-00009C000000}" name="CRS_EFF_SPANNING_EIND_RELAXATIE" dataDxfId="309"/>
    <tableColumn id="157" xr3:uid="{00000000-0010-0000-0000-00009D000000}" name="CRS_EFF_VERT_SPANNING_START_ONTLASTEN" dataDxfId="308"/>
    <tableColumn id="158" xr3:uid="{00000000-0010-0000-0000-00009E000000}" name="CRS_EFF_VERT_SPANNING_EIND_ONTLASTEN" dataDxfId="307"/>
    <tableColumn id="159" xr3:uid="{00000000-0010-0000-0000-00009F000000}" name="CRS_EFF_VERT_SPANNING_EIND_PROEF" dataDxfId="306"/>
    <tableColumn id="160" xr3:uid="{00000000-0010-0000-0000-0000A0000000}" name="CRS_MAX_REL_WATEROVERSPANNING_PROEF" dataDxfId="305"/>
    <tableColumn id="161" xr3:uid="{00000000-0010-0000-0000-0000A1000000}" name="CRS_GRENSSPANNING_A" dataDxfId="304"/>
    <tableColumn id="162" xr3:uid="{00000000-0010-0000-0000-0000A2000000}" name="CRS_REK_BIJ_GRENSSPANNING_A" dataDxfId="303"/>
    <tableColumn id="163" xr3:uid="{00000000-0010-0000-0000-0000A3000000}" name="CRS_BOVENGRENS_GRENSSPANNING_B" dataDxfId="302"/>
    <tableColumn id="164" xr3:uid="{00000000-0010-0000-0000-0000A4000000}" name="CRS_ISOTACHE_A" dataDxfId="301"/>
    <tableColumn id="165" xr3:uid="{00000000-0010-0000-0000-0000A5000000}" name="CRS_ISOTACHE_B" dataDxfId="300"/>
    <tableColumn id="166" xr3:uid="{00000000-0010-0000-0000-0000A6000000}" name="CRS_ISOTACHE_C" dataDxfId="299"/>
    <tableColumn id="167" xr3:uid="{00000000-0010-0000-0000-0000A7000000}" name="SD_FILENAAM_PDF" dataDxfId="298"/>
    <tableColumn id="168" xr3:uid="{00000000-0010-0000-0000-0000A8000000}" name="SD_FILENAAM_SPANNINGSPAD" dataDxfId="297"/>
    <tableColumn id="169" xr3:uid="{00000000-0010-0000-0000-0000A9000000}" name="SD_MONSTERID" dataDxfId="296"/>
    <tableColumn id="170" xr3:uid="{00000000-0010-0000-0000-0000AA000000}" name="SD_LABORATORIUM" dataDxfId="295"/>
    <tableColumn id="171" xr3:uid="{00000000-0010-0000-0000-0000AB000000}" name="SD_NORM" dataDxfId="294"/>
    <tableColumn id="172" xr3:uid="{00000000-0010-0000-0000-0000AC000000}" name="SD_DATUM" dataDxfId="293"/>
    <tableColumn id="173" xr3:uid="{00000000-0010-0000-0000-0000AD000000}" name="SD_GRONDSOORT" dataDxfId="292"/>
    <tableColumn id="174" xr3:uid="{00000000-0010-0000-0000-0000AE000000}" name="SD_OVERIGE_BESTANDDELEN" dataDxfId="291"/>
    <tableColumn id="175" xr3:uid="{00000000-0010-0000-0000-0000AF000000}" name="SD_MONSTERNIVEAU" dataDxfId="290"/>
    <tableColumn id="176" xr3:uid="{00000000-0010-0000-0000-0000B0000000}" name="SD_TERREINSPANNING" dataDxfId="289"/>
    <tableColumn id="177" xr3:uid="{00000000-0010-0000-0000-0000B1000000}" name="SD_VOLUMEGEWICHT_NAT" dataDxfId="288"/>
    <tableColumn id="178" xr3:uid="{00000000-0010-0000-0000-0000B2000000}" name="SD_VOLUMEGEWICHT_DR" dataDxfId="287"/>
    <tableColumn id="179" xr3:uid="{00000000-0010-0000-0000-0000B3000000}" name="SD_WATERGEHALTE_INI" dataDxfId="286"/>
    <tableColumn id="180" xr3:uid="{00000000-0010-0000-0000-0000B4000000}" name="SD_WATERGEHALTE_NA_PROEF" dataDxfId="285"/>
    <tableColumn id="181" xr3:uid="{00000000-0010-0000-0000-0000B5000000}" name="SD_PORIENGETAL" dataDxfId="284"/>
    <tableColumn id="182" xr3:uid="{00000000-0010-0000-0000-0000B6000000}" name="SD_MAX_TEMPERATUUR_PROEF" dataDxfId="283"/>
    <tableColumn id="183" xr3:uid="{00000000-0010-0000-0000-0000B7000000}" name="SD_MIN_TEMPERATUUR_PROEF" dataDxfId="282"/>
    <tableColumn id="184" xr3:uid="{00000000-0010-0000-0000-0000B8000000}" name="SD_BELAST_ONTLASTSTAPPEN" dataDxfId="281"/>
    <tableColumn id="185" xr3:uid="{00000000-0010-0000-0000-0000B9000000}" name="SD_TYPEPROEF" dataDxfId="280"/>
    <tableColumn id="186" xr3:uid="{00000000-0010-0000-0000-0000BA000000}" name="SD_BJERRUM_GRENSSPANNING" dataDxfId="279"/>
    <tableColumn id="187" xr3:uid="{00000000-0010-0000-0000-0000BB000000}" name="SD_BJERRUM_REK_BIJ_GRENSSPANNING" dataDxfId="278"/>
    <tableColumn id="188" xr3:uid="{00000000-0010-0000-0000-0000BC000000}" name="SD_BJERRUM_CC" dataDxfId="277"/>
    <tableColumn id="189" xr3:uid="{00000000-0010-0000-0000-0000BD000000}" name="SD_BJERRUM_CC_TRAP1_2" dataDxfId="276"/>
    <tableColumn id="190" xr3:uid="{00000000-0010-0000-0000-0000BE000000}" name="SD_BJERRUM_CC_TRAP2_3" dataDxfId="275"/>
    <tableColumn id="191" xr3:uid="{00000000-0010-0000-0000-0000BF000000}" name="SD_BJERRUM_CC_TRAP3_4" dataDxfId="274"/>
    <tableColumn id="192" xr3:uid="{00000000-0010-0000-0000-0000C0000000}" name="SD_BJERRUM_CC_TRAP4_5" dataDxfId="273"/>
    <tableColumn id="193" xr3:uid="{00000000-0010-0000-0000-0000C1000000}" name="SD_BJERRUM_CC_TRAP5_6" dataDxfId="272"/>
    <tableColumn id="194" xr3:uid="{00000000-0010-0000-0000-0000C2000000}" name="SD_BJERRUM_CC_TRAP6_7" dataDxfId="271"/>
    <tableColumn id="195" xr3:uid="{00000000-0010-0000-0000-0000C3000000}" name="SD_BJERRUM_CC_TRAP7_8" dataDxfId="270"/>
    <tableColumn id="196" xr3:uid="{00000000-0010-0000-0000-0000C4000000}" name="SD_BJERRUM_CC_TRAP8_9" dataDxfId="269"/>
    <tableColumn id="197" xr3:uid="{00000000-0010-0000-0000-0000C5000000}" name="SD_BJERRUM_CC_TRAP9_10" dataDxfId="268"/>
    <tableColumn id="198" xr3:uid="{00000000-0010-0000-0000-0000C6000000}" name="SD_BJERRUM_CR" dataDxfId="267"/>
    <tableColumn id="199" xr3:uid="{00000000-0010-0000-0000-0000C7000000}" name="SD_BJERRUM_CR_TRAP1_2" dataDxfId="266"/>
    <tableColumn id="200" xr3:uid="{00000000-0010-0000-0000-0000C8000000}" name="SD_BJERRUM_CR_TRAP2_3" dataDxfId="265"/>
    <tableColumn id="201" xr3:uid="{00000000-0010-0000-0000-0000C9000000}" name="SD_BJERRUM_CR_TRAP3_4" dataDxfId="264"/>
    <tableColumn id="202" xr3:uid="{00000000-0010-0000-0000-0000CA000000}" name="SD_BJERRUM_CR_TRAP4_5" dataDxfId="263"/>
    <tableColumn id="203" xr3:uid="{00000000-0010-0000-0000-0000CB000000}" name="SD_BJERRUM_CR_TRAP5_6" dataDxfId="262"/>
    <tableColumn id="204" xr3:uid="{00000000-0010-0000-0000-0000CC000000}" name="SD_BJERRUM_CR_TRAP6_7" dataDxfId="261"/>
    <tableColumn id="205" xr3:uid="{00000000-0010-0000-0000-0000CD000000}" name="SD_BJERRUM_CR_TRAP7_8" dataDxfId="260"/>
    <tableColumn id="206" xr3:uid="{00000000-0010-0000-0000-0000CE000000}" name="SD_BJERRUM_SR_TRAP8_9" dataDxfId="259"/>
    <tableColumn id="207" xr3:uid="{00000000-0010-0000-0000-0000CF000000}" name="SD_BJERRUM_RR_TRAP9_10" dataDxfId="258"/>
    <tableColumn id="208" xr3:uid="{00000000-0010-0000-0000-0000D0000000}" name="SD_BJERRUM_CALPHA" dataDxfId="257"/>
    <tableColumn id="209" xr3:uid="{00000000-0010-0000-0000-0000D1000000}" name="SD_BJERRUM_CALPHA_TRAP1" dataDxfId="256"/>
    <tableColumn id="210" xr3:uid="{00000000-0010-0000-0000-0000D2000000}" name="SD_BJERRUM_CALPHA_TRAP2" dataDxfId="255"/>
    <tableColumn id="211" xr3:uid="{00000000-0010-0000-0000-0000D3000000}" name="SD_BJERRUM_CALPHA_TRAP3" dataDxfId="254"/>
    <tableColumn id="212" xr3:uid="{00000000-0010-0000-0000-0000D4000000}" name="SD_BJERRUM_CALPHA_TRAP4" dataDxfId="253"/>
    <tableColumn id="213" xr3:uid="{00000000-0010-0000-0000-0000D5000000}" name="SD_BJERRUM_CALPHA_TRAP5" dataDxfId="252"/>
    <tableColumn id="214" xr3:uid="{00000000-0010-0000-0000-0000D6000000}" name="SD_BJERRUM_CALPHA_TRAP6" dataDxfId="251"/>
    <tableColumn id="215" xr3:uid="{00000000-0010-0000-0000-0000D7000000}" name="SD_BJERRUM_CALPHA_TRAP7" dataDxfId="250"/>
    <tableColumn id="216" xr3:uid="{00000000-0010-0000-0000-0000D8000000}" name="SD_BJERRUM_CALPHA_TRAP8" dataDxfId="249"/>
    <tableColumn id="217" xr3:uid="{00000000-0010-0000-0000-0000D9000000}" name="SD_BJERRUM_CALPHA_TRAP9" dataDxfId="248"/>
    <tableColumn id="218" xr3:uid="{00000000-0010-0000-0000-0000DA000000}" name="SD_BJERRUM_CALPHA_TRAP10" dataDxfId="247"/>
    <tableColumn id="219" xr3:uid="{00000000-0010-0000-0000-0000DB000000}" name="SD_BJERRUM_V0" dataDxfId="246"/>
    <tableColumn id="220" xr3:uid="{00000000-0010-0000-0000-0000DC000000}" name="SD_KOPPEJAN_GRENSSPANNING" dataDxfId="245"/>
    <tableColumn id="221" xr3:uid="{00000000-0010-0000-0000-0000DD000000}" name="SD_KOPPEJAN_REK_BIJ_GRENSSPANNING" dataDxfId="244"/>
    <tableColumn id="222" xr3:uid="{00000000-0010-0000-0000-0000DE000000}" name="SD_KOPPEJAN_C" dataDxfId="243"/>
    <tableColumn id="223" xr3:uid="{00000000-0010-0000-0000-0000DF000000}" name="SD_KOPPEJAN_C'" dataDxfId="242"/>
    <tableColumn id="224" xr3:uid="{00000000-0010-0000-0000-0000E0000000}" name="SD_KOPPEJAN_C_TRAP2_3" dataDxfId="241"/>
    <tableColumn id="225" xr3:uid="{00000000-0010-0000-0000-0000E1000000}" name="SD_KOPPEJAN_C_TRAP3_4" dataDxfId="240"/>
    <tableColumn id="226" xr3:uid="{00000000-0010-0000-0000-0000E2000000}" name="SD_KOPPEJAN_C_TRAP4_5" dataDxfId="239"/>
    <tableColumn id="227" xr3:uid="{00000000-0010-0000-0000-0000E3000000}" name="SD_KOPPEJAN_C_TRAP5_6" dataDxfId="238"/>
    <tableColumn id="228" xr3:uid="{00000000-0010-0000-0000-0000E4000000}" name="SD_KOPPEJAN_C_TRAP6_7" dataDxfId="237"/>
    <tableColumn id="229" xr3:uid="{00000000-0010-0000-0000-0000E5000000}" name="SD_KOPPEJAN_C_TRAP7_8" dataDxfId="236"/>
    <tableColumn id="230" xr3:uid="{00000000-0010-0000-0000-0000E6000000}" name="SD_KOPPEJAN_C_TRAP8_9" dataDxfId="235"/>
    <tableColumn id="231" xr3:uid="{00000000-0010-0000-0000-0000E7000000}" name="SD_KOPPEJAN_CP" dataDxfId="234"/>
    <tableColumn id="232" xr3:uid="{00000000-0010-0000-0000-0000E8000000}" name="SD_KOPPEJAN_C'P" dataDxfId="233"/>
    <tableColumn id="233" xr3:uid="{00000000-0010-0000-0000-0000E9000000}" name="SD_KOPPEJAN_CP_TRAP2_3" dataDxfId="232"/>
    <tableColumn id="234" xr3:uid="{00000000-0010-0000-0000-0000EA000000}" name="SD_KOPPEJAN_CP_TRAP3_4" dataDxfId="231"/>
    <tableColumn id="235" xr3:uid="{00000000-0010-0000-0000-0000EB000000}" name="SD_KOPPEJAN_CP_TRAP4_5" dataDxfId="230"/>
    <tableColumn id="236" xr3:uid="{00000000-0010-0000-0000-0000EC000000}" name="SD_KOPPEJAN_CP_TRAP5_6" dataDxfId="229"/>
    <tableColumn id="237" xr3:uid="{00000000-0010-0000-0000-0000ED000000}" name="SD_KOPPEJAN_CP_TRAP6_7" dataDxfId="228"/>
    <tableColumn id="238" xr3:uid="{00000000-0010-0000-0000-0000EE000000}" name="SD_KOPPEJAN_CP_TRAP7_8" dataDxfId="227"/>
    <tableColumn id="239" xr3:uid="{00000000-0010-0000-0000-0000EF000000}" name="SD_KOPPEJAN_CP_TRAP8_9" dataDxfId="226"/>
    <tableColumn id="240" xr3:uid="{00000000-0010-0000-0000-0000F0000000}" name="SD_KOPPEJAN_CS" dataDxfId="225"/>
    <tableColumn id="241" xr3:uid="{00000000-0010-0000-0000-0000F1000000}" name="SD_KOPPEJAN_C'S" dataDxfId="224"/>
    <tableColumn id="242" xr3:uid="{00000000-0010-0000-0000-0000F2000000}" name="SD_KOPPEJAN_CS_TRAP2_3" dataDxfId="223"/>
    <tableColumn id="243" xr3:uid="{00000000-0010-0000-0000-0000F3000000}" name="SD_KOPPEJAN_CS_TRAP3_4" dataDxfId="222"/>
    <tableColumn id="244" xr3:uid="{00000000-0010-0000-0000-0000F4000000}" name="SD_KOPPEJAN_CS_TRAP4_5" dataDxfId="221"/>
    <tableColumn id="245" xr3:uid="{00000000-0010-0000-0000-0000F5000000}" name="SD_KOPPEJAN_CS_TRAP5_6" dataDxfId="220"/>
    <tableColumn id="246" xr3:uid="{00000000-0010-0000-0000-0000F6000000}" name="SD_KOPPEJAN_CS_TRAP6_7" dataDxfId="219"/>
    <tableColumn id="247" xr3:uid="{00000000-0010-0000-0000-0000F7000000}" name="SD_KOPPEJAN_CS_TRAP7_8" dataDxfId="218"/>
    <tableColumn id="248" xr3:uid="{00000000-0010-0000-0000-0000F8000000}" name="SD_KOPPEJAN_CS_TRAP8_9" dataDxfId="217"/>
    <tableColumn id="249" xr3:uid="{00000000-0010-0000-0000-0000F9000000}" name="SD_ISOTACHE_A" dataDxfId="216"/>
    <tableColumn id="250" xr3:uid="{00000000-0010-0000-0000-0000FA000000}" name="SD_ISOTACHE_B" dataDxfId="215"/>
    <tableColumn id="251" xr3:uid="{00000000-0010-0000-0000-0000FB000000}" name="SD_ISOTACHE_C" dataDxfId="214"/>
    <tableColumn id="252" xr3:uid="{00000000-0010-0000-0000-0000FC000000}" name="SD_ISOTACHE_GRENSSPANNING_A" dataDxfId="213"/>
    <tableColumn id="253" xr3:uid="{00000000-0010-0000-0000-0000FD000000}" name="SD_ISOTACHE_REK_BIJ_GRENSSPANNING_A" dataDxfId="212"/>
    <tableColumn id="254" xr3:uid="{00000000-0010-0000-0000-0000FE000000}" name="SD_ISOTACHE_BOVENGRENS_GRENSSPANNING_B" dataDxfId="211"/>
    <tableColumn id="255" xr3:uid="{00000000-0010-0000-0000-0000FF000000}" name="SD_CASAGRANDE_CV10_TRAP2" dataDxfId="210"/>
    <tableColumn id="256" xr3:uid="{00000000-0010-0000-0000-000000010000}" name="SD_CASAGRANDE_CV10_TRAP3" dataDxfId="209"/>
    <tableColumn id="257" xr3:uid="{00000000-0010-0000-0000-000001010000}" name="SD_CASAGRANDE_CV10_TRAP4" dataDxfId="208"/>
    <tableColumn id="258" xr3:uid="{00000000-0010-0000-0000-000002010000}" name="SD_CASAGRANDE_CV10_TRAP5" dataDxfId="207"/>
    <tableColumn id="259" xr3:uid="{00000000-0010-0000-0000-000003010000}" name="SD_CASAGRANDE_CV10_TRAP6" dataDxfId="206"/>
    <tableColumn id="260" xr3:uid="{00000000-0010-0000-0000-000004010000}" name="SD_CASAGRANDE_CV10_TRAP7" dataDxfId="205"/>
    <tableColumn id="261" xr3:uid="{00000000-0010-0000-0000-000005010000}" name="SD_CASAGRANDE_CV10_TRAP8" dataDxfId="204"/>
    <tableColumn id="262" xr3:uid="{00000000-0010-0000-0000-000006010000}" name="SD_CASAGRANDE_CV10_TRAP9" dataDxfId="203"/>
    <tableColumn id="263" xr3:uid="{00000000-0010-0000-0000-000007010000}" name="SD_CASAGRANDE_K10_TRAP2" dataDxfId="202"/>
    <tableColumn id="264" xr3:uid="{00000000-0010-0000-0000-000008010000}" name="SD_CASAGRANDE_K10_TRAP3" dataDxfId="201"/>
    <tableColumn id="265" xr3:uid="{00000000-0010-0000-0000-000009010000}" name="SD_CASAGRANDE_K10_TRAP4" dataDxfId="200"/>
    <tableColumn id="266" xr3:uid="{00000000-0010-0000-0000-00000A010000}" name="SD_CASAGRANDE_K10_TRAP5" dataDxfId="199"/>
    <tableColumn id="267" xr3:uid="{00000000-0010-0000-0000-00000B010000}" name="SD_CASAGRANDE_K10_TRAP6" dataDxfId="198"/>
    <tableColumn id="268" xr3:uid="{00000000-0010-0000-0000-00000C010000}" name="SD_CASAGRANDE_K10_TRAP7" dataDxfId="197"/>
    <tableColumn id="269" xr3:uid="{00000000-0010-0000-0000-00000D010000}" name="SD_CASAGRANDE_K10_TRAP8" dataDxfId="196"/>
    <tableColumn id="270" xr3:uid="{00000000-0010-0000-0000-00000E010000}" name="SD_CASAGRANDE_K10_TRAP9" dataDxfId="195"/>
    <tableColumn id="271" xr3:uid="{00000000-0010-0000-0000-00000F010000}" name="SD_CASAGRANDE_MV_TRAP2" dataDxfId="194"/>
    <tableColumn id="272" xr3:uid="{00000000-0010-0000-0000-000010010000}" name="SD_CASAGRANDE_MV_TRAP3" dataDxfId="193"/>
    <tableColumn id="273" xr3:uid="{00000000-0010-0000-0000-000011010000}" name="SD_CASAGRANDE_MV_TRAP4" dataDxfId="192"/>
    <tableColumn id="274" xr3:uid="{00000000-0010-0000-0000-000012010000}" name="SD_CASAGRANDE_MV_TRAP5" dataDxfId="191"/>
    <tableColumn id="275" xr3:uid="{00000000-0010-0000-0000-000013010000}" name="SD_CASAGRANDE_MV_TRAP6" dataDxfId="190"/>
    <tableColumn id="276" xr3:uid="{00000000-0010-0000-0000-000014010000}" name="SD_CASAGRANDE_MV_TRAP7" dataDxfId="189"/>
    <tableColumn id="277" xr3:uid="{00000000-0010-0000-0000-000015010000}" name="SD_CASAGRANDE_MV_TRAP8" dataDxfId="188"/>
    <tableColumn id="278" xr3:uid="{00000000-0010-0000-0000-000016010000}" name="SD_CASAGRANDE_MV_TRAP9" dataDxfId="187"/>
    <tableColumn id="279" xr3:uid="{00000000-0010-0000-0000-000017010000}" name="SD_CASAGRANDE_SPANNING_CV10_TRAP2" dataDxfId="186"/>
    <tableColumn id="280" xr3:uid="{00000000-0010-0000-0000-000018010000}" name="SD_CASAGRANDE_SPANNING_CV10_TRAP3" dataDxfId="185"/>
    <tableColumn id="281" xr3:uid="{00000000-0010-0000-0000-000019010000}" name="SD_CASAGRANDE_SPANNING_CV10_TRAP4" dataDxfId="184"/>
    <tableColumn id="282" xr3:uid="{00000000-0010-0000-0000-00001A010000}" name="SD_CASAGRANDE_SPANNING_CV10_TRAP5" dataDxfId="183"/>
    <tableColumn id="283" xr3:uid="{00000000-0010-0000-0000-00001B010000}" name="SD_CASAGRANDE_SPANNING_CV10_TRAP6" dataDxfId="182"/>
    <tableColumn id="284" xr3:uid="{00000000-0010-0000-0000-00001C010000}" name="SD_CASAGRANDE_SPANNING_CV10_TRAP7" dataDxfId="181"/>
    <tableColumn id="285" xr3:uid="{00000000-0010-0000-0000-00001D010000}" name="SD_CASAGRANDE_SPANNING_CV10_TRAP8" dataDxfId="180"/>
    <tableColumn id="286" xr3:uid="{00000000-0010-0000-0000-00001E010000}" name="SD_CASAGRANDE_SPANNING_CV10_TRAP9" dataDxfId="179"/>
    <tableColumn id="287" xr3:uid="{00000000-0010-0000-0000-00001F010000}" name="SD_TAYLOR_CV10_TRAP2" dataDxfId="178"/>
    <tableColumn id="288" xr3:uid="{00000000-0010-0000-0000-000020010000}" name="SD_TAYLOR_CV10_TRAP3" dataDxfId="177"/>
    <tableColumn id="289" xr3:uid="{00000000-0010-0000-0000-000021010000}" name="SD_TAYLOR_CV10_TRAP4" dataDxfId="176"/>
    <tableColumn id="290" xr3:uid="{00000000-0010-0000-0000-000022010000}" name="SD_TAYLOR_CV10_TRAP5" dataDxfId="175"/>
    <tableColumn id="291" xr3:uid="{00000000-0010-0000-0000-000023010000}" name="SD_TAYLOR_CV10_TRAP6" dataDxfId="174"/>
    <tableColumn id="292" xr3:uid="{00000000-0010-0000-0000-000024010000}" name="SD_TAYLOR_CV10_TRAP7" dataDxfId="173"/>
    <tableColumn id="293" xr3:uid="{00000000-0010-0000-0000-000025010000}" name="SD_TAYLOR_CV10_TRAP8" dataDxfId="172"/>
    <tableColumn id="294" xr3:uid="{00000000-0010-0000-0000-000026010000}" name="SD_TAYLOR_CV10_TRAP9" dataDxfId="171"/>
    <tableColumn id="295" xr3:uid="{00000000-0010-0000-0000-000027010000}" name="SD_TAYLOR_K10_TRAP2" dataDxfId="170"/>
    <tableColumn id="296" xr3:uid="{00000000-0010-0000-0000-000028010000}" name="SD_TAYLOR_K10_TRAP3" dataDxfId="169"/>
    <tableColumn id="297" xr3:uid="{00000000-0010-0000-0000-000029010000}" name="SD_TAYLOR_K10_TRAP4" dataDxfId="168"/>
    <tableColumn id="298" xr3:uid="{00000000-0010-0000-0000-00002A010000}" name="SD_TAYLOR_K10_TRAP5" dataDxfId="167"/>
    <tableColumn id="299" xr3:uid="{00000000-0010-0000-0000-00002B010000}" name="SD_TAYLOR_K10_TRAP6" dataDxfId="166"/>
    <tableColumn id="300" xr3:uid="{00000000-0010-0000-0000-00002C010000}" name="SD_TAYLOR_K10_TRAP7" dataDxfId="165"/>
    <tableColumn id="301" xr3:uid="{00000000-0010-0000-0000-00002D010000}" name="SD_TAYLOR_K10_TRAP8" dataDxfId="164"/>
    <tableColumn id="302" xr3:uid="{00000000-0010-0000-0000-00002E010000}" name="SD_TAYLOR_K10_TRAP9" dataDxfId="163"/>
    <tableColumn id="303" xr3:uid="{00000000-0010-0000-0000-00002F010000}" name="SD_TAYLOR_MV_TRAP2" dataDxfId="162"/>
    <tableColumn id="304" xr3:uid="{00000000-0010-0000-0000-000030010000}" name="SD_TAYLOR_MV_TRAP3" dataDxfId="161"/>
    <tableColumn id="305" xr3:uid="{00000000-0010-0000-0000-000031010000}" name="SD_TAYLOR_MV_TRAP4" dataDxfId="160"/>
    <tableColumn id="306" xr3:uid="{00000000-0010-0000-0000-000032010000}" name="SD_TAYLOR_MV_TRAP5" dataDxfId="159"/>
    <tableColumn id="307" xr3:uid="{00000000-0010-0000-0000-000033010000}" name="SD_TAYLOR_MV_TRAP6" dataDxfId="158"/>
    <tableColumn id="308" xr3:uid="{00000000-0010-0000-0000-000034010000}" name="SD_TAYLOR_MV_TRAP7" dataDxfId="157"/>
    <tableColumn id="309" xr3:uid="{00000000-0010-0000-0000-000035010000}" name="SD_TAYLOR_MV_TRAP8" dataDxfId="156"/>
    <tableColumn id="310" xr3:uid="{00000000-0010-0000-0000-000036010000}" name="SD_TAYLOR_MV_TRAP9" dataDxfId="155"/>
    <tableColumn id="311" xr3:uid="{00000000-0010-0000-0000-000037010000}" name="SD_TAYLOR_SPANNING_CV10_TRAP2" dataDxfId="154"/>
    <tableColumn id="312" xr3:uid="{00000000-0010-0000-0000-000038010000}" name="SD_TAYLOR_SPANNING_CV10_TRAP3" dataDxfId="153"/>
    <tableColumn id="313" xr3:uid="{00000000-0010-0000-0000-000039010000}" name="SD_TAYLOR_SPANNING_CV10_TRAP4" dataDxfId="152"/>
    <tableColumn id="314" xr3:uid="{00000000-0010-0000-0000-00003A010000}" name="SD_TAYLOR_SPANNING_CV10_TRAP5" dataDxfId="151"/>
    <tableColumn id="315" xr3:uid="{00000000-0010-0000-0000-00003B010000}" name="SD_TAYLOR_SPANNING_CV10_TRAP6" dataDxfId="150"/>
    <tableColumn id="316" xr3:uid="{00000000-0010-0000-0000-00003C010000}" name="SD_TAYLOR_SPANNING_CV10_TRAP7" dataDxfId="149"/>
    <tableColumn id="317" xr3:uid="{00000000-0010-0000-0000-00003D010000}" name="SD_TAYLOR_SPANNING_CV10_TRAP8" dataDxfId="148"/>
    <tableColumn id="318" xr3:uid="{00000000-0010-0000-0000-00003E010000}" name="SD_TAYLOR_SPANNING_CV10_TRAP9" dataDxfId="147"/>
    <tableColumn id="319" xr3:uid="{00000000-0010-0000-0000-00003F010000}" name="DSS_FILENAAM_PDF" dataDxfId="146"/>
    <tableColumn id="320" xr3:uid="{00000000-0010-0000-0000-000040010000}" name="DSS_FILENAAM_SPANNINGSPAD" dataDxfId="145"/>
    <tableColumn id="321" xr3:uid="{00000000-0010-0000-0000-000041010000}" name="DSS_MONSTERID" dataDxfId="144"/>
    <tableColumn id="322" xr3:uid="{00000000-0010-0000-0000-000042010000}" name="DSS_LABORATORIUM" dataDxfId="143"/>
    <tableColumn id="323" xr3:uid="{00000000-0010-0000-0000-000043010000}" name="DSS_NORM" dataDxfId="142"/>
    <tableColumn id="324" xr3:uid="{00000000-0010-0000-0000-000044010000}" name="DSS_DATUM" dataDxfId="141"/>
    <tableColumn id="325" xr3:uid="{00000000-0010-0000-0000-000045010000}" name="DSS_GRONDSOORT" dataDxfId="140"/>
    <tableColumn id="326" xr3:uid="{00000000-0010-0000-0000-000046010000}" name="DSS_OVERIGE_BESTANDDELEN" dataDxfId="139"/>
    <tableColumn id="327" xr3:uid="{00000000-0010-0000-0000-000047010000}" name="DSS_MONSTERNIVEAU" dataDxfId="138"/>
    <tableColumn id="328" xr3:uid="{00000000-0010-0000-0000-000048010000}" name="DSS_TERREINSPANNING" dataDxfId="137"/>
    <tableColumn id="329" xr3:uid="{00000000-0010-0000-0000-000049010000}" name="DSS_VOLUMEGEWICHT_NAT" dataDxfId="136"/>
    <tableColumn id="330" xr3:uid="{00000000-0010-0000-0000-00004A010000}" name="DSS_VOLUMEGEWICHT_DRG" dataDxfId="135"/>
    <tableColumn id="331" xr3:uid="{00000000-0010-0000-0000-00004B010000}" name="DSS_WATERGEHALTE_VOOR" dataDxfId="134"/>
    <tableColumn id="332" xr3:uid="{00000000-0010-0000-0000-00004C010000}" name="DSS_WATERGEHALTE_NA_PROEF" dataDxfId="133"/>
    <tableColumn id="333" xr3:uid="{00000000-0010-0000-0000-00004D010000}" name="DSS_VERZADIGINGGRAAD_VOOR" dataDxfId="132"/>
    <tableColumn id="334" xr3:uid="{00000000-0010-0000-0000-00004E010000}" name="DSS_PORIENGETAL_VOOR" dataDxfId="131"/>
    <tableColumn id="335" xr3:uid="{00000000-0010-0000-0000-00004F010000}" name="DSS_PORIENGETAL_EINDE_CONSOLIDATIE" dataDxfId="130"/>
    <tableColumn id="336" xr3:uid="{00000000-0010-0000-0000-000050010000}" name="DSS_SPECIFIEKE_MASSA" dataDxfId="129"/>
    <tableColumn id="337" xr3:uid="{00000000-0010-0000-0000-000051010000}" name="DSS_TEMPERATUUR_PROEF_MAX" dataDxfId="128"/>
    <tableColumn id="338" xr3:uid="{00000000-0010-0000-0000-000052010000}" name="DSS_TEMPERATUUR_PROEF_MIN" dataDxfId="127"/>
    <tableColumn id="339" xr3:uid="{00000000-0010-0000-0000-000053010000}" name="DSS_PROEFSTUKDIAMETER_VOOR" dataDxfId="126"/>
    <tableColumn id="340" xr3:uid="{00000000-0010-0000-0000-000054010000}" name="DSS_PROEFSTUKHOOGTE_VOOR" dataDxfId="125"/>
    <tableColumn id="341" xr3:uid="{00000000-0010-0000-0000-000055010000}" name="DSS_PROEFSTUKHOOGTE_NA_CONSOLIDATIE" dataDxfId="124"/>
    <tableColumn id="342" xr3:uid="{00000000-0010-0000-0000-000056010000}" name="DSS_UITGEVOERDE_CORRECTIES" dataDxfId="123"/>
    <tableColumn id="343" xr3:uid="{00000000-0010-0000-0000-000057010000}" name="DSS_UITVOERINGSWIJZE" dataDxfId="122"/>
    <tableColumn id="344" xr3:uid="{00000000-0010-0000-0000-000058010000}" name="DSS_MAX_EFF_VERT_SPANNING_CONSOLIDATIE" dataDxfId="121"/>
    <tableColumn id="345" xr3:uid="{00000000-0010-0000-0000-000059010000}" name="DSS_EFF_VERT_SPANNING_EINDE_CONSOLIDATIE" dataDxfId="120"/>
    <tableColumn id="346" xr3:uid="{00000000-0010-0000-0000-00005A010000}" name="DSS_OCR" dataDxfId="119"/>
    <tableColumn id="347" xr3:uid="{00000000-0010-0000-0000-00005B010000}" name="DSS_AXIALEREK_EINDE_CONSOLIDATIE" dataDxfId="118"/>
    <tableColumn id="348" xr3:uid="{00000000-0010-0000-0000-00005C010000}" name="DSS_BELASTINGSSTAPPEN_CONSOLIDATIE" dataDxfId="117"/>
    <tableColumn id="349" xr3:uid="{00000000-0010-0000-0000-00005D010000}" name="DSS_DUUR_CONSOLIDATIE" dataDxfId="116"/>
    <tableColumn id="350" xr3:uid="{00000000-0010-0000-0000-00005E010000}" name="DSS_AFSCHUIFSNELHEID_%UUR" dataDxfId="115"/>
    <tableColumn id="351" xr3:uid="{00000000-0010-0000-0000-00005F010000}" name="DSS_AFSCHUIFSNELHEID_MMUUR" dataDxfId="114"/>
    <tableColumn id="352" xr3:uid="{00000000-0010-0000-0000-000060010000}" name="DSS_S_2%" dataDxfId="113"/>
    <tableColumn id="353" xr3:uid="{00000000-0010-0000-0000-000061010000}" name="DSS_T_2%" dataDxfId="112"/>
    <tableColumn id="354" xr3:uid="{00000000-0010-0000-0000-000062010000}" name="DSS_S_5%" dataDxfId="111"/>
    <tableColumn id="355" xr3:uid="{00000000-0010-0000-0000-000063010000}" name="DSS_T_5%" dataDxfId="110"/>
    <tableColumn id="356" xr3:uid="{00000000-0010-0000-0000-000064010000}" name="DSS_S_10%" dataDxfId="109"/>
    <tableColumn id="357" xr3:uid="{00000000-0010-0000-0000-000065010000}" name="DSS_T_10%" dataDxfId="108"/>
    <tableColumn id="358" xr3:uid="{00000000-0010-0000-0000-000066010000}" name="DSS_S_15%" dataDxfId="107"/>
    <tableColumn id="359" xr3:uid="{00000000-0010-0000-0000-000067010000}" name="DSS_T_15%" dataDxfId="106"/>
    <tableColumn id="360" xr3:uid="{00000000-0010-0000-0000-000068010000}" name="DSS_S_20%" dataDxfId="105"/>
    <tableColumn id="361" xr3:uid="{00000000-0010-0000-0000-000069010000}" name="DSS_T_20%" dataDxfId="104"/>
    <tableColumn id="362" xr3:uid="{00000000-0010-0000-0000-00006A010000}" name="DSS_S_BIJ_T_MAX" dataDxfId="103"/>
    <tableColumn id="363" xr3:uid="{00000000-0010-0000-0000-00006B010000}" name="DSS_T_MAX" dataDxfId="102"/>
    <tableColumn id="364" xr3:uid="{00000000-0010-0000-0000-00006C010000}" name="DSS_REK_BIJ_T_MAX" dataDxfId="101"/>
    <tableColumn id="365" xr3:uid="{00000000-0010-0000-0000-00006D010000}" name="DSS_S_BIJ_T_EIND" dataDxfId="100"/>
    <tableColumn id="366" xr3:uid="{00000000-0010-0000-0000-00006E010000}" name="DSS_T_EIND" dataDxfId="99"/>
    <tableColumn id="367" xr3:uid="{00000000-0010-0000-0000-00006F010000}" name="DSS_REK_BIJ_T_EIND" dataDxfId="98"/>
    <tableColumn id="368" xr3:uid="{00000000-0010-0000-0000-000070010000}" name="DSS_S_BIJ_MAX_S1S3" dataDxfId="97"/>
    <tableColumn id="369" xr3:uid="{00000000-0010-0000-0000-000071010000}" name="DSS_T_BIJ_MAX_S1S3" dataDxfId="96"/>
    <tableColumn id="370" xr3:uid="{00000000-0010-0000-0000-000072010000}" name="DSS_REK_BIJ_MAX_S1S3" dataDxfId="95"/>
    <tableColumn id="371" xr3:uid="{00000000-0010-0000-0000-000073010000}" name="DSS_SCHUIFMODULUS_G50" dataDxfId="94"/>
    <tableColumn id="372" xr3:uid="{00000000-0010-0000-0000-000074010000}" name="TXT_SS_FILENAAM_PDF" dataDxfId="93"/>
    <tableColumn id="373" xr3:uid="{00000000-0010-0000-0000-000075010000}" name="TXT_SS_FILENAAM_SPANNINGSPAD" dataDxfId="92"/>
    <tableColumn id="374" xr3:uid="{00000000-0010-0000-0000-000076010000}" name="TXT_SS_MONSTERID" dataDxfId="91"/>
    <tableColumn id="375" xr3:uid="{00000000-0010-0000-0000-000077010000}" name="TXT_SS_LABORATORIUM" dataDxfId="90"/>
    <tableColumn id="376" xr3:uid="{00000000-0010-0000-0000-000078010000}" name="TXT_SS_NORM" dataDxfId="89"/>
    <tableColumn id="377" xr3:uid="{00000000-0010-0000-0000-000079010000}" name="TXT_SS_DATUM" dataDxfId="88"/>
    <tableColumn id="378" xr3:uid="{00000000-0010-0000-0000-00007A010000}" name="TXT_SS_GRONDSOORT" dataDxfId="87"/>
    <tableColumn id="379" xr3:uid="{00000000-0010-0000-0000-00007B010000}" name="TXT_SS_OVERIGE_BESTANDDELEN" dataDxfId="86"/>
    <tableColumn id="380" xr3:uid="{00000000-0010-0000-0000-00007C010000}" name="TXT_SS_MONSTERNIVEAU" dataDxfId="85"/>
    <tableColumn id="381" xr3:uid="{00000000-0010-0000-0000-00007D010000}" name="TXT_SS_TERREINSPANNING" dataDxfId="84"/>
    <tableColumn id="382" xr3:uid="{00000000-0010-0000-0000-00007E010000}" name="TXT_SS_VOLUMEGEWICHT_NAT" dataDxfId="83"/>
    <tableColumn id="383" xr3:uid="{00000000-0010-0000-0000-00007F010000}" name="TXT_SS_VOLUMEGEWICHT_DRG" dataDxfId="82"/>
    <tableColumn id="384" xr3:uid="{00000000-0010-0000-0000-000080010000}" name="TXT_SS_WATERGEHALTE_NA_PROEF" dataDxfId="81"/>
    <tableColumn id="385" xr3:uid="{00000000-0010-0000-0000-000081010000}" name="TXT_SS_WATERGEHALTE_VOOR" dataDxfId="80"/>
    <tableColumn id="386" xr3:uid="{00000000-0010-0000-0000-000082010000}" name="TXT_SS_VERZADIGINGSGRAAD_VOOR" dataDxfId="79"/>
    <tableColumn id="387" xr3:uid="{00000000-0010-0000-0000-000083010000}" name="TXT_SS_PORIENGETAL_VOOR" dataDxfId="78"/>
    <tableColumn id="388" xr3:uid="{00000000-0010-0000-0000-000084010000}" name="TXT_SS_SPECIFIEKE_MASSA" dataDxfId="77"/>
    <tableColumn id="389" xr3:uid="{00000000-0010-0000-0000-000085010000}" name="TXT_SS_TEMPERATUUR_PROEF_MAX" dataDxfId="76"/>
    <tableColumn id="390" xr3:uid="{00000000-0010-0000-0000-000086010000}" name="TXT_SS_TEMPERATUUR_PROEF_MIN" dataDxfId="75"/>
    <tableColumn id="391" xr3:uid="{00000000-0010-0000-0000-000087010000}" name="TXT_SS_PROEFSTUKDIAMETER_VOOR" dataDxfId="74"/>
    <tableColumn id="392" xr3:uid="{00000000-0010-0000-0000-000088010000}" name="TXT_SS_PROEFSTUKHOOGTE_VOOR" dataDxfId="73"/>
    <tableColumn id="393" xr3:uid="{00000000-0010-0000-0000-000089010000}" name="TXT_SS_TYPE_PROEF" dataDxfId="72"/>
    <tableColumn id="394" xr3:uid="{00000000-0010-0000-0000-00008A010000}" name="TXT_SS_MEMBRAANCORRECTIE" dataDxfId="71"/>
    <tableColumn id="395" xr3:uid="{00000000-0010-0000-0000-00008B010000}" name="TXT_SS_OVERIGECORRECTIES" dataDxfId="70"/>
    <tableColumn id="396" xr3:uid="{00000000-0010-0000-0000-00008C010000}" name="TXT_SS_BACKPRESSURE" dataDxfId="69"/>
    <tableColumn id="397" xr3:uid="{00000000-0010-0000-0000-00008D010000}" name="TXT_SS_CONSOLIDATIEWIJZE" dataDxfId="68"/>
    <tableColumn id="398" xr3:uid="{00000000-0010-0000-0000-00008E010000}" name="TXT_SS_SPANNINGSVERHOUDING_STOPCR_K" dataDxfId="67"/>
    <tableColumn id="399" xr3:uid="{00000000-0010-0000-0000-00008F010000}" name="TXT_SS_STOPCRITERIUM_CONSOLIDATIE" dataDxfId="66"/>
    <tableColumn id="400" xr3:uid="{00000000-0010-0000-0000-000090010000}" name="TXT_SS_S'_ISOTROOP_CONSOLIDATIE" dataDxfId="65"/>
    <tableColumn id="401" xr3:uid="{00000000-0010-0000-0000-000091010000}" name="TXT_SS_T_ISOTROOP_CONSOLIDATIE" dataDxfId="64"/>
    <tableColumn id="402" xr3:uid="{00000000-0010-0000-0000-000092010000}" name="TXT_SS_S'_MAX_CONSOLIDATIE" dataDxfId="63"/>
    <tableColumn id="403" xr3:uid="{00000000-0010-0000-0000-000093010000}" name="TXT_SS_T_MAX_CONSOLIDATIE" dataDxfId="62"/>
    <tableColumn id="404" xr3:uid="{00000000-0010-0000-0000-000094010000}" name="TXT_SS_S'_EIND_CONSOLIDATIE" dataDxfId="61"/>
    <tableColumn id="405" xr3:uid="{00000000-0010-0000-0000-000095010000}" name="TXT_SS_T_EIND_CONSOLIDATIE" dataDxfId="60"/>
    <tableColumn id="406" xr3:uid="{00000000-0010-0000-0000-000096010000}" name="TXT_SS_OCR" dataDxfId="59"/>
    <tableColumn id="407" xr3:uid="{00000000-0010-0000-0000-000097010000}" name="TXT_SS_AXIALEREK_CONSOLIDATIE" dataDxfId="58"/>
    <tableColumn id="408" xr3:uid="{00000000-0010-0000-0000-000098010000}" name="TXT_SS_VOLUMEREK_CONSOLIDATIE" dataDxfId="57"/>
    <tableColumn id="409" xr3:uid="{00000000-0010-0000-0000-000099010000}" name="TXT_SS_STOPCRITERIUM_AFSCHUIVEN" dataDxfId="56"/>
    <tableColumn id="410" xr3:uid="{00000000-0010-0000-0000-00009A010000}" name="TXT_SS_AXIALEREKSNELHEID_AFSCHUIVEN" dataDxfId="55"/>
    <tableColumn id="411" xr3:uid="{00000000-0010-0000-0000-00009B010000}" name="TXT_SS_S'_2%" dataDxfId="54"/>
    <tableColumn id="412" xr3:uid="{00000000-0010-0000-0000-00009C010000}" name="TXT_SS_T_2%" dataDxfId="53"/>
    <tableColumn id="413" xr3:uid="{00000000-0010-0000-0000-00009D010000}" name="TXT_SS_S'_5%" dataDxfId="52"/>
    <tableColumn id="414" xr3:uid="{00000000-0010-0000-0000-00009E010000}" name="TXT_SS_T_5%" dataDxfId="51"/>
    <tableColumn id="415" xr3:uid="{00000000-0010-0000-0000-00009F010000}" name="TXT_SS_S'_15%" dataDxfId="50"/>
    <tableColumn id="416" xr3:uid="{00000000-0010-0000-0000-0000A0010000}" name="TXT_SS_T_15%" dataDxfId="49"/>
    <tableColumn id="417" xr3:uid="{00000000-0010-0000-0000-0000A1010000}" name="TXT_SS_S'_BIJ_T_PIEK" dataDxfId="48"/>
    <tableColumn id="418" xr3:uid="{00000000-0010-0000-0000-0000A2010000}" name="TXT_SS_T_PIEK" dataDxfId="47"/>
    <tableColumn id="419" xr3:uid="{00000000-0010-0000-0000-0000A3010000}" name="TXT_SS_REK_BIJ_T_PIEK" dataDxfId="46"/>
    <tableColumn id="420" xr3:uid="{00000000-0010-0000-0000-0000A4010000}" name="TXT_SS_S'_BIJ_T_EIND" dataDxfId="45"/>
    <tableColumn id="421" xr3:uid="{00000000-0010-0000-0000-0000A5010000}" name="TXT_SS_T_EIND" dataDxfId="44"/>
    <tableColumn id="422" xr3:uid="{00000000-0010-0000-0000-0000A6010000}" name="TXT_SS_REK_BIJ_T_EIND" dataDxfId="43"/>
    <tableColumn id="423" xr3:uid="{00000000-0010-0000-0000-0000A7010000}" name="TXT_SS_E_UNDR50" dataDxfId="42"/>
    <tableColumn id="424" xr3:uid="{00000000-0010-0000-0000-0000A8010000}" name="TXT_SS_REK_BIJ_E_UNDR50" dataDxfId="41"/>
    <tableColumn id="425" xr3:uid="{00000000-0010-0000-0000-0000A9010000}" name="TXT_SS_SKEMPTON_A" dataDxfId="40"/>
    <tableColumn id="426" xr3:uid="{00000000-0010-0000-0000-0000AA010000}" name="TXT_MS_FILENAAM_PDF" dataDxfId="39"/>
    <tableColumn id="427" xr3:uid="{00000000-0010-0000-0000-0000AB010000}" name="TXT_MS_FILENAAM_SPANNINGSPAD" dataDxfId="38"/>
    <tableColumn id="428" xr3:uid="{00000000-0010-0000-0000-0000AC010000}" name="TXT_MS_MONSTERID" dataDxfId="37"/>
    <tableColumn id="429" xr3:uid="{00000000-0010-0000-0000-0000AD010000}" name="TXT_MS_LABORATORIUM" dataDxfId="36"/>
    <tableColumn id="430" xr3:uid="{00000000-0010-0000-0000-0000AE010000}" name="TXT_MS_CONSOLIDATIESPANNING" dataDxfId="35"/>
    <tableColumn id="431" xr3:uid="{00000000-0010-0000-0000-0000AF010000}" name="TXT_MS_REK_BIJ_E_UNDR50" dataDxfId="34"/>
    <tableColumn id="432" xr3:uid="{00000000-0010-0000-0000-0000B0010000}" name="TXT_MS_E_UNDR50" dataDxfId="33"/>
    <tableColumn id="433" xr3:uid="{00000000-0010-0000-0000-0000B1010000}" name="TXT_MS_S1'_2%" dataDxfId="32"/>
    <tableColumn id="434" xr3:uid="{00000000-0010-0000-0000-0000B2010000}" name="TXT_MS_S2'_2%" dataDxfId="31"/>
    <tableColumn id="435" xr3:uid="{00000000-0010-0000-0000-0000B3010000}" name="TXT_MS_S3'_2%" dataDxfId="30"/>
    <tableColumn id="436" xr3:uid="{00000000-0010-0000-0000-0000B4010000}" name="TXT_MS_T1_2%" dataDxfId="29"/>
    <tableColumn id="437" xr3:uid="{00000000-0010-0000-0000-0000B5010000}" name="TXT_MS_T2_2%" dataDxfId="28"/>
    <tableColumn id="438" xr3:uid="{00000000-0010-0000-0000-0000B6010000}" name="TXT_MS_T3_2%" dataDxfId="27"/>
    <tableColumn id="439" xr3:uid="{00000000-0010-0000-0000-0000B7010000}" name="TXT_MS_C_2%" dataDxfId="26"/>
    <tableColumn id="440" xr3:uid="{00000000-0010-0000-0000-0000B8010000}" name="TXT_MS_PHI_2%" dataDxfId="25"/>
    <tableColumn id="441" xr3:uid="{00000000-0010-0000-0000-0000B9010000}" name="TXT_MS_S1'_5%" dataDxfId="24"/>
    <tableColumn id="442" xr3:uid="{00000000-0010-0000-0000-0000BA010000}" name="TXT_MS_S2'_5%" dataDxfId="23"/>
    <tableColumn id="443" xr3:uid="{00000000-0010-0000-0000-0000BB010000}" name="TXT_MS_S3'_5%" dataDxfId="22"/>
    <tableColumn id="444" xr3:uid="{00000000-0010-0000-0000-0000BC010000}" name="TXT_MS_T1_5%" dataDxfId="21"/>
    <tableColumn id="445" xr3:uid="{00000000-0010-0000-0000-0000BD010000}" name="TXT_MS_T2_5%" dataDxfId="20"/>
    <tableColumn id="446" xr3:uid="{00000000-0010-0000-0000-0000BE010000}" name="TXT_MS_T3_5%" dataDxfId="19"/>
    <tableColumn id="447" xr3:uid="{00000000-0010-0000-0000-0000BF010000}" name="TXT_MS_C_5%" dataDxfId="18"/>
    <tableColumn id="448" xr3:uid="{00000000-0010-0000-0000-0000C0010000}" name="TXT_MS_PHI_5%" dataDxfId="17"/>
    <tableColumn id="449" xr3:uid="{00000000-0010-0000-0000-0000C1010000}" name="CEL_FILENAAM_PDF" dataDxfId="16"/>
    <tableColumn id="450" xr3:uid="{00000000-0010-0000-0000-0000C2010000}" name="CEL_FILENAAM_SPANNINGSPAD" dataDxfId="15"/>
    <tableColumn id="451" xr3:uid="{00000000-0010-0000-0000-0000C3010000}" name="CEL_PHI1" dataDxfId="14"/>
    <tableColumn id="452" xr3:uid="{00000000-0010-0000-0000-0000C4010000}" name="CEL_C1" dataDxfId="13"/>
    <tableColumn id="453" xr3:uid="{00000000-0010-0000-0000-0000C5010000}" name="CEL_PHI2" dataDxfId="12"/>
    <tableColumn id="454" xr3:uid="{00000000-0010-0000-0000-0000C6010000}" name="CEL_C2" dataDxfId="11"/>
    <tableColumn id="455" xr3:uid="{00000000-0010-0000-0000-0000C7010000}" name="CEL_PHI3" dataDxfId="10"/>
    <tableColumn id="456" xr3:uid="{00000000-0010-0000-0000-0000C8010000}" name="CEL_C3" dataDxfId="9"/>
    <tableColumn id="457" xr3:uid="{00000000-0010-0000-0000-0000C9010000}" name="CEL_PHI4" dataDxfId="8"/>
    <tableColumn id="458" xr3:uid="{00000000-0010-0000-0000-0000CA010000}" name="CEL_C4" dataDxfId="7"/>
    <tableColumn id="459" xr3:uid="{00000000-0010-0000-0000-0000CB010000}" name="CEL_PHI5" dataDxfId="6"/>
    <tableColumn id="460" xr3:uid="{00000000-0010-0000-0000-0000CC010000}" name="CEL_C5" dataDxfId="5"/>
    <tableColumn id="461" xr3:uid="{00000000-0010-0000-0000-0000CD010000}" name="CEL_EINDSPANNING" dataDxfId="4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S238"/>
  <sheetViews>
    <sheetView tabSelected="1" zoomScale="80" zoomScaleNormal="80" workbookViewId="0">
      <pane xSplit="10" ySplit="9" topLeftCell="K10" activePane="bottomRight" state="frozen"/>
      <selection pane="bottomRight" activeCell="CX47" sqref="CX47"/>
      <selection pane="bottomLeft" activeCell="A10" sqref="A10"/>
      <selection pane="topRight" activeCell="K1" sqref="K1"/>
    </sheetView>
  </sheetViews>
  <sheetFormatPr defaultColWidth="9.140625" defaultRowHeight="12.75"/>
  <cols>
    <col min="1" max="1" width="11.85546875" style="13" customWidth="1"/>
    <col min="2" max="2" width="18.5703125" style="13" customWidth="1"/>
    <col min="3" max="3" width="9.5703125" style="13" customWidth="1"/>
    <col min="4" max="4" width="15" style="13" customWidth="1"/>
    <col min="5" max="5" width="8.5703125" style="13" customWidth="1"/>
    <col min="6" max="6" width="14.140625" style="13" customWidth="1"/>
    <col min="7" max="7" width="19.42578125" style="13" customWidth="1"/>
    <col min="8" max="8" width="15.28515625" style="13" customWidth="1"/>
    <col min="9" max="9" width="14.140625" style="13" customWidth="1"/>
    <col min="10" max="10" width="27.28515625" style="13" customWidth="1"/>
    <col min="11" max="11" width="26.28515625" style="13" customWidth="1"/>
    <col min="12" max="12" width="18.7109375" style="13" customWidth="1"/>
    <col min="13" max="13" width="21" style="13" customWidth="1"/>
    <col min="14" max="14" width="23.140625" style="13" customWidth="1"/>
    <col min="15" max="15" width="15.85546875" style="13" customWidth="1"/>
    <col min="16" max="16" width="14.28515625" style="13" customWidth="1"/>
    <col min="17" max="17" width="22.85546875" style="13" customWidth="1"/>
    <col min="18" max="18" width="17.28515625" style="13" customWidth="1"/>
    <col min="19" max="19" width="18" style="13" customWidth="1"/>
    <col min="20" max="20" width="14.85546875" style="13" customWidth="1"/>
    <col min="21" max="21" width="27.28515625" style="13" customWidth="1"/>
    <col min="22" max="23" width="14.28515625" style="13" customWidth="1"/>
    <col min="24" max="24" width="21.42578125" style="13" customWidth="1"/>
    <col min="25" max="25" width="22.140625" style="13" customWidth="1"/>
    <col min="26" max="26" width="15.7109375" style="13" customWidth="1"/>
    <col min="27" max="27" width="15.85546875" style="13" customWidth="1"/>
    <col min="28" max="28" width="22" style="13" customWidth="1"/>
    <col min="29" max="29" width="21.85546875" style="13" customWidth="1"/>
    <col min="30" max="30" width="15.85546875" style="13" customWidth="1"/>
    <col min="31" max="31" width="21.42578125" style="13" customWidth="1"/>
    <col min="32" max="32" width="17.7109375" style="13" customWidth="1"/>
    <col min="33" max="33" width="21.7109375" style="13" customWidth="1"/>
    <col min="34" max="35" width="14.28515625" style="13" customWidth="1"/>
    <col min="36" max="36" width="23.7109375" style="13" customWidth="1"/>
    <col min="37" max="37" width="22.28515625" style="13" customWidth="1"/>
    <col min="38" max="38" width="28.28515625" style="13" customWidth="1"/>
    <col min="39" max="39" width="25.7109375" style="13" customWidth="1"/>
    <col min="40" max="40" width="27.5703125" style="13" customWidth="1"/>
    <col min="41" max="41" width="25" style="13" customWidth="1"/>
    <col min="42" max="42" width="32.5703125" style="13" customWidth="1"/>
    <col min="43" max="43" width="19.7109375" style="13" customWidth="1"/>
    <col min="44" max="44" width="23.85546875" style="13" customWidth="1"/>
    <col min="45" max="45" width="17" style="13" customWidth="1"/>
    <col min="46" max="46" width="20.42578125" style="13" customWidth="1"/>
    <col min="47" max="47" width="15" style="13" customWidth="1"/>
    <col min="48" max="48" width="14.28515625" style="13" customWidth="1"/>
    <col min="49" max="49" width="15.140625" style="13" customWidth="1"/>
    <col min="50" max="50" width="25.7109375" style="13" customWidth="1"/>
    <col min="51" max="51" width="21.42578125" style="13" customWidth="1"/>
    <col min="52" max="53" width="25.85546875" style="13" customWidth="1"/>
    <col min="54" max="54" width="20.140625" style="13" customWidth="1"/>
    <col min="55" max="55" width="16.5703125" style="13" customWidth="1"/>
    <col min="56" max="56" width="18.42578125" style="13" customWidth="1"/>
    <col min="57" max="57" width="24.7109375" style="13" customWidth="1"/>
    <col min="58" max="58" width="31.42578125" style="13" customWidth="1"/>
    <col min="59" max="59" width="33.5703125" style="13" customWidth="1"/>
    <col min="60" max="60" width="22.28515625" style="13" customWidth="1"/>
    <col min="61" max="61" width="18.28515625" style="13" customWidth="1"/>
    <col min="62" max="62" width="18.5703125" style="13" customWidth="1"/>
    <col min="63" max="63" width="20.85546875" style="13" customWidth="1"/>
    <col min="64" max="64" width="15.28515625" style="13" customWidth="1"/>
    <col min="65" max="65" width="22.42578125" style="13" customWidth="1"/>
    <col min="66" max="66" width="24.42578125" style="13" customWidth="1"/>
    <col min="67" max="67" width="17.28515625" style="13" customWidth="1"/>
    <col min="68" max="68" width="24.140625" style="13" customWidth="1"/>
    <col min="69" max="69" width="21.28515625" style="13" customWidth="1"/>
    <col min="70" max="71" width="14.28515625" style="13" customWidth="1"/>
    <col min="72" max="72" width="23" style="13" customWidth="1"/>
    <col min="73" max="73" width="27.140625" style="13" customWidth="1"/>
    <col min="74" max="74" width="21.85546875" style="13" customWidth="1"/>
    <col min="75" max="75" width="20" style="13" customWidth="1"/>
    <col min="76" max="76" width="26.85546875" style="13" customWidth="1"/>
    <col min="77" max="77" width="23.42578125" style="13" customWidth="1"/>
    <col min="78" max="78" width="20.42578125" style="13" customWidth="1"/>
    <col min="79" max="79" width="21.85546875" style="13" customWidth="1"/>
    <col min="80" max="80" width="15.42578125" style="13" customWidth="1"/>
    <col min="81" max="81" width="21.5703125" style="13" customWidth="1"/>
    <col min="82" max="82" width="19.85546875" style="13" customWidth="1"/>
    <col min="83" max="83" width="18" style="13" customWidth="1"/>
    <col min="84" max="84" width="17.85546875" style="13" customWidth="1"/>
    <col min="85" max="85" width="15.28515625" style="13" customWidth="1"/>
    <col min="86" max="86" width="18.7109375" style="13" customWidth="1"/>
    <col min="87" max="89" width="14.28515625" style="13" customWidth="1"/>
    <col min="90" max="90" width="24" style="13" customWidth="1"/>
    <col min="91" max="91" width="25" style="13" customWidth="1"/>
    <col min="92" max="92" width="25.140625" style="13" customWidth="1"/>
    <col min="93" max="95" width="14.28515625" style="13" customWidth="1"/>
    <col min="96" max="96" width="16.7109375" style="13" customWidth="1"/>
    <col min="97" max="97" width="18.140625" style="13" customWidth="1"/>
    <col min="98" max="98" width="16.7109375" style="13" customWidth="1"/>
    <col min="99" max="102" width="15.7109375" style="13" customWidth="1"/>
    <col min="103" max="106" width="17.28515625" style="13" customWidth="1"/>
    <col min="107" max="110" width="16.28515625" style="13" customWidth="1"/>
    <col min="111" max="111" width="15.28515625" style="13" customWidth="1"/>
    <col min="112" max="116" width="14.28515625" style="13" customWidth="1"/>
    <col min="117" max="117" width="18.7109375" style="13" customWidth="1"/>
    <col min="118" max="118" width="18.5703125" style="13" customWidth="1"/>
    <col min="119" max="119" width="14.28515625" style="13" customWidth="1"/>
    <col min="120" max="120" width="23.28515625" style="13" customWidth="1"/>
    <col min="121" max="121" width="26.42578125" style="13" customWidth="1"/>
    <col min="122" max="122" width="29.42578125" style="13" customWidth="1"/>
    <col min="123" max="123" width="24.5703125" style="13" customWidth="1"/>
    <col min="124" max="124" width="25.140625" style="13" customWidth="1"/>
    <col min="125" max="130" width="14.28515625" style="13" customWidth="1"/>
    <col min="131" max="131" width="18.7109375" style="13" customWidth="1"/>
    <col min="132" max="132" width="28.28515625" style="13" customWidth="1"/>
    <col min="133" max="133" width="16" style="13" customWidth="1"/>
    <col min="134" max="134" width="19.42578125" style="13" customWidth="1"/>
    <col min="135" max="137" width="14.28515625" style="13" customWidth="1"/>
    <col min="138" max="138" width="24.7109375" style="13" customWidth="1"/>
    <col min="139" max="139" width="20.42578125" style="13" customWidth="1"/>
    <col min="140" max="140" width="21.42578125" style="13" customWidth="1"/>
    <col min="141" max="142" width="24.85546875" style="13" customWidth="1"/>
    <col min="143" max="143" width="24.7109375" style="13" customWidth="1"/>
    <col min="144" max="144" width="28.28515625" style="13" customWidth="1"/>
    <col min="145" max="145" width="17.28515625" style="13" customWidth="1"/>
    <col min="146" max="146" width="28.5703125" style="13" customWidth="1"/>
    <col min="147" max="147" width="28.140625" style="13" customWidth="1"/>
    <col min="148" max="148" width="29" style="13" customWidth="1"/>
    <col min="149" max="149" width="27.7109375" style="13" customWidth="1"/>
    <col min="150" max="150" width="36.85546875" style="13" customWidth="1"/>
    <col min="151" max="151" width="31.28515625" style="13" customWidth="1"/>
    <col min="152" max="152" width="25.5703125" style="13" customWidth="1"/>
    <col min="153" max="153" width="27.140625" style="13" customWidth="1"/>
    <col min="154" max="154" width="19.28515625" style="13" customWidth="1"/>
    <col min="155" max="155" width="33.140625" style="13" customWidth="1"/>
    <col min="156" max="156" width="32.140625" style="13" customWidth="1"/>
    <col min="157" max="157" width="39" style="13" customWidth="1"/>
    <col min="158" max="158" width="38" style="13" customWidth="1"/>
    <col min="159" max="159" width="33.7109375" style="13" customWidth="1"/>
    <col min="160" max="160" width="39" style="13" customWidth="1"/>
    <col min="161" max="161" width="22.28515625" style="13" customWidth="1"/>
    <col min="162" max="162" width="28.85546875" style="13" customWidth="1"/>
    <col min="163" max="163" width="33.7109375" style="13" customWidth="1"/>
    <col min="164" max="164" width="16.28515625" style="13" customWidth="1"/>
    <col min="165" max="166" width="16.140625" style="13" customWidth="1"/>
    <col min="167" max="167" width="17.85546875" style="13" customWidth="1"/>
    <col min="168" max="168" width="27.42578125" style="13" customWidth="1"/>
    <col min="169" max="169" width="15.140625" style="13" customWidth="1"/>
    <col min="170" max="170" width="18.5703125" style="13" customWidth="1"/>
    <col min="171" max="173" width="14.28515625" style="13" customWidth="1"/>
    <col min="174" max="174" width="23.85546875" style="13" customWidth="1"/>
    <col min="175" max="175" width="19.5703125" style="13" customWidth="1"/>
    <col min="176" max="176" width="20.5703125" style="13" customWidth="1"/>
    <col min="177" max="177" width="24" style="13" customWidth="1"/>
    <col min="178" max="178" width="22.85546875" style="13" customWidth="1"/>
    <col min="179" max="179" width="21.28515625" style="13" customWidth="1"/>
    <col min="180" max="180" width="27.42578125" style="13" customWidth="1"/>
    <col min="181" max="181" width="16.5703125" style="13" customWidth="1"/>
    <col min="182" max="182" width="27.7109375" style="13" customWidth="1"/>
    <col min="183" max="183" width="27.28515625" style="13" customWidth="1"/>
    <col min="184" max="184" width="26.42578125" style="13" customWidth="1"/>
    <col min="185" max="185" width="14.5703125" style="13" customWidth="1"/>
    <col min="186" max="186" width="27.42578125" style="13" customWidth="1"/>
    <col min="187" max="187" width="34" style="13" customWidth="1"/>
    <col min="188" max="188" width="15.85546875" style="13" customWidth="1"/>
    <col min="189" max="196" width="23.5703125" style="13" customWidth="1"/>
    <col min="197" max="197" width="24.5703125" style="13" customWidth="1"/>
    <col min="198" max="198" width="15.85546875" style="13" customWidth="1"/>
    <col min="199" max="205" width="23.5703125" style="13" customWidth="1"/>
    <col min="206" max="206" width="23.42578125" style="13" customWidth="1"/>
    <col min="207" max="207" width="24.5703125" style="13" customWidth="1"/>
    <col min="208" max="208" width="20.140625" style="13" customWidth="1"/>
    <col min="209" max="217" width="26" style="13" customWidth="1"/>
    <col min="218" max="218" width="27" style="13" customWidth="1"/>
    <col min="219" max="219" width="16" style="13" customWidth="1"/>
    <col min="220" max="220" width="28.42578125" style="13" customWidth="1"/>
    <col min="221" max="221" width="35" style="13" customWidth="1"/>
    <col min="222" max="222" width="15.85546875" style="13" customWidth="1"/>
    <col min="223" max="223" width="16.28515625" style="13" customWidth="1"/>
    <col min="224" max="230" width="23.5703125" style="13" customWidth="1"/>
    <col min="231" max="231" width="16.85546875" style="13" customWidth="1"/>
    <col min="232" max="232" width="17.28515625" style="13" customWidth="1"/>
    <col min="233" max="239" width="24.5703125" style="13" customWidth="1"/>
    <col min="240" max="240" width="16.7109375" style="13" customWidth="1"/>
    <col min="241" max="241" width="17.140625" style="13" customWidth="1"/>
    <col min="242" max="248" width="24.42578125" style="13" customWidth="1"/>
    <col min="249" max="249" width="15.42578125" style="13" customWidth="1"/>
    <col min="250" max="251" width="15.28515625" style="13" customWidth="1"/>
    <col min="252" max="252" width="29.85546875" style="13" customWidth="1"/>
    <col min="253" max="253" width="36.42578125" style="13" customWidth="1"/>
    <col min="254" max="254" width="41.28515625" style="13" customWidth="1"/>
    <col min="255" max="262" width="27.42578125" style="13" customWidth="1"/>
    <col min="263" max="270" width="26.28515625" style="13" customWidth="1"/>
    <col min="271" max="278" width="26" style="13" customWidth="1"/>
    <col min="279" max="286" width="36.7109375" style="13" customWidth="1"/>
    <col min="287" max="294" width="22.85546875" style="13" customWidth="1"/>
    <col min="295" max="302" width="21.7109375" style="13" customWidth="1"/>
    <col min="303" max="310" width="21.42578125" style="13" customWidth="1"/>
    <col min="311" max="318" width="32.140625" style="13" customWidth="1"/>
    <col min="319" max="319" width="32.42578125" style="13" customWidth="1"/>
    <col min="320" max="320" width="28.28515625" style="13" customWidth="1"/>
    <col min="321" max="321" width="16" style="13" customWidth="1"/>
    <col min="322" max="322" width="19.42578125" style="13" customWidth="1"/>
    <col min="323" max="325" width="14.28515625" style="13" customWidth="1"/>
    <col min="326" max="326" width="24.7109375" style="13" customWidth="1"/>
    <col min="327" max="327" width="20.42578125" style="13" customWidth="1"/>
    <col min="328" max="328" width="21.42578125" style="13" customWidth="1"/>
    <col min="329" max="330" width="24.85546875" style="13" customWidth="1"/>
    <col min="331" max="331" width="24.7109375" style="13" customWidth="1"/>
    <col min="332" max="332" width="28.28515625" style="13" customWidth="1"/>
    <col min="333" max="333" width="28.42578125" style="13" customWidth="1"/>
    <col min="334" max="334" width="23" style="13" customWidth="1"/>
    <col min="335" max="335" width="35.140625" style="13" customWidth="1"/>
    <col min="336" max="336" width="21.28515625" style="13" customWidth="1"/>
    <col min="337" max="337" width="28.5703125" style="13" customWidth="1"/>
    <col min="338" max="338" width="28.140625" style="13" customWidth="1"/>
    <col min="339" max="339" width="29" style="13" customWidth="1"/>
    <col min="340" max="340" width="27.7109375" style="13" customWidth="1"/>
    <col min="341" max="341" width="37.7109375" style="13" customWidth="1"/>
    <col min="342" max="342" width="27.42578125" style="13" customWidth="1"/>
    <col min="343" max="343" width="21.5703125" style="13" customWidth="1"/>
    <col min="344" max="344" width="40.140625" style="13" customWidth="1"/>
    <col min="345" max="345" width="41" style="13" customWidth="1"/>
    <col min="346" max="346" width="14.28515625" style="13" customWidth="1"/>
    <col min="347" max="347" width="32.7109375" style="13" customWidth="1"/>
    <col min="348" max="348" width="35.28515625" style="13" customWidth="1"/>
    <col min="349" max="349" width="23.42578125" style="13" customWidth="1"/>
    <col min="350" max="350" width="27" style="13" customWidth="1"/>
    <col min="351" max="351" width="28.85546875" style="13" customWidth="1"/>
    <col min="352" max="361" width="14.28515625" style="13" customWidth="1"/>
    <col min="362" max="362" width="16.7109375" style="13" customWidth="1"/>
    <col min="363" max="363" width="14.28515625" style="13" customWidth="1"/>
    <col min="364" max="364" width="18.7109375" style="13" customWidth="1"/>
    <col min="365" max="365" width="16.7109375" style="13" customWidth="1"/>
    <col min="366" max="366" width="14.28515625" style="13" customWidth="1"/>
    <col min="367" max="367" width="18.7109375" style="13" customWidth="1"/>
    <col min="368" max="369" width="19.5703125" style="13" customWidth="1"/>
    <col min="370" max="370" width="21.5703125" style="13" customWidth="1"/>
    <col min="371" max="371" width="24.140625" style="13" customWidth="1"/>
    <col min="372" max="372" width="21.140625" style="13" customWidth="1"/>
    <col min="373" max="373" width="30.7109375" style="13" customWidth="1"/>
    <col min="374" max="374" width="18.42578125" style="13" customWidth="1"/>
    <col min="375" max="375" width="21.85546875" style="13" customWidth="1"/>
    <col min="376" max="376" width="14.28515625" style="13" customWidth="1"/>
    <col min="377" max="377" width="15" style="13" customWidth="1"/>
    <col min="378" max="378" width="16.5703125" style="13" customWidth="1"/>
    <col min="379" max="379" width="27.140625" style="13" customWidth="1"/>
    <col min="380" max="380" width="22.85546875" style="13" customWidth="1"/>
    <col min="381" max="381" width="23.85546875" style="13" customWidth="1"/>
    <col min="382" max="383" width="27.28515625" style="13" customWidth="1"/>
    <col min="384" max="384" width="30.7109375" style="13" customWidth="1"/>
    <col min="385" max="385" width="27.140625" style="13" customWidth="1"/>
    <col min="386" max="386" width="31.7109375" style="13" customWidth="1"/>
    <col min="387" max="387" width="25.42578125" style="13" customWidth="1"/>
    <col min="388" max="388" width="23.7109375" style="13" customWidth="1"/>
    <col min="389" max="389" width="31" style="13" customWidth="1"/>
    <col min="390" max="390" width="30.5703125" style="13" customWidth="1"/>
    <col min="391" max="391" width="31.42578125" style="13" customWidth="1"/>
    <col min="392" max="392" width="30.140625" style="13" customWidth="1"/>
    <col min="393" max="393" width="18.7109375" style="13" customWidth="1"/>
    <col min="394" max="394" width="27" style="13" customWidth="1"/>
    <col min="395" max="395" width="25" style="13" customWidth="1"/>
    <col min="396" max="396" width="20.85546875" style="13" customWidth="1"/>
    <col min="397" max="397" width="25" style="13" customWidth="1"/>
    <col min="398" max="398" width="37.7109375" style="13" customWidth="1"/>
    <col min="399" max="399" width="33.7109375" style="13" customWidth="1"/>
    <col min="400" max="400" width="31.5703125" style="13" customWidth="1"/>
    <col min="401" max="401" width="31.140625" style="13" customWidth="1"/>
    <col min="402" max="402" width="27.28515625" style="13" customWidth="1"/>
    <col min="403" max="403" width="26.85546875" style="13" customWidth="1"/>
    <col min="404" max="404" width="27.28515625" style="13" customWidth="1"/>
    <col min="405" max="405" width="26.85546875" style="13" customWidth="1"/>
    <col min="406" max="406" width="14.28515625" style="13" customWidth="1"/>
    <col min="407" max="407" width="29.7109375" style="13" customWidth="1"/>
    <col min="408" max="408" width="31.140625" style="13" customWidth="1"/>
    <col min="409" max="409" width="32.140625" style="13" customWidth="1"/>
    <col min="410" max="410" width="35.5703125" style="13" customWidth="1"/>
    <col min="411" max="414" width="14.28515625" style="13" customWidth="1"/>
    <col min="415" max="415" width="14.5703125" style="13" customWidth="1"/>
    <col min="416" max="416" width="14.28515625" style="13" customWidth="1"/>
    <col min="417" max="417" width="19.140625" style="13" customWidth="1"/>
    <col min="418" max="418" width="14.28515625" style="13" customWidth="1"/>
    <col min="419" max="419" width="20.7109375" style="13" customWidth="1"/>
    <col min="420" max="420" width="19.5703125" style="13" customWidth="1"/>
    <col min="421" max="421" width="14.5703125" style="13" customWidth="1"/>
    <col min="422" max="422" width="21.140625" style="13" customWidth="1"/>
    <col min="423" max="423" width="17.42578125" style="13" customWidth="1"/>
    <col min="424" max="424" width="24" style="13" customWidth="1"/>
    <col min="425" max="425" width="19.85546875" style="13" customWidth="1"/>
    <col min="426" max="426" width="21.85546875" style="13" customWidth="1"/>
    <col min="427" max="427" width="31.42578125" style="13" customWidth="1"/>
    <col min="428" max="428" width="19.140625" style="13" customWidth="1"/>
    <col min="429" max="429" width="22.5703125" style="13" customWidth="1"/>
    <col min="430" max="430" width="29.7109375" style="13" customWidth="1"/>
    <col min="431" max="431" width="24.7109375" style="13" customWidth="1"/>
    <col min="432" max="432" width="18.140625" style="13" customWidth="1"/>
    <col min="433" max="435" width="15.28515625" style="13" customWidth="1"/>
    <col min="436" max="438" width="14.85546875" style="13" customWidth="1"/>
    <col min="439" max="439" width="14.28515625" style="13" customWidth="1"/>
    <col min="440" max="440" width="15.5703125" style="13" customWidth="1"/>
    <col min="441" max="443" width="15.28515625" style="13" customWidth="1"/>
    <col min="444" max="446" width="14.85546875" style="13" customWidth="1"/>
    <col min="447" max="447" width="14.28515625" style="13" customWidth="1"/>
    <col min="448" max="448" width="15.5703125" style="13" customWidth="1"/>
    <col min="449" max="449" width="18.5703125" style="13" customWidth="1"/>
    <col min="450" max="450" width="28.140625" style="13" customWidth="1"/>
    <col min="451" max="459" width="14.28515625" style="13" customWidth="1"/>
    <col min="460" max="460" width="9.140625" style="13"/>
    <col min="461" max="461" width="18.7109375" style="13" customWidth="1"/>
    <col min="462" max="16384" width="9.140625" style="13"/>
  </cols>
  <sheetData>
    <row r="1" spans="1:461">
      <c r="A1" s="13" t="s">
        <v>0</v>
      </c>
      <c r="B1" s="13">
        <v>2</v>
      </c>
      <c r="C1" s="13">
        <v>3</v>
      </c>
      <c r="D1" s="13">
        <v>4</v>
      </c>
      <c r="E1" s="13">
        <v>5</v>
      </c>
      <c r="F1" s="13">
        <v>6</v>
      </c>
      <c r="G1" s="13">
        <v>7</v>
      </c>
      <c r="H1" s="13">
        <v>8</v>
      </c>
      <c r="I1" s="13">
        <v>9</v>
      </c>
      <c r="J1" s="13">
        <v>10</v>
      </c>
      <c r="K1" s="13">
        <v>11</v>
      </c>
      <c r="L1" s="13">
        <v>12</v>
      </c>
      <c r="M1" s="13">
        <v>13</v>
      </c>
      <c r="N1" s="13">
        <v>14</v>
      </c>
      <c r="O1" s="13">
        <v>15</v>
      </c>
      <c r="P1" s="13">
        <v>16</v>
      </c>
      <c r="Q1" s="13">
        <v>17</v>
      </c>
      <c r="R1" s="13">
        <v>18</v>
      </c>
      <c r="S1" s="13">
        <v>19</v>
      </c>
      <c r="T1" s="13">
        <v>20</v>
      </c>
      <c r="U1" s="13">
        <v>21</v>
      </c>
      <c r="V1" s="13">
        <v>22</v>
      </c>
      <c r="W1" s="13">
        <v>23</v>
      </c>
      <c r="X1" s="13">
        <v>24</v>
      </c>
      <c r="Y1" s="13">
        <v>25</v>
      </c>
      <c r="Z1" s="13">
        <v>26</v>
      </c>
      <c r="AA1" s="13">
        <v>27</v>
      </c>
      <c r="AB1" s="13">
        <v>28</v>
      </c>
      <c r="AC1" s="13">
        <v>29</v>
      </c>
      <c r="AD1" s="13">
        <v>30</v>
      </c>
      <c r="AE1" s="13">
        <v>31</v>
      </c>
      <c r="AF1" s="13">
        <v>32</v>
      </c>
      <c r="AG1" s="13">
        <v>33</v>
      </c>
      <c r="AH1" s="13">
        <v>34</v>
      </c>
      <c r="AI1" s="13">
        <v>35</v>
      </c>
      <c r="AJ1" s="13">
        <v>36</v>
      </c>
      <c r="AK1" s="13">
        <v>37</v>
      </c>
      <c r="AL1" s="13">
        <v>38</v>
      </c>
      <c r="AM1" s="13">
        <v>39</v>
      </c>
      <c r="AN1" s="13">
        <v>40</v>
      </c>
      <c r="AO1" s="13">
        <v>41</v>
      </c>
      <c r="AP1" s="13">
        <v>42</v>
      </c>
      <c r="AQ1" s="33">
        <v>43</v>
      </c>
      <c r="AR1" s="33">
        <v>44</v>
      </c>
      <c r="AS1" s="33">
        <v>45</v>
      </c>
      <c r="AT1" s="33">
        <v>46</v>
      </c>
      <c r="AU1" s="33">
        <v>47</v>
      </c>
      <c r="AV1" s="33">
        <v>48</v>
      </c>
      <c r="AW1" s="33">
        <v>49</v>
      </c>
      <c r="AX1" s="33">
        <v>50</v>
      </c>
      <c r="AY1" s="33">
        <v>51</v>
      </c>
      <c r="AZ1" s="33">
        <v>52</v>
      </c>
      <c r="BA1" s="33">
        <v>53</v>
      </c>
      <c r="BB1" s="33">
        <v>54</v>
      </c>
      <c r="BC1" s="33">
        <v>55</v>
      </c>
      <c r="BD1" s="33">
        <v>56</v>
      </c>
      <c r="BE1" s="33">
        <v>57</v>
      </c>
      <c r="BF1" s="33">
        <v>58</v>
      </c>
      <c r="BG1" s="33">
        <v>59</v>
      </c>
      <c r="BH1" s="33">
        <v>60</v>
      </c>
      <c r="BI1" s="33">
        <v>61</v>
      </c>
      <c r="BJ1" s="33">
        <v>62</v>
      </c>
      <c r="BK1" s="33">
        <v>63</v>
      </c>
      <c r="BL1" s="33">
        <v>64</v>
      </c>
      <c r="BM1" s="33">
        <v>65</v>
      </c>
      <c r="BN1" s="33">
        <v>66</v>
      </c>
      <c r="BO1" s="33">
        <v>67</v>
      </c>
      <c r="BP1" s="33">
        <v>68</v>
      </c>
      <c r="BQ1" s="33">
        <v>69</v>
      </c>
      <c r="BR1" s="33">
        <v>70</v>
      </c>
      <c r="BS1" s="33">
        <v>71</v>
      </c>
      <c r="BT1" s="33">
        <v>72</v>
      </c>
      <c r="BU1" s="33">
        <v>73</v>
      </c>
      <c r="BV1" s="33">
        <v>74</v>
      </c>
      <c r="BW1" s="33">
        <v>75</v>
      </c>
      <c r="BX1" s="33">
        <v>76</v>
      </c>
      <c r="BY1" s="33">
        <v>77</v>
      </c>
      <c r="BZ1" s="33">
        <v>78</v>
      </c>
      <c r="CA1" s="33">
        <v>79</v>
      </c>
      <c r="CB1" s="33">
        <v>80</v>
      </c>
      <c r="CC1" s="33">
        <v>81</v>
      </c>
      <c r="CD1" s="33">
        <v>82</v>
      </c>
      <c r="CE1" s="34">
        <v>83</v>
      </c>
      <c r="CF1" s="34">
        <v>84</v>
      </c>
      <c r="CG1" s="34">
        <v>85</v>
      </c>
      <c r="CH1" s="34">
        <v>86</v>
      </c>
      <c r="CI1" s="34">
        <v>87</v>
      </c>
      <c r="CJ1" s="34">
        <v>88</v>
      </c>
      <c r="CK1" s="34">
        <v>89</v>
      </c>
      <c r="CL1" s="34">
        <v>90</v>
      </c>
      <c r="CM1" s="34">
        <v>91</v>
      </c>
      <c r="CN1" s="34">
        <v>92</v>
      </c>
      <c r="CO1" s="34">
        <v>93</v>
      </c>
      <c r="CP1" s="34">
        <v>94</v>
      </c>
      <c r="CQ1" s="34">
        <v>95</v>
      </c>
      <c r="CR1" s="34">
        <v>96</v>
      </c>
      <c r="CS1" s="34">
        <v>97</v>
      </c>
      <c r="CT1" s="34">
        <v>98</v>
      </c>
      <c r="CU1" s="34">
        <v>99</v>
      </c>
      <c r="CV1" s="34">
        <v>100</v>
      </c>
      <c r="CW1" s="34">
        <v>101</v>
      </c>
      <c r="CX1" s="34">
        <v>102</v>
      </c>
      <c r="CY1" s="34">
        <v>103</v>
      </c>
      <c r="CZ1" s="34">
        <v>104</v>
      </c>
      <c r="DA1" s="34">
        <v>105</v>
      </c>
      <c r="DB1" s="34">
        <v>106</v>
      </c>
      <c r="DC1" s="34">
        <v>107</v>
      </c>
      <c r="DD1" s="34">
        <v>108</v>
      </c>
      <c r="DE1" s="34">
        <v>109</v>
      </c>
      <c r="DF1" s="34">
        <v>110</v>
      </c>
      <c r="DG1" s="34">
        <v>111</v>
      </c>
      <c r="DH1" s="34">
        <v>112</v>
      </c>
      <c r="DI1" s="34">
        <v>113</v>
      </c>
      <c r="DJ1" s="34">
        <v>114</v>
      </c>
      <c r="DK1" s="34">
        <v>115</v>
      </c>
      <c r="DL1" s="34">
        <v>116</v>
      </c>
      <c r="DM1" s="13">
        <v>117</v>
      </c>
      <c r="DN1" s="13">
        <v>118</v>
      </c>
      <c r="DO1" s="13">
        <v>119</v>
      </c>
      <c r="DP1" s="13">
        <v>120</v>
      </c>
      <c r="DQ1" s="13">
        <v>121</v>
      </c>
      <c r="DR1" s="13">
        <v>122</v>
      </c>
      <c r="DS1" s="13">
        <v>123</v>
      </c>
      <c r="DT1" s="13">
        <v>124</v>
      </c>
      <c r="DU1" s="13">
        <v>125</v>
      </c>
      <c r="DV1" s="13">
        <v>126</v>
      </c>
      <c r="DW1" s="13">
        <v>127</v>
      </c>
      <c r="DX1" s="13">
        <v>128</v>
      </c>
      <c r="DY1" s="13">
        <v>129</v>
      </c>
      <c r="DZ1" s="13">
        <v>130</v>
      </c>
      <c r="EA1" s="35">
        <v>131</v>
      </c>
      <c r="EB1" s="35">
        <v>132</v>
      </c>
      <c r="EC1" s="35">
        <v>133</v>
      </c>
      <c r="ED1" s="35">
        <v>134</v>
      </c>
      <c r="EE1" s="35">
        <v>135</v>
      </c>
      <c r="EF1" s="35">
        <v>136</v>
      </c>
      <c r="EG1" s="35">
        <v>137</v>
      </c>
      <c r="EH1" s="35">
        <v>138</v>
      </c>
      <c r="EI1" s="35">
        <v>139</v>
      </c>
      <c r="EJ1" s="35">
        <v>140</v>
      </c>
      <c r="EK1" s="35">
        <v>141</v>
      </c>
      <c r="EL1" s="35">
        <v>142</v>
      </c>
      <c r="EM1" s="35">
        <v>143</v>
      </c>
      <c r="EN1" s="35">
        <v>144</v>
      </c>
      <c r="EO1" s="35">
        <v>145</v>
      </c>
      <c r="EP1" s="35">
        <v>146</v>
      </c>
      <c r="EQ1" s="35">
        <v>147</v>
      </c>
      <c r="ER1" s="35">
        <v>148</v>
      </c>
      <c r="ES1" s="35">
        <v>149</v>
      </c>
      <c r="ET1" s="35">
        <v>150</v>
      </c>
      <c r="EU1" s="35">
        <v>151</v>
      </c>
      <c r="EV1" s="35">
        <v>152</v>
      </c>
      <c r="EW1" s="35">
        <v>153</v>
      </c>
      <c r="EX1" s="35">
        <v>154</v>
      </c>
      <c r="EY1" s="35">
        <v>155</v>
      </c>
      <c r="EZ1" s="35">
        <v>156</v>
      </c>
      <c r="FA1" s="35">
        <v>157</v>
      </c>
      <c r="FB1" s="35">
        <v>158</v>
      </c>
      <c r="FC1" s="35">
        <v>159</v>
      </c>
      <c r="FD1" s="35">
        <v>160</v>
      </c>
      <c r="FE1" s="35">
        <v>161</v>
      </c>
      <c r="FF1" s="35">
        <v>162</v>
      </c>
      <c r="FG1" s="35">
        <v>163</v>
      </c>
      <c r="FH1" s="35">
        <v>164</v>
      </c>
      <c r="FI1" s="35">
        <v>165</v>
      </c>
      <c r="FJ1" s="35">
        <v>166</v>
      </c>
      <c r="FK1" s="36">
        <v>167</v>
      </c>
      <c r="FL1" s="36">
        <v>168</v>
      </c>
      <c r="FM1" s="36">
        <v>169</v>
      </c>
      <c r="FN1" s="36">
        <v>170</v>
      </c>
      <c r="FO1" s="36">
        <v>171</v>
      </c>
      <c r="FP1" s="36">
        <v>172</v>
      </c>
      <c r="FQ1" s="36">
        <v>173</v>
      </c>
      <c r="FR1" s="36">
        <v>174</v>
      </c>
      <c r="FS1" s="36">
        <v>175</v>
      </c>
      <c r="FT1" s="36">
        <v>176</v>
      </c>
      <c r="FU1" s="36">
        <v>177</v>
      </c>
      <c r="FV1" s="36">
        <v>178</v>
      </c>
      <c r="FW1" s="36">
        <v>179</v>
      </c>
      <c r="FX1" s="36">
        <v>180</v>
      </c>
      <c r="FY1" s="36">
        <v>181</v>
      </c>
      <c r="FZ1" s="36">
        <v>182</v>
      </c>
      <c r="GA1" s="36">
        <v>183</v>
      </c>
      <c r="GB1" s="36">
        <v>184</v>
      </c>
      <c r="GC1" s="36">
        <v>185</v>
      </c>
      <c r="GD1" s="36">
        <v>186</v>
      </c>
      <c r="GE1" s="36">
        <v>187</v>
      </c>
      <c r="GF1" s="36">
        <v>188</v>
      </c>
      <c r="GG1" s="36">
        <v>189</v>
      </c>
      <c r="GH1" s="36">
        <v>190</v>
      </c>
      <c r="GI1" s="36">
        <v>191</v>
      </c>
      <c r="GJ1" s="36">
        <v>192</v>
      </c>
      <c r="GK1" s="36">
        <v>193</v>
      </c>
      <c r="GL1" s="36">
        <v>194</v>
      </c>
      <c r="GM1" s="36">
        <v>195</v>
      </c>
      <c r="GN1" s="36">
        <v>196</v>
      </c>
      <c r="GO1" s="36">
        <v>197</v>
      </c>
      <c r="GP1" s="36">
        <v>198</v>
      </c>
      <c r="GQ1" s="36">
        <v>199</v>
      </c>
      <c r="GR1" s="36">
        <v>200</v>
      </c>
      <c r="GS1" s="36">
        <v>201</v>
      </c>
      <c r="GT1" s="36">
        <v>202</v>
      </c>
      <c r="GU1" s="36">
        <v>203</v>
      </c>
      <c r="GV1" s="36">
        <v>204</v>
      </c>
      <c r="GW1" s="36">
        <v>205</v>
      </c>
      <c r="GX1" s="36">
        <v>206</v>
      </c>
      <c r="GY1" s="36">
        <v>207</v>
      </c>
      <c r="GZ1" s="36">
        <v>208</v>
      </c>
      <c r="HA1" s="36">
        <v>209</v>
      </c>
      <c r="HB1" s="36">
        <v>210</v>
      </c>
      <c r="HC1" s="36">
        <v>211</v>
      </c>
      <c r="HD1" s="36">
        <v>212</v>
      </c>
      <c r="HE1" s="36">
        <v>213</v>
      </c>
      <c r="HF1" s="36">
        <v>214</v>
      </c>
      <c r="HG1" s="36">
        <v>215</v>
      </c>
      <c r="HH1" s="36">
        <v>216</v>
      </c>
      <c r="HI1" s="36">
        <v>217</v>
      </c>
      <c r="HJ1" s="36">
        <v>218</v>
      </c>
      <c r="HK1" s="36">
        <v>219</v>
      </c>
      <c r="HL1" s="36">
        <v>220</v>
      </c>
      <c r="HM1" s="36">
        <v>221</v>
      </c>
      <c r="HN1" s="36">
        <v>222</v>
      </c>
      <c r="HO1" s="36">
        <v>223</v>
      </c>
      <c r="HP1" s="36">
        <v>224</v>
      </c>
      <c r="HQ1" s="36">
        <v>225</v>
      </c>
      <c r="HR1" s="36">
        <v>226</v>
      </c>
      <c r="HS1" s="36">
        <v>227</v>
      </c>
      <c r="HT1" s="36">
        <v>228</v>
      </c>
      <c r="HU1" s="36">
        <v>229</v>
      </c>
      <c r="HV1" s="36">
        <v>230</v>
      </c>
      <c r="HW1" s="36">
        <v>231</v>
      </c>
      <c r="HX1" s="36">
        <v>232</v>
      </c>
      <c r="HY1" s="36">
        <v>233</v>
      </c>
      <c r="HZ1" s="36">
        <v>234</v>
      </c>
      <c r="IA1" s="36">
        <v>235</v>
      </c>
      <c r="IB1" s="36">
        <v>236</v>
      </c>
      <c r="IC1" s="36">
        <v>237</v>
      </c>
      <c r="ID1" s="36">
        <v>238</v>
      </c>
      <c r="IE1" s="36">
        <v>239</v>
      </c>
      <c r="IF1" s="36">
        <v>240</v>
      </c>
      <c r="IG1" s="36">
        <v>241</v>
      </c>
      <c r="IH1" s="36">
        <v>242</v>
      </c>
      <c r="II1" s="36">
        <v>243</v>
      </c>
      <c r="IJ1" s="36">
        <v>244</v>
      </c>
      <c r="IK1" s="36">
        <v>245</v>
      </c>
      <c r="IL1" s="36">
        <v>246</v>
      </c>
      <c r="IM1" s="36">
        <v>247</v>
      </c>
      <c r="IN1" s="36">
        <v>248</v>
      </c>
      <c r="IO1" s="36">
        <v>249</v>
      </c>
      <c r="IP1" s="36">
        <v>250</v>
      </c>
      <c r="IQ1" s="36">
        <v>251</v>
      </c>
      <c r="IR1" s="36">
        <v>252</v>
      </c>
      <c r="IS1" s="36">
        <v>253</v>
      </c>
      <c r="IT1" s="36">
        <v>254</v>
      </c>
      <c r="IU1" s="36">
        <v>255</v>
      </c>
      <c r="IV1" s="36">
        <v>256</v>
      </c>
      <c r="IW1" s="36">
        <v>257</v>
      </c>
      <c r="IX1" s="36">
        <v>258</v>
      </c>
      <c r="IY1" s="36">
        <v>259</v>
      </c>
      <c r="IZ1" s="36">
        <v>260</v>
      </c>
      <c r="JA1" s="36">
        <v>261</v>
      </c>
      <c r="JB1" s="36">
        <v>262</v>
      </c>
      <c r="JC1" s="36">
        <v>263</v>
      </c>
      <c r="JD1" s="36">
        <v>264</v>
      </c>
      <c r="JE1" s="36">
        <v>265</v>
      </c>
      <c r="JF1" s="36">
        <v>266</v>
      </c>
      <c r="JG1" s="36">
        <v>267</v>
      </c>
      <c r="JH1" s="36">
        <v>268</v>
      </c>
      <c r="JI1" s="36">
        <v>269</v>
      </c>
      <c r="JJ1" s="36">
        <v>270</v>
      </c>
      <c r="JK1" s="36">
        <v>271</v>
      </c>
      <c r="JL1" s="36">
        <v>272</v>
      </c>
      <c r="JM1" s="36">
        <v>273</v>
      </c>
      <c r="JN1" s="36">
        <v>274</v>
      </c>
      <c r="JO1" s="36">
        <v>275</v>
      </c>
      <c r="JP1" s="36">
        <v>276</v>
      </c>
      <c r="JQ1" s="36">
        <v>277</v>
      </c>
      <c r="JR1" s="36">
        <v>278</v>
      </c>
      <c r="JS1" s="36">
        <v>279</v>
      </c>
      <c r="JT1" s="36">
        <v>280</v>
      </c>
      <c r="JU1" s="36">
        <v>281</v>
      </c>
      <c r="JV1" s="36">
        <v>282</v>
      </c>
      <c r="JW1" s="36">
        <v>283</v>
      </c>
      <c r="JX1" s="36">
        <v>284</v>
      </c>
      <c r="JY1" s="36">
        <v>285</v>
      </c>
      <c r="JZ1" s="36">
        <v>286</v>
      </c>
      <c r="KA1" s="36">
        <v>287</v>
      </c>
      <c r="KB1" s="36">
        <v>288</v>
      </c>
      <c r="KC1" s="36">
        <v>289</v>
      </c>
      <c r="KD1" s="36">
        <v>290</v>
      </c>
      <c r="KE1" s="36">
        <v>291</v>
      </c>
      <c r="KF1" s="36">
        <v>292</v>
      </c>
      <c r="KG1" s="36">
        <v>293</v>
      </c>
      <c r="KH1" s="36">
        <v>294</v>
      </c>
      <c r="KI1" s="36">
        <v>295</v>
      </c>
      <c r="KJ1" s="36">
        <v>296</v>
      </c>
      <c r="KK1" s="36">
        <v>297</v>
      </c>
      <c r="KL1" s="36">
        <v>298</v>
      </c>
      <c r="KM1" s="36">
        <v>299</v>
      </c>
      <c r="KN1" s="36">
        <v>300</v>
      </c>
      <c r="KO1" s="36">
        <v>301</v>
      </c>
      <c r="KP1" s="36">
        <v>302</v>
      </c>
      <c r="KQ1" s="36">
        <v>303</v>
      </c>
      <c r="KR1" s="36">
        <v>304</v>
      </c>
      <c r="KS1" s="36">
        <v>305</v>
      </c>
      <c r="KT1" s="36">
        <v>306</v>
      </c>
      <c r="KU1" s="36">
        <v>307</v>
      </c>
      <c r="KV1" s="36">
        <v>308</v>
      </c>
      <c r="KW1" s="36">
        <v>309</v>
      </c>
      <c r="KX1" s="36">
        <v>310</v>
      </c>
      <c r="KY1" s="36">
        <v>311</v>
      </c>
      <c r="KZ1" s="36">
        <v>312</v>
      </c>
      <c r="LA1" s="36">
        <v>313</v>
      </c>
      <c r="LB1" s="36">
        <v>314</v>
      </c>
      <c r="LC1" s="36">
        <v>315</v>
      </c>
      <c r="LD1" s="36">
        <v>316</v>
      </c>
      <c r="LE1" s="36">
        <v>317</v>
      </c>
      <c r="LF1" s="36">
        <v>318</v>
      </c>
      <c r="LG1" s="37">
        <v>319</v>
      </c>
      <c r="LH1" s="37">
        <v>320</v>
      </c>
      <c r="LI1" s="37">
        <v>321</v>
      </c>
      <c r="LJ1" s="37">
        <v>322</v>
      </c>
      <c r="LK1" s="37">
        <v>323</v>
      </c>
      <c r="LL1" s="37">
        <v>324</v>
      </c>
      <c r="LM1" s="37">
        <v>325</v>
      </c>
      <c r="LN1" s="37">
        <v>326</v>
      </c>
      <c r="LO1" s="37">
        <v>327</v>
      </c>
      <c r="LP1" s="37">
        <v>328</v>
      </c>
      <c r="LQ1" s="37">
        <v>329</v>
      </c>
      <c r="LR1" s="37">
        <v>330</v>
      </c>
      <c r="LS1" s="37">
        <v>331</v>
      </c>
      <c r="LT1" s="37">
        <v>332</v>
      </c>
      <c r="LU1" s="37">
        <v>333</v>
      </c>
      <c r="LV1" s="37">
        <v>334</v>
      </c>
      <c r="LW1" s="37">
        <v>335</v>
      </c>
      <c r="LX1" s="37">
        <v>336</v>
      </c>
      <c r="LY1" s="37">
        <v>337</v>
      </c>
      <c r="LZ1" s="37">
        <v>338</v>
      </c>
      <c r="MA1" s="37">
        <v>339</v>
      </c>
      <c r="MB1" s="37">
        <v>340</v>
      </c>
      <c r="MC1" s="37">
        <v>341</v>
      </c>
      <c r="MD1" s="37">
        <v>342</v>
      </c>
      <c r="ME1" s="37">
        <v>343</v>
      </c>
      <c r="MF1" s="37">
        <v>344</v>
      </c>
      <c r="MG1" s="37">
        <v>345</v>
      </c>
      <c r="MH1" s="37">
        <v>346</v>
      </c>
      <c r="MI1" s="37">
        <v>347</v>
      </c>
      <c r="MJ1" s="37">
        <v>348</v>
      </c>
      <c r="MK1" s="37">
        <v>349</v>
      </c>
      <c r="ML1" s="37">
        <v>350</v>
      </c>
      <c r="MM1" s="37">
        <v>351</v>
      </c>
      <c r="MN1" s="37">
        <v>352</v>
      </c>
      <c r="MO1" s="37">
        <v>353</v>
      </c>
      <c r="MP1" s="37">
        <v>354</v>
      </c>
      <c r="MQ1" s="37">
        <v>355</v>
      </c>
      <c r="MR1" s="37">
        <v>356</v>
      </c>
      <c r="MS1" s="37">
        <v>357</v>
      </c>
      <c r="MT1" s="37">
        <v>358</v>
      </c>
      <c r="MU1" s="37">
        <v>359</v>
      </c>
      <c r="MV1" s="37">
        <v>360</v>
      </c>
      <c r="MW1" s="37">
        <v>361</v>
      </c>
      <c r="MX1" s="37">
        <v>362</v>
      </c>
      <c r="MY1" s="37">
        <v>363</v>
      </c>
      <c r="MZ1" s="37">
        <v>364</v>
      </c>
      <c r="NA1" s="37">
        <v>365</v>
      </c>
      <c r="NB1" s="37">
        <v>366</v>
      </c>
      <c r="NC1" s="37">
        <v>367</v>
      </c>
      <c r="ND1" s="37">
        <v>368</v>
      </c>
      <c r="NE1" s="37">
        <v>369</v>
      </c>
      <c r="NF1" s="37">
        <v>370</v>
      </c>
      <c r="NG1" s="37">
        <v>371</v>
      </c>
      <c r="NH1" s="38">
        <v>372</v>
      </c>
      <c r="NI1" s="38">
        <v>373</v>
      </c>
      <c r="NJ1" s="38">
        <v>374</v>
      </c>
      <c r="NK1" s="38">
        <v>375</v>
      </c>
      <c r="NL1" s="38">
        <v>376</v>
      </c>
      <c r="NM1" s="38">
        <v>377</v>
      </c>
      <c r="NN1" s="38">
        <v>378</v>
      </c>
      <c r="NO1" s="38">
        <v>379</v>
      </c>
      <c r="NP1" s="38">
        <v>380</v>
      </c>
      <c r="NQ1" s="38">
        <v>381</v>
      </c>
      <c r="NR1" s="38">
        <v>382</v>
      </c>
      <c r="NS1" s="38">
        <v>383</v>
      </c>
      <c r="NT1" s="38">
        <v>384</v>
      </c>
      <c r="NU1" s="38">
        <v>385</v>
      </c>
      <c r="NV1" s="38">
        <v>386</v>
      </c>
      <c r="NW1" s="38">
        <v>387</v>
      </c>
      <c r="NX1" s="38">
        <v>388</v>
      </c>
      <c r="NY1" s="38">
        <v>389</v>
      </c>
      <c r="NZ1" s="38">
        <v>390</v>
      </c>
      <c r="OA1" s="38">
        <v>391</v>
      </c>
      <c r="OB1" s="38">
        <v>392</v>
      </c>
      <c r="OC1" s="38">
        <v>393</v>
      </c>
      <c r="OD1" s="38">
        <v>394</v>
      </c>
      <c r="OE1" s="38">
        <v>395</v>
      </c>
      <c r="OF1" s="38">
        <v>396</v>
      </c>
      <c r="OG1" s="38">
        <v>397</v>
      </c>
      <c r="OH1" s="38">
        <v>398</v>
      </c>
      <c r="OI1" s="38">
        <v>399</v>
      </c>
      <c r="OJ1" s="38">
        <v>400</v>
      </c>
      <c r="OK1" s="38">
        <v>401</v>
      </c>
      <c r="OL1" s="38">
        <v>402</v>
      </c>
      <c r="OM1" s="38">
        <v>403</v>
      </c>
      <c r="ON1" s="38">
        <v>404</v>
      </c>
      <c r="OO1" s="38">
        <v>405</v>
      </c>
      <c r="OP1" s="38">
        <v>406</v>
      </c>
      <c r="OQ1" s="38">
        <v>407</v>
      </c>
      <c r="OR1" s="38">
        <v>408</v>
      </c>
      <c r="OS1" s="38">
        <v>409</v>
      </c>
      <c r="OT1" s="38">
        <v>410</v>
      </c>
      <c r="OU1" s="38">
        <v>411</v>
      </c>
      <c r="OV1" s="38">
        <v>412</v>
      </c>
      <c r="OW1" s="38">
        <v>413</v>
      </c>
      <c r="OX1" s="38">
        <v>414</v>
      </c>
      <c r="OY1" s="38">
        <v>415</v>
      </c>
      <c r="OZ1" s="38">
        <v>416</v>
      </c>
      <c r="PA1" s="38">
        <v>417</v>
      </c>
      <c r="PB1" s="38">
        <v>418</v>
      </c>
      <c r="PC1" s="38">
        <v>419</v>
      </c>
      <c r="PD1" s="38">
        <v>420</v>
      </c>
      <c r="PE1" s="38">
        <v>421</v>
      </c>
      <c r="PF1" s="38">
        <v>422</v>
      </c>
      <c r="PG1" s="38">
        <v>423</v>
      </c>
      <c r="PH1" s="38">
        <v>424</v>
      </c>
      <c r="PI1" s="38">
        <v>425</v>
      </c>
      <c r="PJ1" s="38">
        <v>426</v>
      </c>
      <c r="PK1" s="38">
        <v>427</v>
      </c>
      <c r="PL1" s="38">
        <v>428</v>
      </c>
      <c r="PM1" s="38">
        <v>429</v>
      </c>
      <c r="PN1" s="38">
        <v>430</v>
      </c>
      <c r="PO1" s="38">
        <v>431</v>
      </c>
      <c r="PP1" s="38">
        <v>432</v>
      </c>
      <c r="PQ1" s="38">
        <v>433</v>
      </c>
      <c r="PR1" s="38">
        <v>434</v>
      </c>
      <c r="PS1" s="38">
        <v>435</v>
      </c>
      <c r="PT1" s="38">
        <v>436</v>
      </c>
      <c r="PU1" s="38">
        <v>437</v>
      </c>
      <c r="PV1" s="38">
        <v>438</v>
      </c>
      <c r="PW1" s="38">
        <v>439</v>
      </c>
      <c r="PX1" s="38">
        <v>440</v>
      </c>
      <c r="PY1" s="38">
        <v>441</v>
      </c>
      <c r="PZ1" s="38">
        <v>442</v>
      </c>
      <c r="QA1" s="38">
        <v>443</v>
      </c>
      <c r="QB1" s="38">
        <v>444</v>
      </c>
      <c r="QC1" s="38">
        <v>445</v>
      </c>
      <c r="QD1" s="38">
        <v>446</v>
      </c>
      <c r="QE1" s="38">
        <v>447</v>
      </c>
      <c r="QF1" s="38">
        <v>448</v>
      </c>
      <c r="QG1" s="38">
        <v>449</v>
      </c>
      <c r="QH1" s="38">
        <v>450</v>
      </c>
      <c r="QI1" s="38">
        <v>451</v>
      </c>
      <c r="QJ1" s="38">
        <v>452</v>
      </c>
      <c r="QK1" s="38">
        <v>453</v>
      </c>
      <c r="QL1" s="38">
        <v>454</v>
      </c>
      <c r="QM1" s="38">
        <v>455</v>
      </c>
      <c r="QN1" s="38">
        <v>456</v>
      </c>
      <c r="QO1" s="38">
        <v>457</v>
      </c>
      <c r="QP1" s="38">
        <v>458</v>
      </c>
      <c r="QQ1" s="38">
        <v>459</v>
      </c>
      <c r="QR1" s="38">
        <v>460</v>
      </c>
      <c r="QS1" s="38">
        <v>461</v>
      </c>
    </row>
    <row r="2" spans="1:46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13" t="s">
        <v>38</v>
      </c>
      <c r="AM2" s="13" t="s">
        <v>39</v>
      </c>
      <c r="AN2" s="13" t="s">
        <v>40</v>
      </c>
      <c r="AO2" s="13" t="s">
        <v>41</v>
      </c>
      <c r="AP2" s="13" t="s">
        <v>42</v>
      </c>
      <c r="AQ2" s="33" t="s">
        <v>43</v>
      </c>
      <c r="AR2" s="33" t="s">
        <v>44</v>
      </c>
      <c r="AS2" s="33" t="s">
        <v>45</v>
      </c>
      <c r="AT2" s="33" t="s">
        <v>46</v>
      </c>
      <c r="AU2" s="33" t="s">
        <v>47</v>
      </c>
      <c r="AV2" s="33" t="s">
        <v>48</v>
      </c>
      <c r="AW2" s="33" t="s">
        <v>49</v>
      </c>
      <c r="AX2" s="33" t="s">
        <v>50</v>
      </c>
      <c r="AY2" s="33" t="s">
        <v>51</v>
      </c>
      <c r="AZ2" s="33" t="s">
        <v>52</v>
      </c>
      <c r="BA2" s="33" t="s">
        <v>53</v>
      </c>
      <c r="BB2" s="33" t="s">
        <v>54</v>
      </c>
      <c r="BC2" s="33" t="s">
        <v>55</v>
      </c>
      <c r="BD2" s="33" t="s">
        <v>56</v>
      </c>
      <c r="BE2" s="33" t="s">
        <v>57</v>
      </c>
      <c r="BF2" s="33" t="s">
        <v>58</v>
      </c>
      <c r="BG2" s="33" t="s">
        <v>59</v>
      </c>
      <c r="BH2" s="33" t="s">
        <v>60</v>
      </c>
      <c r="BI2" s="33" t="s">
        <v>61</v>
      </c>
      <c r="BJ2" s="33" t="s">
        <v>62</v>
      </c>
      <c r="BK2" s="33" t="s">
        <v>63</v>
      </c>
      <c r="BL2" s="33" t="s">
        <v>64</v>
      </c>
      <c r="BM2" s="33" t="s">
        <v>65</v>
      </c>
      <c r="BN2" s="33" t="s">
        <v>66</v>
      </c>
      <c r="BO2" s="33" t="s">
        <v>67</v>
      </c>
      <c r="BP2" s="33" t="s">
        <v>68</v>
      </c>
      <c r="BQ2" s="33" t="s">
        <v>69</v>
      </c>
      <c r="BR2" s="33" t="s">
        <v>70</v>
      </c>
      <c r="BS2" s="33" t="s">
        <v>71</v>
      </c>
      <c r="BT2" s="33" t="s">
        <v>72</v>
      </c>
      <c r="BU2" s="33" t="s">
        <v>73</v>
      </c>
      <c r="BV2" s="33" t="s">
        <v>74</v>
      </c>
      <c r="BW2" s="33" t="s">
        <v>75</v>
      </c>
      <c r="BX2" s="33" t="s">
        <v>76</v>
      </c>
      <c r="BY2" s="33" t="s">
        <v>77</v>
      </c>
      <c r="BZ2" s="33" t="s">
        <v>78</v>
      </c>
      <c r="CA2" s="33" t="s">
        <v>79</v>
      </c>
      <c r="CB2" s="33" t="s">
        <v>80</v>
      </c>
      <c r="CC2" s="33" t="s">
        <v>81</v>
      </c>
      <c r="CD2" s="33" t="s">
        <v>82</v>
      </c>
      <c r="CE2" s="34" t="s">
        <v>83</v>
      </c>
      <c r="CF2" s="34" t="s">
        <v>84</v>
      </c>
      <c r="CG2" s="34" t="s">
        <v>85</v>
      </c>
      <c r="CH2" s="34" t="s">
        <v>86</v>
      </c>
      <c r="CI2" s="34" t="s">
        <v>87</v>
      </c>
      <c r="CJ2" s="34" t="s">
        <v>88</v>
      </c>
      <c r="CK2" s="34" t="s">
        <v>89</v>
      </c>
      <c r="CL2" s="34" t="s">
        <v>90</v>
      </c>
      <c r="CM2" s="34" t="s">
        <v>91</v>
      </c>
      <c r="CN2" s="34" t="s">
        <v>92</v>
      </c>
      <c r="CO2" s="34" t="s">
        <v>93</v>
      </c>
      <c r="CP2" s="34" t="s">
        <v>94</v>
      </c>
      <c r="CQ2" s="34" t="s">
        <v>95</v>
      </c>
      <c r="CR2" s="34" t="s">
        <v>96</v>
      </c>
      <c r="CS2" s="34" t="s">
        <v>97</v>
      </c>
      <c r="CT2" s="34" t="s">
        <v>98</v>
      </c>
      <c r="CU2" s="34" t="s">
        <v>99</v>
      </c>
      <c r="CV2" s="34" t="s">
        <v>100</v>
      </c>
      <c r="CW2" s="34" t="s">
        <v>101</v>
      </c>
      <c r="CX2" s="34" t="s">
        <v>102</v>
      </c>
      <c r="CY2" s="34" t="s">
        <v>103</v>
      </c>
      <c r="CZ2" s="34" t="s">
        <v>104</v>
      </c>
      <c r="DA2" s="34" t="s">
        <v>105</v>
      </c>
      <c r="DB2" s="34" t="s">
        <v>106</v>
      </c>
      <c r="DC2" s="34" t="s">
        <v>107</v>
      </c>
      <c r="DD2" s="34" t="s">
        <v>108</v>
      </c>
      <c r="DE2" s="34" t="s">
        <v>109</v>
      </c>
      <c r="DF2" s="34" t="s">
        <v>110</v>
      </c>
      <c r="DG2" s="34" t="s">
        <v>111</v>
      </c>
      <c r="DH2" s="34" t="s">
        <v>112</v>
      </c>
      <c r="DI2" s="34" t="s">
        <v>113</v>
      </c>
      <c r="DJ2" s="34" t="s">
        <v>114</v>
      </c>
      <c r="DK2" s="34" t="s">
        <v>115</v>
      </c>
      <c r="DL2" s="34" t="s">
        <v>116</v>
      </c>
      <c r="DM2" s="13" t="s">
        <v>117</v>
      </c>
      <c r="DN2" s="13" t="s">
        <v>118</v>
      </c>
      <c r="DO2" s="13" t="s">
        <v>119</v>
      </c>
      <c r="DP2" s="13" t="s">
        <v>120</v>
      </c>
      <c r="DQ2" s="13" t="s">
        <v>121</v>
      </c>
      <c r="DR2" s="13" t="s">
        <v>122</v>
      </c>
      <c r="DS2" s="13" t="s">
        <v>123</v>
      </c>
      <c r="DT2" s="13" t="s">
        <v>124</v>
      </c>
      <c r="DU2" s="13" t="s">
        <v>125</v>
      </c>
      <c r="DV2" s="13" t="s">
        <v>126</v>
      </c>
      <c r="DW2" s="13" t="s">
        <v>127</v>
      </c>
      <c r="DX2" s="13" t="s">
        <v>128</v>
      </c>
      <c r="DY2" s="13" t="s">
        <v>129</v>
      </c>
      <c r="DZ2" s="13" t="s">
        <v>130</v>
      </c>
      <c r="EA2" s="35" t="s">
        <v>131</v>
      </c>
      <c r="EB2" s="35" t="s">
        <v>132</v>
      </c>
      <c r="EC2" s="35" t="s">
        <v>133</v>
      </c>
      <c r="ED2" s="35" t="s">
        <v>134</v>
      </c>
      <c r="EE2" s="35" t="s">
        <v>135</v>
      </c>
      <c r="EF2" s="35" t="s">
        <v>136</v>
      </c>
      <c r="EG2" s="35" t="s">
        <v>137</v>
      </c>
      <c r="EH2" s="35" t="s">
        <v>138</v>
      </c>
      <c r="EI2" s="35" t="s">
        <v>139</v>
      </c>
      <c r="EJ2" s="35" t="s">
        <v>140</v>
      </c>
      <c r="EK2" s="35" t="s">
        <v>141</v>
      </c>
      <c r="EL2" s="35" t="s">
        <v>142</v>
      </c>
      <c r="EM2" s="35" t="s">
        <v>143</v>
      </c>
      <c r="EN2" s="35" t="s">
        <v>144</v>
      </c>
      <c r="EO2" s="35" t="s">
        <v>145</v>
      </c>
      <c r="EP2" s="35" t="s">
        <v>146</v>
      </c>
      <c r="EQ2" s="35" t="s">
        <v>147</v>
      </c>
      <c r="ER2" s="35" t="s">
        <v>148</v>
      </c>
      <c r="ES2" s="35" t="s">
        <v>149</v>
      </c>
      <c r="ET2" s="35" t="s">
        <v>150</v>
      </c>
      <c r="EU2" s="35" t="s">
        <v>151</v>
      </c>
      <c r="EV2" s="35" t="s">
        <v>152</v>
      </c>
      <c r="EW2" s="35" t="s">
        <v>153</v>
      </c>
      <c r="EX2" s="35" t="s">
        <v>154</v>
      </c>
      <c r="EY2" s="35" t="s">
        <v>155</v>
      </c>
      <c r="EZ2" s="35" t="s">
        <v>156</v>
      </c>
      <c r="FA2" s="35" t="s">
        <v>157</v>
      </c>
      <c r="FB2" s="35" t="s">
        <v>158</v>
      </c>
      <c r="FC2" s="35" t="s">
        <v>159</v>
      </c>
      <c r="FD2" s="35" t="s">
        <v>160</v>
      </c>
      <c r="FE2" s="35" t="s">
        <v>161</v>
      </c>
      <c r="FF2" s="35" t="s">
        <v>162</v>
      </c>
      <c r="FG2" s="35" t="s">
        <v>163</v>
      </c>
      <c r="FH2" s="35" t="s">
        <v>164</v>
      </c>
      <c r="FI2" s="35" t="s">
        <v>165</v>
      </c>
      <c r="FJ2" s="35" t="s">
        <v>166</v>
      </c>
      <c r="FK2" s="36" t="s">
        <v>167</v>
      </c>
      <c r="FL2" s="36" t="s">
        <v>168</v>
      </c>
      <c r="FM2" s="36" t="s">
        <v>169</v>
      </c>
      <c r="FN2" s="36" t="s">
        <v>170</v>
      </c>
      <c r="FO2" s="36" t="s">
        <v>171</v>
      </c>
      <c r="FP2" s="36" t="s">
        <v>172</v>
      </c>
      <c r="FQ2" s="36" t="s">
        <v>173</v>
      </c>
      <c r="FR2" s="36" t="s">
        <v>174</v>
      </c>
      <c r="FS2" s="36" t="s">
        <v>175</v>
      </c>
      <c r="FT2" s="36" t="s">
        <v>176</v>
      </c>
      <c r="FU2" s="36" t="s">
        <v>177</v>
      </c>
      <c r="FV2" s="36" t="s">
        <v>178</v>
      </c>
      <c r="FW2" s="36" t="s">
        <v>179</v>
      </c>
      <c r="FX2" s="36" t="s">
        <v>180</v>
      </c>
      <c r="FY2" s="36" t="s">
        <v>181</v>
      </c>
      <c r="FZ2" s="36" t="s">
        <v>182</v>
      </c>
      <c r="GA2" s="36" t="s">
        <v>183</v>
      </c>
      <c r="GB2" s="36" t="s">
        <v>184</v>
      </c>
      <c r="GC2" s="36" t="s">
        <v>185</v>
      </c>
      <c r="GD2" s="36" t="s">
        <v>186</v>
      </c>
      <c r="GE2" s="36" t="s">
        <v>187</v>
      </c>
      <c r="GF2" s="36" t="s">
        <v>188</v>
      </c>
      <c r="GG2" s="36" t="s">
        <v>189</v>
      </c>
      <c r="GH2" s="36" t="s">
        <v>190</v>
      </c>
      <c r="GI2" s="36" t="s">
        <v>191</v>
      </c>
      <c r="GJ2" s="36" t="s">
        <v>192</v>
      </c>
      <c r="GK2" s="36" t="s">
        <v>193</v>
      </c>
      <c r="GL2" s="36" t="s">
        <v>194</v>
      </c>
      <c r="GM2" s="36" t="s">
        <v>195</v>
      </c>
      <c r="GN2" s="36" t="s">
        <v>196</v>
      </c>
      <c r="GO2" s="36" t="s">
        <v>197</v>
      </c>
      <c r="GP2" s="36" t="s">
        <v>198</v>
      </c>
      <c r="GQ2" s="36" t="s">
        <v>199</v>
      </c>
      <c r="GR2" s="36" t="s">
        <v>200</v>
      </c>
      <c r="GS2" s="36" t="s">
        <v>201</v>
      </c>
      <c r="GT2" s="36" t="s">
        <v>202</v>
      </c>
      <c r="GU2" s="36" t="s">
        <v>203</v>
      </c>
      <c r="GV2" s="36" t="s">
        <v>204</v>
      </c>
      <c r="GW2" s="36" t="s">
        <v>205</v>
      </c>
      <c r="GX2" s="36" t="s">
        <v>206</v>
      </c>
      <c r="GY2" s="36" t="s">
        <v>207</v>
      </c>
      <c r="GZ2" s="36" t="s">
        <v>208</v>
      </c>
      <c r="HA2" s="36" t="s">
        <v>209</v>
      </c>
      <c r="HB2" s="36" t="s">
        <v>210</v>
      </c>
      <c r="HC2" s="36" t="s">
        <v>211</v>
      </c>
      <c r="HD2" s="36" t="s">
        <v>212</v>
      </c>
      <c r="HE2" s="36" t="s">
        <v>213</v>
      </c>
      <c r="HF2" s="36" t="s">
        <v>214</v>
      </c>
      <c r="HG2" s="36" t="s">
        <v>215</v>
      </c>
      <c r="HH2" s="36" t="s">
        <v>216</v>
      </c>
      <c r="HI2" s="36" t="s">
        <v>217</v>
      </c>
      <c r="HJ2" s="36" t="s">
        <v>218</v>
      </c>
      <c r="HK2" s="36" t="s">
        <v>219</v>
      </c>
      <c r="HL2" s="36" t="s">
        <v>220</v>
      </c>
      <c r="HM2" s="36" t="s">
        <v>221</v>
      </c>
      <c r="HN2" s="36" t="s">
        <v>222</v>
      </c>
      <c r="HO2" s="36" t="s">
        <v>223</v>
      </c>
      <c r="HP2" s="36" t="s">
        <v>224</v>
      </c>
      <c r="HQ2" s="36" t="s">
        <v>225</v>
      </c>
      <c r="HR2" s="36" t="s">
        <v>226</v>
      </c>
      <c r="HS2" s="36" t="s">
        <v>227</v>
      </c>
      <c r="HT2" s="36" t="s">
        <v>228</v>
      </c>
      <c r="HU2" s="36" t="s">
        <v>229</v>
      </c>
      <c r="HV2" s="36" t="s">
        <v>230</v>
      </c>
      <c r="HW2" s="36" t="s">
        <v>231</v>
      </c>
      <c r="HX2" s="36" t="s">
        <v>232</v>
      </c>
      <c r="HY2" s="36" t="s">
        <v>233</v>
      </c>
      <c r="HZ2" s="36" t="s">
        <v>234</v>
      </c>
      <c r="IA2" s="36" t="s">
        <v>235</v>
      </c>
      <c r="IB2" s="36" t="s">
        <v>236</v>
      </c>
      <c r="IC2" s="36" t="s">
        <v>237</v>
      </c>
      <c r="ID2" s="36" t="s">
        <v>238</v>
      </c>
      <c r="IE2" s="36" t="s">
        <v>239</v>
      </c>
      <c r="IF2" s="36" t="s">
        <v>240</v>
      </c>
      <c r="IG2" s="36" t="s">
        <v>241</v>
      </c>
      <c r="IH2" s="36" t="s">
        <v>242</v>
      </c>
      <c r="II2" s="36" t="s">
        <v>243</v>
      </c>
      <c r="IJ2" s="36" t="s">
        <v>244</v>
      </c>
      <c r="IK2" s="36" t="s">
        <v>245</v>
      </c>
      <c r="IL2" s="36" t="s">
        <v>246</v>
      </c>
      <c r="IM2" s="36" t="s">
        <v>247</v>
      </c>
      <c r="IN2" s="36" t="s">
        <v>248</v>
      </c>
      <c r="IO2" s="36" t="s">
        <v>249</v>
      </c>
      <c r="IP2" s="36" t="s">
        <v>250</v>
      </c>
      <c r="IQ2" s="36" t="s">
        <v>251</v>
      </c>
      <c r="IR2" s="36" t="s">
        <v>252</v>
      </c>
      <c r="IS2" s="36" t="s">
        <v>253</v>
      </c>
      <c r="IT2" s="36" t="s">
        <v>254</v>
      </c>
      <c r="IU2" s="36" t="s">
        <v>255</v>
      </c>
      <c r="IV2" s="36" t="s">
        <v>256</v>
      </c>
      <c r="IW2" s="36" t="s">
        <v>257</v>
      </c>
      <c r="IX2" s="36" t="s">
        <v>258</v>
      </c>
      <c r="IY2" s="36" t="s">
        <v>259</v>
      </c>
      <c r="IZ2" s="36" t="s">
        <v>260</v>
      </c>
      <c r="JA2" s="36" t="s">
        <v>261</v>
      </c>
      <c r="JB2" s="36" t="s">
        <v>262</v>
      </c>
      <c r="JC2" s="36" t="s">
        <v>263</v>
      </c>
      <c r="JD2" s="36" t="s">
        <v>264</v>
      </c>
      <c r="JE2" s="36" t="s">
        <v>265</v>
      </c>
      <c r="JF2" s="36" t="s">
        <v>266</v>
      </c>
      <c r="JG2" s="36" t="s">
        <v>267</v>
      </c>
      <c r="JH2" s="36" t="s">
        <v>268</v>
      </c>
      <c r="JI2" s="36" t="s">
        <v>269</v>
      </c>
      <c r="JJ2" s="36" t="s">
        <v>270</v>
      </c>
      <c r="JK2" s="36" t="s">
        <v>271</v>
      </c>
      <c r="JL2" s="36" t="s">
        <v>272</v>
      </c>
      <c r="JM2" s="36" t="s">
        <v>273</v>
      </c>
      <c r="JN2" s="36" t="s">
        <v>274</v>
      </c>
      <c r="JO2" s="36" t="s">
        <v>275</v>
      </c>
      <c r="JP2" s="36" t="s">
        <v>276</v>
      </c>
      <c r="JQ2" s="36" t="s">
        <v>277</v>
      </c>
      <c r="JR2" s="36" t="s">
        <v>278</v>
      </c>
      <c r="JS2" s="36" t="s">
        <v>279</v>
      </c>
      <c r="JT2" s="36" t="s">
        <v>280</v>
      </c>
      <c r="JU2" s="36" t="s">
        <v>281</v>
      </c>
      <c r="JV2" s="36" t="s">
        <v>282</v>
      </c>
      <c r="JW2" s="36" t="s">
        <v>283</v>
      </c>
      <c r="JX2" s="36" t="s">
        <v>284</v>
      </c>
      <c r="JY2" s="36" t="s">
        <v>285</v>
      </c>
      <c r="JZ2" s="36" t="s">
        <v>286</v>
      </c>
      <c r="KA2" s="36" t="s">
        <v>287</v>
      </c>
      <c r="KB2" s="36" t="s">
        <v>288</v>
      </c>
      <c r="KC2" s="36" t="s">
        <v>289</v>
      </c>
      <c r="KD2" s="36" t="s">
        <v>290</v>
      </c>
      <c r="KE2" s="36" t="s">
        <v>291</v>
      </c>
      <c r="KF2" s="36" t="s">
        <v>292</v>
      </c>
      <c r="KG2" s="36" t="s">
        <v>293</v>
      </c>
      <c r="KH2" s="36" t="s">
        <v>294</v>
      </c>
      <c r="KI2" s="36" t="s">
        <v>295</v>
      </c>
      <c r="KJ2" s="36" t="s">
        <v>296</v>
      </c>
      <c r="KK2" s="36" t="s">
        <v>297</v>
      </c>
      <c r="KL2" s="36" t="s">
        <v>298</v>
      </c>
      <c r="KM2" s="36" t="s">
        <v>299</v>
      </c>
      <c r="KN2" s="36" t="s">
        <v>300</v>
      </c>
      <c r="KO2" s="36" t="s">
        <v>301</v>
      </c>
      <c r="KP2" s="36" t="s">
        <v>302</v>
      </c>
      <c r="KQ2" s="36" t="s">
        <v>303</v>
      </c>
      <c r="KR2" s="36" t="s">
        <v>304</v>
      </c>
      <c r="KS2" s="36" t="s">
        <v>305</v>
      </c>
      <c r="KT2" s="36" t="s">
        <v>306</v>
      </c>
      <c r="KU2" s="36" t="s">
        <v>307</v>
      </c>
      <c r="KV2" s="36" t="s">
        <v>308</v>
      </c>
      <c r="KW2" s="36" t="s">
        <v>309</v>
      </c>
      <c r="KX2" s="36" t="s">
        <v>310</v>
      </c>
      <c r="KY2" s="36" t="s">
        <v>311</v>
      </c>
      <c r="KZ2" s="36" t="s">
        <v>312</v>
      </c>
      <c r="LA2" s="36" t="s">
        <v>313</v>
      </c>
      <c r="LB2" s="36" t="s">
        <v>314</v>
      </c>
      <c r="LC2" s="36" t="s">
        <v>315</v>
      </c>
      <c r="LD2" s="36" t="s">
        <v>316</v>
      </c>
      <c r="LE2" s="36" t="s">
        <v>317</v>
      </c>
      <c r="LF2" s="36" t="s">
        <v>318</v>
      </c>
      <c r="LG2" s="37" t="s">
        <v>319</v>
      </c>
      <c r="LH2" s="37" t="s">
        <v>320</v>
      </c>
      <c r="LI2" s="37" t="s">
        <v>321</v>
      </c>
      <c r="LJ2" s="37" t="s">
        <v>322</v>
      </c>
      <c r="LK2" s="37" t="s">
        <v>323</v>
      </c>
      <c r="LL2" s="37" t="s">
        <v>324</v>
      </c>
      <c r="LM2" s="37" t="s">
        <v>325</v>
      </c>
      <c r="LN2" s="37" t="s">
        <v>326</v>
      </c>
      <c r="LO2" s="37" t="s">
        <v>327</v>
      </c>
      <c r="LP2" s="37" t="s">
        <v>328</v>
      </c>
      <c r="LQ2" s="37" t="s">
        <v>329</v>
      </c>
      <c r="LR2" s="37" t="s">
        <v>330</v>
      </c>
      <c r="LS2" s="37" t="s">
        <v>331</v>
      </c>
      <c r="LT2" s="37" t="s">
        <v>332</v>
      </c>
      <c r="LU2" s="37" t="s">
        <v>333</v>
      </c>
      <c r="LV2" s="37" t="s">
        <v>334</v>
      </c>
      <c r="LW2" s="37" t="s">
        <v>335</v>
      </c>
      <c r="LX2" s="37" t="s">
        <v>336</v>
      </c>
      <c r="LY2" s="37" t="s">
        <v>337</v>
      </c>
      <c r="LZ2" s="37" t="s">
        <v>338</v>
      </c>
      <c r="MA2" s="37" t="s">
        <v>339</v>
      </c>
      <c r="MB2" s="37" t="s">
        <v>340</v>
      </c>
      <c r="MC2" s="37" t="s">
        <v>341</v>
      </c>
      <c r="MD2" s="37" t="s">
        <v>342</v>
      </c>
      <c r="ME2" s="37" t="s">
        <v>343</v>
      </c>
      <c r="MF2" s="37" t="s">
        <v>344</v>
      </c>
      <c r="MG2" s="37" t="s">
        <v>345</v>
      </c>
      <c r="MH2" s="37" t="s">
        <v>346</v>
      </c>
      <c r="MI2" s="37" t="s">
        <v>347</v>
      </c>
      <c r="MJ2" s="37" t="s">
        <v>348</v>
      </c>
      <c r="MK2" s="37" t="s">
        <v>349</v>
      </c>
      <c r="ML2" s="37" t="s">
        <v>350</v>
      </c>
      <c r="MM2" s="37" t="s">
        <v>351</v>
      </c>
      <c r="MN2" s="37" t="s">
        <v>352</v>
      </c>
      <c r="MO2" s="37" t="s">
        <v>353</v>
      </c>
      <c r="MP2" s="37" t="s">
        <v>354</v>
      </c>
      <c r="MQ2" s="37" t="s">
        <v>355</v>
      </c>
      <c r="MR2" s="37" t="s">
        <v>356</v>
      </c>
      <c r="MS2" s="37" t="s">
        <v>357</v>
      </c>
      <c r="MT2" s="37" t="s">
        <v>358</v>
      </c>
      <c r="MU2" s="37" t="s">
        <v>359</v>
      </c>
      <c r="MV2" s="37" t="s">
        <v>360</v>
      </c>
      <c r="MW2" s="37" t="s">
        <v>361</v>
      </c>
      <c r="MX2" s="37" t="s">
        <v>362</v>
      </c>
      <c r="MY2" s="37" t="s">
        <v>363</v>
      </c>
      <c r="MZ2" s="37" t="s">
        <v>364</v>
      </c>
      <c r="NA2" s="37" t="s">
        <v>365</v>
      </c>
      <c r="NB2" s="37" t="s">
        <v>366</v>
      </c>
      <c r="NC2" s="37" t="s">
        <v>367</v>
      </c>
      <c r="ND2" s="37" t="s">
        <v>368</v>
      </c>
      <c r="NE2" s="37" t="s">
        <v>369</v>
      </c>
      <c r="NF2" s="37" t="s">
        <v>370</v>
      </c>
      <c r="NG2" s="37" t="s">
        <v>371</v>
      </c>
      <c r="NH2" s="38" t="s">
        <v>372</v>
      </c>
      <c r="NI2" s="38" t="s">
        <v>373</v>
      </c>
      <c r="NJ2" s="38" t="s">
        <v>374</v>
      </c>
      <c r="NK2" s="38" t="s">
        <v>375</v>
      </c>
      <c r="NL2" s="38" t="s">
        <v>376</v>
      </c>
      <c r="NM2" s="38" t="s">
        <v>377</v>
      </c>
      <c r="NN2" s="38" t="s">
        <v>378</v>
      </c>
      <c r="NO2" s="38" t="s">
        <v>379</v>
      </c>
      <c r="NP2" s="38" t="s">
        <v>380</v>
      </c>
      <c r="NQ2" s="38" t="s">
        <v>381</v>
      </c>
      <c r="NR2" s="38" t="s">
        <v>382</v>
      </c>
      <c r="NS2" s="38" t="s">
        <v>383</v>
      </c>
      <c r="NT2" s="38" t="s">
        <v>384</v>
      </c>
      <c r="NU2" s="38" t="s">
        <v>385</v>
      </c>
      <c r="NV2" s="38" t="s">
        <v>386</v>
      </c>
      <c r="NW2" s="38" t="s">
        <v>387</v>
      </c>
      <c r="NX2" s="38" t="s">
        <v>388</v>
      </c>
      <c r="NY2" s="38" t="s">
        <v>389</v>
      </c>
      <c r="NZ2" s="38" t="s">
        <v>390</v>
      </c>
      <c r="OA2" s="38" t="s">
        <v>391</v>
      </c>
      <c r="OB2" s="38" t="s">
        <v>392</v>
      </c>
      <c r="OC2" s="38" t="s">
        <v>393</v>
      </c>
      <c r="OD2" s="38" t="s">
        <v>394</v>
      </c>
      <c r="OE2" s="38" t="s">
        <v>395</v>
      </c>
      <c r="OF2" s="38" t="s">
        <v>396</v>
      </c>
      <c r="OG2" s="38" t="s">
        <v>397</v>
      </c>
      <c r="OH2" s="38" t="s">
        <v>398</v>
      </c>
      <c r="OI2" s="38" t="s">
        <v>399</v>
      </c>
      <c r="OJ2" s="38" t="s">
        <v>400</v>
      </c>
      <c r="OK2" s="38" t="s">
        <v>401</v>
      </c>
      <c r="OL2" s="38" t="s">
        <v>402</v>
      </c>
      <c r="OM2" s="38" t="s">
        <v>403</v>
      </c>
      <c r="ON2" s="38" t="s">
        <v>404</v>
      </c>
      <c r="OO2" s="38" t="s">
        <v>405</v>
      </c>
      <c r="OP2" s="38" t="s">
        <v>406</v>
      </c>
      <c r="OQ2" s="38" t="s">
        <v>407</v>
      </c>
      <c r="OR2" s="38" t="s">
        <v>408</v>
      </c>
      <c r="OS2" s="38" t="s">
        <v>409</v>
      </c>
      <c r="OT2" s="38" t="s">
        <v>410</v>
      </c>
      <c r="OU2" s="38" t="s">
        <v>411</v>
      </c>
      <c r="OV2" s="38" t="s">
        <v>412</v>
      </c>
      <c r="OW2" s="38" t="s">
        <v>413</v>
      </c>
      <c r="OX2" s="38" t="s">
        <v>414</v>
      </c>
      <c r="OY2" s="38" t="s">
        <v>415</v>
      </c>
      <c r="OZ2" s="38" t="s">
        <v>416</v>
      </c>
      <c r="PA2" s="38" t="s">
        <v>417</v>
      </c>
      <c r="PB2" s="38" t="s">
        <v>418</v>
      </c>
      <c r="PC2" s="38" t="s">
        <v>419</v>
      </c>
      <c r="PD2" s="38" t="s">
        <v>420</v>
      </c>
      <c r="PE2" s="38" t="s">
        <v>421</v>
      </c>
      <c r="PF2" s="38" t="s">
        <v>422</v>
      </c>
      <c r="PG2" s="38" t="s">
        <v>423</v>
      </c>
      <c r="PH2" s="38" t="s">
        <v>424</v>
      </c>
      <c r="PI2" s="38" t="s">
        <v>425</v>
      </c>
      <c r="PJ2" s="38" t="s">
        <v>426</v>
      </c>
      <c r="PK2" s="38" t="s">
        <v>427</v>
      </c>
      <c r="PL2" s="38" t="s">
        <v>428</v>
      </c>
      <c r="PM2" s="38" t="s">
        <v>429</v>
      </c>
      <c r="PN2" s="38" t="s">
        <v>430</v>
      </c>
      <c r="PO2" s="38" t="s">
        <v>431</v>
      </c>
      <c r="PP2" s="38" t="s">
        <v>432</v>
      </c>
      <c r="PQ2" s="38" t="s">
        <v>433</v>
      </c>
      <c r="PR2" s="38" t="s">
        <v>434</v>
      </c>
      <c r="PS2" s="38" t="s">
        <v>435</v>
      </c>
      <c r="PT2" s="38" t="s">
        <v>436</v>
      </c>
      <c r="PU2" s="38" t="s">
        <v>437</v>
      </c>
      <c r="PV2" s="38" t="s">
        <v>438</v>
      </c>
      <c r="PW2" s="38" t="s">
        <v>439</v>
      </c>
      <c r="PX2" s="38" t="s">
        <v>440</v>
      </c>
      <c r="PY2" s="38" t="s">
        <v>441</v>
      </c>
      <c r="PZ2" s="38" t="s">
        <v>442</v>
      </c>
      <c r="QA2" s="38" t="s">
        <v>443</v>
      </c>
      <c r="QB2" s="38" t="s">
        <v>444</v>
      </c>
      <c r="QC2" s="38" t="s">
        <v>445</v>
      </c>
      <c r="QD2" s="38" t="s">
        <v>446</v>
      </c>
      <c r="QE2" s="38" t="s">
        <v>447</v>
      </c>
      <c r="QF2" s="38" t="s">
        <v>448</v>
      </c>
      <c r="QG2" s="38" t="s">
        <v>449</v>
      </c>
      <c r="QH2" s="38" t="s">
        <v>450</v>
      </c>
      <c r="QI2" s="38" t="s">
        <v>451</v>
      </c>
      <c r="QJ2" s="38" t="s">
        <v>452</v>
      </c>
      <c r="QK2" s="38" t="s">
        <v>453</v>
      </c>
      <c r="QL2" s="38" t="s">
        <v>454</v>
      </c>
      <c r="QM2" s="38" t="s">
        <v>455</v>
      </c>
      <c r="QN2" s="38" t="s">
        <v>456</v>
      </c>
      <c r="QO2" s="38" t="s">
        <v>457</v>
      </c>
      <c r="QP2" s="38" t="s">
        <v>458</v>
      </c>
      <c r="QQ2" s="38" t="s">
        <v>459</v>
      </c>
      <c r="QR2" s="38" t="s">
        <v>460</v>
      </c>
      <c r="QS2" s="38" t="s">
        <v>461</v>
      </c>
    </row>
    <row r="3" spans="1:461">
      <c r="A3" s="13" t="s">
        <v>462</v>
      </c>
      <c r="B3" s="13" t="s">
        <v>463</v>
      </c>
      <c r="C3" s="13" t="s">
        <v>463</v>
      </c>
      <c r="D3" s="13" t="s">
        <v>463</v>
      </c>
      <c r="E3" s="13" t="s">
        <v>463</v>
      </c>
      <c r="F3" s="13" t="s">
        <v>463</v>
      </c>
      <c r="G3" s="13" t="s">
        <v>463</v>
      </c>
      <c r="H3" s="13" t="s">
        <v>463</v>
      </c>
      <c r="I3" s="13" t="s">
        <v>463</v>
      </c>
      <c r="J3" s="13" t="s">
        <v>463</v>
      </c>
      <c r="K3" s="13" t="s">
        <v>463</v>
      </c>
      <c r="L3" s="13" t="s">
        <v>463</v>
      </c>
      <c r="M3" s="13" t="s">
        <v>463</v>
      </c>
      <c r="N3" s="13" t="s">
        <v>463</v>
      </c>
      <c r="O3" s="13" t="s">
        <v>463</v>
      </c>
      <c r="P3" s="13" t="s">
        <v>463</v>
      </c>
      <c r="Q3" s="13" t="s">
        <v>463</v>
      </c>
      <c r="R3" s="13" t="s">
        <v>463</v>
      </c>
      <c r="S3" s="13" t="s">
        <v>463</v>
      </c>
      <c r="T3" s="13" t="s">
        <v>463</v>
      </c>
      <c r="U3" s="13" t="s">
        <v>463</v>
      </c>
      <c r="V3" s="13" t="s">
        <v>464</v>
      </c>
      <c r="W3" s="13" t="s">
        <v>464</v>
      </c>
      <c r="X3" s="13" t="s">
        <v>465</v>
      </c>
      <c r="Y3" s="13" t="s">
        <v>463</v>
      </c>
      <c r="Z3" s="13" t="s">
        <v>463</v>
      </c>
      <c r="AA3" s="13" t="s">
        <v>466</v>
      </c>
      <c r="AB3" s="13" t="s">
        <v>463</v>
      </c>
      <c r="AC3" s="13" t="s">
        <v>463</v>
      </c>
      <c r="AD3" s="13" t="s">
        <v>463</v>
      </c>
      <c r="AE3" s="13" t="s">
        <v>463</v>
      </c>
      <c r="AF3" s="13" t="s">
        <v>463</v>
      </c>
      <c r="AG3" s="13" t="s">
        <v>465</v>
      </c>
      <c r="AH3" s="13" t="s">
        <v>465</v>
      </c>
      <c r="AI3" s="13" t="s">
        <v>463</v>
      </c>
      <c r="AJ3" s="13" t="s">
        <v>463</v>
      </c>
      <c r="AK3" s="13" t="s">
        <v>463</v>
      </c>
      <c r="AL3" s="13" t="s">
        <v>465</v>
      </c>
      <c r="AM3" s="13" t="s">
        <v>465</v>
      </c>
      <c r="AN3" s="13" t="s">
        <v>464</v>
      </c>
      <c r="AO3" s="13" t="s">
        <v>464</v>
      </c>
      <c r="AP3" s="13" t="s">
        <v>467</v>
      </c>
      <c r="AQ3" s="33" t="s">
        <v>463</v>
      </c>
      <c r="AR3" s="33" t="s">
        <v>463</v>
      </c>
      <c r="AS3" s="33" t="s">
        <v>463</v>
      </c>
      <c r="AT3" s="33" t="s">
        <v>463</v>
      </c>
      <c r="AU3" s="33" t="s">
        <v>463</v>
      </c>
      <c r="AV3" s="33" t="s">
        <v>466</v>
      </c>
      <c r="AW3" s="33" t="s">
        <v>463</v>
      </c>
      <c r="AX3" s="33" t="s">
        <v>463</v>
      </c>
      <c r="AY3" s="33" t="s">
        <v>465</v>
      </c>
      <c r="AZ3" s="33" t="s">
        <v>467</v>
      </c>
      <c r="BA3" s="33" t="s">
        <v>467</v>
      </c>
      <c r="BB3" s="33" t="s">
        <v>468</v>
      </c>
      <c r="BC3" s="33" t="s">
        <v>468</v>
      </c>
      <c r="BD3" s="33" t="s">
        <v>463</v>
      </c>
      <c r="BE3" s="33" t="s">
        <v>468</v>
      </c>
      <c r="BF3" s="33" t="s">
        <v>467</v>
      </c>
      <c r="BG3" s="33" t="s">
        <v>469</v>
      </c>
      <c r="BH3" s="33" t="s">
        <v>469</v>
      </c>
      <c r="BI3" s="33" t="s">
        <v>468</v>
      </c>
      <c r="BJ3" s="33" t="s">
        <v>468</v>
      </c>
      <c r="BK3" s="33" t="s">
        <v>470</v>
      </c>
      <c r="BL3" s="33" t="s">
        <v>470</v>
      </c>
      <c r="BM3" s="33" t="s">
        <v>471</v>
      </c>
      <c r="BN3" s="33" t="s">
        <v>471</v>
      </c>
      <c r="BO3" s="33" t="s">
        <v>463</v>
      </c>
      <c r="BP3" s="33" t="s">
        <v>468</v>
      </c>
      <c r="BQ3" s="33" t="s">
        <v>468</v>
      </c>
      <c r="BR3" s="33" t="s">
        <v>468</v>
      </c>
      <c r="BS3" s="33" t="s">
        <v>463</v>
      </c>
      <c r="BT3" s="33" t="s">
        <v>463</v>
      </c>
      <c r="BU3" s="33" t="s">
        <v>463</v>
      </c>
      <c r="BV3" s="33" t="s">
        <v>463</v>
      </c>
      <c r="BW3" s="33" t="s">
        <v>463</v>
      </c>
      <c r="BX3" s="33" t="s">
        <v>463</v>
      </c>
      <c r="BY3" s="33" t="s">
        <v>463</v>
      </c>
      <c r="BZ3" s="33" t="s">
        <v>463</v>
      </c>
      <c r="CA3" s="33" t="s">
        <v>463</v>
      </c>
      <c r="CB3" s="33" t="s">
        <v>463</v>
      </c>
      <c r="CC3" s="33" t="s">
        <v>468</v>
      </c>
      <c r="CD3" s="33" t="s">
        <v>468</v>
      </c>
      <c r="CE3" s="34" t="s">
        <v>463</v>
      </c>
      <c r="CF3" s="34" t="s">
        <v>463</v>
      </c>
      <c r="CG3" s="34" t="s">
        <v>463</v>
      </c>
      <c r="CH3" s="34" t="s">
        <v>463</v>
      </c>
      <c r="CI3" s="34" t="s">
        <v>463</v>
      </c>
      <c r="CJ3" s="34" t="s">
        <v>466</v>
      </c>
      <c r="CK3" s="34" t="s">
        <v>463</v>
      </c>
      <c r="CL3" s="34" t="s">
        <v>463</v>
      </c>
      <c r="CM3" s="34" t="s">
        <v>472</v>
      </c>
      <c r="CN3" s="34" t="s">
        <v>472</v>
      </c>
      <c r="CO3" s="34" t="s">
        <v>468</v>
      </c>
      <c r="CP3" s="34" t="s">
        <v>468</v>
      </c>
      <c r="CQ3" s="34" t="s">
        <v>468</v>
      </c>
      <c r="CR3" s="34" t="s">
        <v>468</v>
      </c>
      <c r="CS3" s="34" t="s">
        <v>468</v>
      </c>
      <c r="CT3" s="34" t="s">
        <v>468</v>
      </c>
      <c r="CU3" s="34" t="s">
        <v>468</v>
      </c>
      <c r="CV3" s="34" t="s">
        <v>468</v>
      </c>
      <c r="CW3" s="34" t="s">
        <v>468</v>
      </c>
      <c r="CX3" s="34" t="s">
        <v>468</v>
      </c>
      <c r="CY3" s="34" t="s">
        <v>468</v>
      </c>
      <c r="CZ3" s="34" t="s">
        <v>468</v>
      </c>
      <c r="DA3" s="34" t="s">
        <v>468</v>
      </c>
      <c r="DB3" s="34" t="s">
        <v>468</v>
      </c>
      <c r="DC3" s="34" t="s">
        <v>468</v>
      </c>
      <c r="DD3" s="34" t="s">
        <v>468</v>
      </c>
      <c r="DE3" s="34" t="s">
        <v>468</v>
      </c>
      <c r="DF3" s="34" t="s">
        <v>468</v>
      </c>
      <c r="DG3" s="34" t="s">
        <v>468</v>
      </c>
      <c r="DH3" s="34" t="s">
        <v>472</v>
      </c>
      <c r="DI3" s="34" t="s">
        <v>472</v>
      </c>
      <c r="DJ3" s="34" t="s">
        <v>472</v>
      </c>
      <c r="DK3" s="34" t="s">
        <v>472</v>
      </c>
      <c r="DL3" s="34" t="s">
        <v>463</v>
      </c>
      <c r="DM3" s="13" t="s">
        <v>463</v>
      </c>
      <c r="DN3" s="13" t="s">
        <v>463</v>
      </c>
      <c r="DO3" s="13" t="s">
        <v>465</v>
      </c>
      <c r="DP3" s="13" t="s">
        <v>473</v>
      </c>
      <c r="DQ3" s="13" t="s">
        <v>470</v>
      </c>
      <c r="DR3" s="13" t="s">
        <v>470</v>
      </c>
      <c r="DS3" s="13" t="s">
        <v>463</v>
      </c>
      <c r="DT3" s="13" t="s">
        <v>470</v>
      </c>
      <c r="DU3" s="13" t="s">
        <v>470</v>
      </c>
      <c r="DV3" s="13" t="s">
        <v>470</v>
      </c>
      <c r="DW3" s="13" t="s">
        <v>470</v>
      </c>
      <c r="DX3" s="13" t="s">
        <v>463</v>
      </c>
      <c r="DY3" s="13" t="s">
        <v>463</v>
      </c>
      <c r="DZ3" s="13" t="s">
        <v>470</v>
      </c>
      <c r="EA3" s="35" t="s">
        <v>463</v>
      </c>
      <c r="EB3" s="35" t="s">
        <v>463</v>
      </c>
      <c r="EC3" s="35" t="s">
        <v>463</v>
      </c>
      <c r="ED3" s="35" t="s">
        <v>463</v>
      </c>
      <c r="EE3" s="35" t="s">
        <v>463</v>
      </c>
      <c r="EF3" s="35" t="s">
        <v>466</v>
      </c>
      <c r="EG3" s="35" t="s">
        <v>463</v>
      </c>
      <c r="EH3" s="35" t="s">
        <v>463</v>
      </c>
      <c r="EI3" s="35" t="s">
        <v>465</v>
      </c>
      <c r="EJ3" s="35" t="s">
        <v>470</v>
      </c>
      <c r="EK3" s="35" t="s">
        <v>467</v>
      </c>
      <c r="EL3" s="35" t="s">
        <v>467</v>
      </c>
      <c r="EM3" s="35" t="s">
        <v>468</v>
      </c>
      <c r="EN3" s="35" t="s">
        <v>468</v>
      </c>
      <c r="EO3" s="35" t="s">
        <v>470</v>
      </c>
      <c r="EP3" s="35" t="s">
        <v>474</v>
      </c>
      <c r="EQ3" s="35" t="s">
        <v>474</v>
      </c>
      <c r="ER3" s="35" t="s">
        <v>475</v>
      </c>
      <c r="ES3" s="35" t="s">
        <v>475</v>
      </c>
      <c r="ET3" s="35" t="s">
        <v>475</v>
      </c>
      <c r="EU3" s="35" t="s">
        <v>475</v>
      </c>
      <c r="EV3" s="35" t="s">
        <v>476</v>
      </c>
      <c r="EW3" s="35" t="s">
        <v>476</v>
      </c>
      <c r="EX3" s="35" t="s">
        <v>477</v>
      </c>
      <c r="EY3" s="35" t="s">
        <v>470</v>
      </c>
      <c r="EZ3" s="35" t="s">
        <v>470</v>
      </c>
      <c r="FA3" s="35" t="s">
        <v>470</v>
      </c>
      <c r="FB3" s="35" t="s">
        <v>470</v>
      </c>
      <c r="FC3" s="35" t="s">
        <v>470</v>
      </c>
      <c r="FD3" s="35" t="s">
        <v>463</v>
      </c>
      <c r="FE3" s="35" t="s">
        <v>470</v>
      </c>
      <c r="FF3" s="35" t="s">
        <v>468</v>
      </c>
      <c r="FG3" s="35" t="s">
        <v>470</v>
      </c>
      <c r="FH3" s="35" t="s">
        <v>463</v>
      </c>
      <c r="FI3" s="35" t="s">
        <v>463</v>
      </c>
      <c r="FJ3" s="35" t="s">
        <v>463</v>
      </c>
      <c r="FK3" s="36" t="s">
        <v>463</v>
      </c>
      <c r="FL3" s="36" t="s">
        <v>463</v>
      </c>
      <c r="FM3" s="36" t="s">
        <v>463</v>
      </c>
      <c r="FN3" s="36" t="s">
        <v>463</v>
      </c>
      <c r="FO3" s="36" t="s">
        <v>463</v>
      </c>
      <c r="FP3" s="36" t="s">
        <v>466</v>
      </c>
      <c r="FQ3" s="36" t="s">
        <v>463</v>
      </c>
      <c r="FR3" s="36" t="s">
        <v>463</v>
      </c>
      <c r="FS3" s="36" t="s">
        <v>465</v>
      </c>
      <c r="FT3" s="36" t="s">
        <v>470</v>
      </c>
      <c r="FU3" s="36" t="s">
        <v>467</v>
      </c>
      <c r="FV3" s="36" t="s">
        <v>467</v>
      </c>
      <c r="FW3" s="36" t="s">
        <v>468</v>
      </c>
      <c r="FX3" s="36" t="s">
        <v>468</v>
      </c>
      <c r="FY3" s="36" t="s">
        <v>463</v>
      </c>
      <c r="FZ3" s="36" t="s">
        <v>474</v>
      </c>
      <c r="GA3" s="36" t="s">
        <v>474</v>
      </c>
      <c r="GB3" s="36" t="s">
        <v>463</v>
      </c>
      <c r="GC3" s="36" t="s">
        <v>463</v>
      </c>
      <c r="GD3" s="36" t="s">
        <v>470</v>
      </c>
      <c r="GE3" s="36" t="s">
        <v>468</v>
      </c>
      <c r="GF3" s="36" t="s">
        <v>463</v>
      </c>
      <c r="GG3" s="36" t="s">
        <v>463</v>
      </c>
      <c r="GH3" s="36" t="s">
        <v>463</v>
      </c>
      <c r="GI3" s="36" t="s">
        <v>463</v>
      </c>
      <c r="GJ3" s="36" t="s">
        <v>463</v>
      </c>
      <c r="GK3" s="36" t="s">
        <v>463</v>
      </c>
      <c r="GL3" s="36" t="s">
        <v>463</v>
      </c>
      <c r="GM3" s="36" t="s">
        <v>463</v>
      </c>
      <c r="GN3" s="36" t="s">
        <v>463</v>
      </c>
      <c r="GO3" s="36" t="s">
        <v>463</v>
      </c>
      <c r="GP3" s="36" t="s">
        <v>463</v>
      </c>
      <c r="GQ3" s="36" t="s">
        <v>463</v>
      </c>
      <c r="GR3" s="36" t="s">
        <v>463</v>
      </c>
      <c r="GS3" s="36" t="s">
        <v>463</v>
      </c>
      <c r="GT3" s="36" t="s">
        <v>463</v>
      </c>
      <c r="GU3" s="36" t="s">
        <v>463</v>
      </c>
      <c r="GV3" s="36" t="s">
        <v>463</v>
      </c>
      <c r="GW3" s="36" t="s">
        <v>463</v>
      </c>
      <c r="GX3" s="36" t="s">
        <v>463</v>
      </c>
      <c r="GY3" s="36" t="s">
        <v>463</v>
      </c>
      <c r="GZ3" s="36" t="s">
        <v>463</v>
      </c>
      <c r="HA3" s="36" t="s">
        <v>463</v>
      </c>
      <c r="HB3" s="36" t="s">
        <v>463</v>
      </c>
      <c r="HC3" s="36" t="s">
        <v>463</v>
      </c>
      <c r="HD3" s="36" t="s">
        <v>463</v>
      </c>
      <c r="HE3" s="36" t="s">
        <v>463</v>
      </c>
      <c r="HF3" s="36" t="s">
        <v>463</v>
      </c>
      <c r="HG3" s="36" t="s">
        <v>463</v>
      </c>
      <c r="HH3" s="36" t="s">
        <v>463</v>
      </c>
      <c r="HI3" s="36" t="s">
        <v>463</v>
      </c>
      <c r="HJ3" s="36" t="s">
        <v>463</v>
      </c>
      <c r="HK3" s="36" t="s">
        <v>463</v>
      </c>
      <c r="HL3" s="36" t="s">
        <v>470</v>
      </c>
      <c r="HM3" s="36" t="s">
        <v>468</v>
      </c>
      <c r="HN3" s="36" t="s">
        <v>463</v>
      </c>
      <c r="HO3" s="36" t="s">
        <v>463</v>
      </c>
      <c r="HP3" s="36" t="s">
        <v>463</v>
      </c>
      <c r="HQ3" s="36" t="s">
        <v>463</v>
      </c>
      <c r="HR3" s="36" t="s">
        <v>463</v>
      </c>
      <c r="HS3" s="36" t="s">
        <v>463</v>
      </c>
      <c r="HT3" s="36" t="s">
        <v>463</v>
      </c>
      <c r="HU3" s="36" t="s">
        <v>463</v>
      </c>
      <c r="HV3" s="36" t="s">
        <v>463</v>
      </c>
      <c r="HW3" s="36" t="s">
        <v>463</v>
      </c>
      <c r="HX3" s="36" t="s">
        <v>463</v>
      </c>
      <c r="HY3" s="36" t="s">
        <v>463</v>
      </c>
      <c r="HZ3" s="36" t="s">
        <v>463</v>
      </c>
      <c r="IA3" s="36" t="s">
        <v>463</v>
      </c>
      <c r="IB3" s="36" t="s">
        <v>463</v>
      </c>
      <c r="IC3" s="36" t="s">
        <v>463</v>
      </c>
      <c r="ID3" s="36" t="s">
        <v>463</v>
      </c>
      <c r="IE3" s="36" t="s">
        <v>463</v>
      </c>
      <c r="IF3" s="36" t="s">
        <v>463</v>
      </c>
      <c r="IG3" s="36" t="s">
        <v>463</v>
      </c>
      <c r="IH3" s="36" t="s">
        <v>463</v>
      </c>
      <c r="II3" s="36" t="s">
        <v>463</v>
      </c>
      <c r="IJ3" s="36" t="s">
        <v>463</v>
      </c>
      <c r="IK3" s="36" t="s">
        <v>463</v>
      </c>
      <c r="IL3" s="36" t="s">
        <v>463</v>
      </c>
      <c r="IM3" s="36" t="s">
        <v>463</v>
      </c>
      <c r="IN3" s="36" t="s">
        <v>463</v>
      </c>
      <c r="IO3" s="36" t="s">
        <v>463</v>
      </c>
      <c r="IP3" s="36" t="s">
        <v>463</v>
      </c>
      <c r="IQ3" s="36" t="s">
        <v>463</v>
      </c>
      <c r="IR3" s="36" t="s">
        <v>470</v>
      </c>
      <c r="IS3" s="36" t="s">
        <v>468</v>
      </c>
      <c r="IT3" s="36" t="s">
        <v>470</v>
      </c>
      <c r="IU3" s="36" t="s">
        <v>478</v>
      </c>
      <c r="IV3" s="36" t="s">
        <v>478</v>
      </c>
      <c r="IW3" s="36" t="s">
        <v>478</v>
      </c>
      <c r="IX3" s="36" t="s">
        <v>478</v>
      </c>
      <c r="IY3" s="36" t="s">
        <v>478</v>
      </c>
      <c r="IZ3" s="36" t="s">
        <v>478</v>
      </c>
      <c r="JA3" s="36" t="s">
        <v>478</v>
      </c>
      <c r="JB3" s="36" t="s">
        <v>478</v>
      </c>
      <c r="JC3" s="36" t="s">
        <v>471</v>
      </c>
      <c r="JD3" s="36" t="s">
        <v>471</v>
      </c>
      <c r="JE3" s="36" t="s">
        <v>471</v>
      </c>
      <c r="JF3" s="36" t="s">
        <v>471</v>
      </c>
      <c r="JG3" s="36" t="s">
        <v>471</v>
      </c>
      <c r="JH3" s="36" t="s">
        <v>471</v>
      </c>
      <c r="JI3" s="36" t="s">
        <v>471</v>
      </c>
      <c r="JJ3" s="36" t="s">
        <v>471</v>
      </c>
      <c r="JK3" s="36" t="s">
        <v>479</v>
      </c>
      <c r="JL3" s="36" t="s">
        <v>479</v>
      </c>
      <c r="JM3" s="36" t="s">
        <v>479</v>
      </c>
      <c r="JN3" s="36" t="s">
        <v>479</v>
      </c>
      <c r="JO3" s="36" t="s">
        <v>479</v>
      </c>
      <c r="JP3" s="36" t="s">
        <v>479</v>
      </c>
      <c r="JQ3" s="36" t="s">
        <v>479</v>
      </c>
      <c r="JR3" s="36" t="s">
        <v>479</v>
      </c>
      <c r="JS3" s="36" t="s">
        <v>470</v>
      </c>
      <c r="JT3" s="36" t="s">
        <v>470</v>
      </c>
      <c r="JU3" s="36" t="s">
        <v>470</v>
      </c>
      <c r="JV3" s="36" t="s">
        <v>470</v>
      </c>
      <c r="JW3" s="36" t="s">
        <v>470</v>
      </c>
      <c r="JX3" s="36" t="s">
        <v>470</v>
      </c>
      <c r="JY3" s="36" t="s">
        <v>470</v>
      </c>
      <c r="JZ3" s="36" t="s">
        <v>470</v>
      </c>
      <c r="KA3" s="36" t="s">
        <v>478</v>
      </c>
      <c r="KB3" s="36" t="s">
        <v>478</v>
      </c>
      <c r="KC3" s="36" t="s">
        <v>478</v>
      </c>
      <c r="KD3" s="36" t="s">
        <v>478</v>
      </c>
      <c r="KE3" s="36" t="s">
        <v>478</v>
      </c>
      <c r="KF3" s="36" t="s">
        <v>478</v>
      </c>
      <c r="KG3" s="36" t="s">
        <v>478</v>
      </c>
      <c r="KH3" s="36" t="s">
        <v>478</v>
      </c>
      <c r="KI3" s="36" t="s">
        <v>471</v>
      </c>
      <c r="KJ3" s="36" t="s">
        <v>471</v>
      </c>
      <c r="KK3" s="36" t="s">
        <v>471</v>
      </c>
      <c r="KL3" s="36" t="s">
        <v>471</v>
      </c>
      <c r="KM3" s="36" t="s">
        <v>471</v>
      </c>
      <c r="KN3" s="36" t="s">
        <v>471</v>
      </c>
      <c r="KO3" s="36" t="s">
        <v>471</v>
      </c>
      <c r="KP3" s="36" t="s">
        <v>471</v>
      </c>
      <c r="KQ3" s="36" t="s">
        <v>479</v>
      </c>
      <c r="KR3" s="36" t="s">
        <v>479</v>
      </c>
      <c r="KS3" s="36" t="s">
        <v>479</v>
      </c>
      <c r="KT3" s="36" t="s">
        <v>479</v>
      </c>
      <c r="KU3" s="36" t="s">
        <v>479</v>
      </c>
      <c r="KV3" s="36" t="s">
        <v>479</v>
      </c>
      <c r="KW3" s="36" t="s">
        <v>479</v>
      </c>
      <c r="KX3" s="36" t="s">
        <v>479</v>
      </c>
      <c r="KY3" s="36" t="s">
        <v>470</v>
      </c>
      <c r="KZ3" s="36" t="s">
        <v>470</v>
      </c>
      <c r="LA3" s="36" t="s">
        <v>470</v>
      </c>
      <c r="LB3" s="36" t="s">
        <v>470</v>
      </c>
      <c r="LC3" s="36" t="s">
        <v>470</v>
      </c>
      <c r="LD3" s="36" t="s">
        <v>470</v>
      </c>
      <c r="LE3" s="36" t="s">
        <v>470</v>
      </c>
      <c r="LF3" s="36" t="s">
        <v>470</v>
      </c>
      <c r="LG3" s="37" t="s">
        <v>463</v>
      </c>
      <c r="LH3" s="37" t="s">
        <v>463</v>
      </c>
      <c r="LI3" s="37" t="s">
        <v>463</v>
      </c>
      <c r="LJ3" s="37" t="s">
        <v>463</v>
      </c>
      <c r="LK3" s="37" t="s">
        <v>463</v>
      </c>
      <c r="LL3" s="37" t="s">
        <v>466</v>
      </c>
      <c r="LM3" s="37" t="s">
        <v>463</v>
      </c>
      <c r="LN3" s="37" t="s">
        <v>463</v>
      </c>
      <c r="LO3" s="37" t="s">
        <v>465</v>
      </c>
      <c r="LP3" s="37" t="s">
        <v>470</v>
      </c>
      <c r="LQ3" s="37" t="s">
        <v>467</v>
      </c>
      <c r="LR3" s="37" t="s">
        <v>467</v>
      </c>
      <c r="LS3" s="37" t="s">
        <v>468</v>
      </c>
      <c r="LT3" s="37" t="s">
        <v>468</v>
      </c>
      <c r="LU3" s="37" t="s">
        <v>468</v>
      </c>
      <c r="LV3" s="37" t="s">
        <v>463</v>
      </c>
      <c r="LW3" s="37" t="s">
        <v>463</v>
      </c>
      <c r="LX3" s="37" t="s">
        <v>469</v>
      </c>
      <c r="LY3" s="37" t="s">
        <v>474</v>
      </c>
      <c r="LZ3" s="37" t="s">
        <v>474</v>
      </c>
      <c r="MA3" s="37" t="s">
        <v>475</v>
      </c>
      <c r="MB3" s="37" t="s">
        <v>475</v>
      </c>
      <c r="MC3" s="37" t="s">
        <v>475</v>
      </c>
      <c r="MD3" s="37" t="s">
        <v>463</v>
      </c>
      <c r="ME3" s="37" t="s">
        <v>463</v>
      </c>
      <c r="MF3" s="37" t="s">
        <v>470</v>
      </c>
      <c r="MG3" s="37" t="s">
        <v>470</v>
      </c>
      <c r="MH3" s="37" t="s">
        <v>463</v>
      </c>
      <c r="MI3" s="37" t="s">
        <v>468</v>
      </c>
      <c r="MJ3" s="37" t="s">
        <v>463</v>
      </c>
      <c r="MK3" s="37" t="s">
        <v>477</v>
      </c>
      <c r="ML3" s="37" t="s">
        <v>476</v>
      </c>
      <c r="MM3" s="37" t="s">
        <v>480</v>
      </c>
      <c r="MN3" s="37" t="s">
        <v>470</v>
      </c>
      <c r="MO3" s="37" t="s">
        <v>470</v>
      </c>
      <c r="MP3" s="37" t="s">
        <v>470</v>
      </c>
      <c r="MQ3" s="37" t="s">
        <v>470</v>
      </c>
      <c r="MR3" s="37" t="s">
        <v>470</v>
      </c>
      <c r="MS3" s="37" t="s">
        <v>470</v>
      </c>
      <c r="MT3" s="37" t="s">
        <v>470</v>
      </c>
      <c r="MU3" s="37" t="s">
        <v>470</v>
      </c>
      <c r="MV3" s="37" t="s">
        <v>470</v>
      </c>
      <c r="MW3" s="37" t="s">
        <v>470</v>
      </c>
      <c r="MX3" s="37" t="s">
        <v>470</v>
      </c>
      <c r="MY3" s="37" t="s">
        <v>470</v>
      </c>
      <c r="MZ3" s="37" t="s">
        <v>468</v>
      </c>
      <c r="NA3" s="37" t="s">
        <v>470</v>
      </c>
      <c r="NB3" s="37" t="s">
        <v>470</v>
      </c>
      <c r="NC3" s="37" t="s">
        <v>468</v>
      </c>
      <c r="ND3" s="37" t="s">
        <v>481</v>
      </c>
      <c r="NE3" s="37" t="s">
        <v>481</v>
      </c>
      <c r="NF3" s="37" t="s">
        <v>481</v>
      </c>
      <c r="NG3" s="37" t="s">
        <v>470</v>
      </c>
      <c r="NH3" s="38" t="s">
        <v>463</v>
      </c>
      <c r="NI3" s="38" t="s">
        <v>463</v>
      </c>
      <c r="NJ3" s="38" t="s">
        <v>463</v>
      </c>
      <c r="NK3" s="38" t="s">
        <v>463</v>
      </c>
      <c r="NL3" s="38" t="s">
        <v>463</v>
      </c>
      <c r="NM3" s="38" t="s">
        <v>466</v>
      </c>
      <c r="NN3" s="38" t="s">
        <v>463</v>
      </c>
      <c r="NO3" s="38" t="s">
        <v>463</v>
      </c>
      <c r="NP3" s="38" t="s">
        <v>465</v>
      </c>
      <c r="NQ3" s="38" t="s">
        <v>470</v>
      </c>
      <c r="NR3" s="38" t="s">
        <v>467</v>
      </c>
      <c r="NS3" s="38" t="s">
        <v>467</v>
      </c>
      <c r="NT3" s="38" t="s">
        <v>468</v>
      </c>
      <c r="NU3" s="38" t="s">
        <v>468</v>
      </c>
      <c r="NV3" s="38" t="s">
        <v>468</v>
      </c>
      <c r="NW3" s="38" t="s">
        <v>463</v>
      </c>
      <c r="NX3" s="38" t="s">
        <v>469</v>
      </c>
      <c r="NY3" s="38" t="s">
        <v>474</v>
      </c>
      <c r="NZ3" s="38" t="s">
        <v>474</v>
      </c>
      <c r="OA3" s="38" t="s">
        <v>475</v>
      </c>
      <c r="OB3" s="38" t="s">
        <v>475</v>
      </c>
      <c r="OC3" s="38" t="s">
        <v>463</v>
      </c>
      <c r="OD3" s="38" t="s">
        <v>463</v>
      </c>
      <c r="OE3" s="38" t="s">
        <v>463</v>
      </c>
      <c r="OF3" s="38" t="s">
        <v>470</v>
      </c>
      <c r="OG3" s="38" t="s">
        <v>463</v>
      </c>
      <c r="OH3" s="38" t="s">
        <v>463</v>
      </c>
      <c r="OI3" s="38" t="s">
        <v>463</v>
      </c>
      <c r="OJ3" s="38" t="s">
        <v>470</v>
      </c>
      <c r="OK3" s="38" t="s">
        <v>470</v>
      </c>
      <c r="OL3" s="38" t="s">
        <v>470</v>
      </c>
      <c r="OM3" s="38" t="s">
        <v>470</v>
      </c>
      <c r="ON3" s="38" t="s">
        <v>470</v>
      </c>
      <c r="OO3" s="38" t="s">
        <v>470</v>
      </c>
      <c r="OP3" s="38" t="s">
        <v>463</v>
      </c>
      <c r="OQ3" s="38" t="s">
        <v>468</v>
      </c>
      <c r="OR3" s="38" t="s">
        <v>468</v>
      </c>
      <c r="OS3" s="38" t="s">
        <v>468</v>
      </c>
      <c r="OT3" s="38" t="s">
        <v>476</v>
      </c>
      <c r="OU3" s="38" t="s">
        <v>470</v>
      </c>
      <c r="OV3" s="38" t="s">
        <v>470</v>
      </c>
      <c r="OW3" s="38" t="s">
        <v>470</v>
      </c>
      <c r="OX3" s="38" t="s">
        <v>470</v>
      </c>
      <c r="OY3" s="38" t="s">
        <v>470</v>
      </c>
      <c r="OZ3" s="38" t="s">
        <v>470</v>
      </c>
      <c r="PA3" s="38" t="s">
        <v>470</v>
      </c>
      <c r="PB3" s="38" t="s">
        <v>470</v>
      </c>
      <c r="PC3" s="38" t="s">
        <v>468</v>
      </c>
      <c r="PD3" s="38" t="s">
        <v>470</v>
      </c>
      <c r="PE3" s="38" t="s">
        <v>470</v>
      </c>
      <c r="PF3" s="38" t="s">
        <v>468</v>
      </c>
      <c r="PG3" s="38" t="s">
        <v>482</v>
      </c>
      <c r="PH3" s="38" t="s">
        <v>468</v>
      </c>
      <c r="PI3" s="38" t="s">
        <v>463</v>
      </c>
      <c r="PJ3" s="38" t="s">
        <v>463</v>
      </c>
      <c r="PK3" s="38" t="s">
        <v>463</v>
      </c>
      <c r="PL3" s="38" t="s">
        <v>463</v>
      </c>
      <c r="PM3" s="38" t="s">
        <v>463</v>
      </c>
      <c r="PN3" s="38" t="s">
        <v>470</v>
      </c>
      <c r="PO3" s="38" t="s">
        <v>468</v>
      </c>
      <c r="PP3" s="38" t="s">
        <v>482</v>
      </c>
      <c r="PQ3" s="38" t="s">
        <v>470</v>
      </c>
      <c r="PR3" s="38" t="s">
        <v>470</v>
      </c>
      <c r="PS3" s="38" t="s">
        <v>470</v>
      </c>
      <c r="PT3" s="38" t="s">
        <v>470</v>
      </c>
      <c r="PU3" s="38" t="s">
        <v>470</v>
      </c>
      <c r="PV3" s="38" t="s">
        <v>470</v>
      </c>
      <c r="PW3" s="38" t="s">
        <v>470</v>
      </c>
      <c r="PX3" s="38" t="s">
        <v>483</v>
      </c>
      <c r="PY3" s="38" t="s">
        <v>470</v>
      </c>
      <c r="PZ3" s="38" t="s">
        <v>470</v>
      </c>
      <c r="QA3" s="38" t="s">
        <v>470</v>
      </c>
      <c r="QB3" s="38" t="s">
        <v>470</v>
      </c>
      <c r="QC3" s="38" t="s">
        <v>470</v>
      </c>
      <c r="QD3" s="38" t="s">
        <v>470</v>
      </c>
      <c r="QE3" s="38" t="s">
        <v>470</v>
      </c>
      <c r="QF3" s="38" t="s">
        <v>483</v>
      </c>
      <c r="QG3" s="38" t="s">
        <v>463</v>
      </c>
      <c r="QH3" s="38" t="s">
        <v>463</v>
      </c>
      <c r="QI3" s="38" t="s">
        <v>483</v>
      </c>
      <c r="QJ3" s="38" t="s">
        <v>470</v>
      </c>
      <c r="QK3" s="38" t="s">
        <v>483</v>
      </c>
      <c r="QL3" s="38" t="s">
        <v>470</v>
      </c>
      <c r="QM3" s="38" t="s">
        <v>483</v>
      </c>
      <c r="QN3" s="38" t="s">
        <v>470</v>
      </c>
      <c r="QO3" s="38" t="s">
        <v>483</v>
      </c>
      <c r="QP3" s="38" t="s">
        <v>470</v>
      </c>
      <c r="QQ3" s="38" t="s">
        <v>483</v>
      </c>
      <c r="QR3" s="38" t="s">
        <v>470</v>
      </c>
      <c r="QS3" s="38" t="s">
        <v>470</v>
      </c>
    </row>
    <row r="4" spans="1:461">
      <c r="A4" s="13" t="s">
        <v>484</v>
      </c>
      <c r="B4" s="13" t="s">
        <v>485</v>
      </c>
      <c r="C4" s="13" t="s">
        <v>486</v>
      </c>
      <c r="D4" s="13" t="s">
        <v>487</v>
      </c>
      <c r="E4" s="13" t="s">
        <v>488</v>
      </c>
      <c r="F4" s="13" t="s">
        <v>489</v>
      </c>
      <c r="G4" s="13" t="s">
        <v>490</v>
      </c>
      <c r="H4" s="13" t="s">
        <v>491</v>
      </c>
      <c r="I4" s="13" t="s">
        <v>492</v>
      </c>
      <c r="J4" s="13" t="s">
        <v>493</v>
      </c>
      <c r="K4" s="13" t="s">
        <v>494</v>
      </c>
      <c r="L4" s="13" t="s">
        <v>495</v>
      </c>
      <c r="M4" s="13" t="s">
        <v>496</v>
      </c>
      <c r="N4" s="13" t="s">
        <v>497</v>
      </c>
      <c r="O4" s="13" t="s">
        <v>498</v>
      </c>
      <c r="P4" s="13" t="s">
        <v>499</v>
      </c>
      <c r="Q4" s="13" t="s">
        <v>500</v>
      </c>
      <c r="R4" s="13" t="s">
        <v>501</v>
      </c>
      <c r="S4" s="13" t="s">
        <v>502</v>
      </c>
      <c r="T4" s="13" t="s">
        <v>503</v>
      </c>
      <c r="U4" s="13" t="s">
        <v>504</v>
      </c>
      <c r="V4" s="13" t="s">
        <v>505</v>
      </c>
      <c r="W4" s="13" t="s">
        <v>506</v>
      </c>
      <c r="X4" s="13" t="s">
        <v>507</v>
      </c>
      <c r="Y4" s="13" t="s">
        <v>508</v>
      </c>
      <c r="Z4" s="13" t="s">
        <v>509</v>
      </c>
      <c r="AA4" s="13" t="s">
        <v>510</v>
      </c>
      <c r="AB4" s="13" t="s">
        <v>511</v>
      </c>
      <c r="AC4" s="13" t="s">
        <v>512</v>
      </c>
      <c r="AD4" s="13" t="s">
        <v>513</v>
      </c>
      <c r="AE4" s="13" t="s">
        <v>514</v>
      </c>
      <c r="AF4" s="13" t="s">
        <v>515</v>
      </c>
      <c r="AG4" s="13" t="s">
        <v>516</v>
      </c>
      <c r="AH4" s="13" t="s">
        <v>517</v>
      </c>
      <c r="AI4" s="13" t="s">
        <v>518</v>
      </c>
      <c r="AJ4" s="13" t="s">
        <v>519</v>
      </c>
      <c r="AK4" s="13" t="s">
        <v>520</v>
      </c>
      <c r="AL4" s="13" t="s">
        <v>521</v>
      </c>
      <c r="AM4" s="13" t="s">
        <v>522</v>
      </c>
      <c r="AN4" s="13" t="s">
        <v>523</v>
      </c>
      <c r="AO4" s="13" t="s">
        <v>524</v>
      </c>
      <c r="AP4" s="13" t="s">
        <v>525</v>
      </c>
      <c r="AQ4" s="33" t="s">
        <v>526</v>
      </c>
      <c r="AR4" s="33" t="s">
        <v>527</v>
      </c>
      <c r="AS4" s="33" t="s">
        <v>528</v>
      </c>
      <c r="AT4" s="33" t="s">
        <v>529</v>
      </c>
      <c r="AU4" s="33" t="s">
        <v>530</v>
      </c>
      <c r="AV4" s="33" t="s">
        <v>531</v>
      </c>
      <c r="AW4" s="33" t="s">
        <v>532</v>
      </c>
      <c r="AX4" s="33" t="s">
        <v>533</v>
      </c>
      <c r="AY4" s="33" t="s">
        <v>534</v>
      </c>
      <c r="AZ4" s="33" t="s">
        <v>535</v>
      </c>
      <c r="BA4" s="33" t="s">
        <v>536</v>
      </c>
      <c r="BB4" s="33" t="s">
        <v>537</v>
      </c>
      <c r="BC4" s="33" t="s">
        <v>538</v>
      </c>
      <c r="BD4" s="33" t="s">
        <v>539</v>
      </c>
      <c r="BE4" s="33" t="s">
        <v>540</v>
      </c>
      <c r="BF4" s="33" t="s">
        <v>541</v>
      </c>
      <c r="BG4" s="33" t="s">
        <v>542</v>
      </c>
      <c r="BH4" s="33" t="s">
        <v>543</v>
      </c>
      <c r="BI4" s="33" t="s">
        <v>544</v>
      </c>
      <c r="BJ4" s="33" t="s">
        <v>545</v>
      </c>
      <c r="BK4" s="33" t="s">
        <v>546</v>
      </c>
      <c r="BL4" s="33" t="s">
        <v>547</v>
      </c>
      <c r="BM4" s="33" t="s">
        <v>548</v>
      </c>
      <c r="BN4" s="33" t="s">
        <v>549</v>
      </c>
      <c r="BO4" s="33" t="s">
        <v>550</v>
      </c>
      <c r="BP4" s="33" t="s">
        <v>551</v>
      </c>
      <c r="BQ4" s="33" t="s">
        <v>552</v>
      </c>
      <c r="BR4" s="33" t="s">
        <v>553</v>
      </c>
      <c r="BS4" s="33" t="s">
        <v>554</v>
      </c>
      <c r="BT4" s="33" t="s">
        <v>555</v>
      </c>
      <c r="BU4" s="33" t="s">
        <v>556</v>
      </c>
      <c r="BV4" s="33" t="s">
        <v>557</v>
      </c>
      <c r="BW4" s="33" t="s">
        <v>558</v>
      </c>
      <c r="BX4" s="33" t="s">
        <v>559</v>
      </c>
      <c r="BY4" s="33" t="s">
        <v>560</v>
      </c>
      <c r="BZ4" s="33" t="s">
        <v>561</v>
      </c>
      <c r="CA4" s="33" t="s">
        <v>562</v>
      </c>
      <c r="CB4" s="33" t="s">
        <v>563</v>
      </c>
      <c r="CC4" s="33" t="s">
        <v>564</v>
      </c>
      <c r="CD4" s="33" t="s">
        <v>565</v>
      </c>
      <c r="CE4" s="34" t="s">
        <v>566</v>
      </c>
      <c r="CF4" s="34" t="s">
        <v>567</v>
      </c>
      <c r="CG4" s="34" t="s">
        <v>568</v>
      </c>
      <c r="CH4" s="34" t="s">
        <v>569</v>
      </c>
      <c r="CI4" s="34" t="s">
        <v>570</v>
      </c>
      <c r="CJ4" s="34" t="s">
        <v>571</v>
      </c>
      <c r="CK4" s="34" t="s">
        <v>532</v>
      </c>
      <c r="CL4" s="34" t="s">
        <v>533</v>
      </c>
      <c r="CM4" s="34" t="s">
        <v>572</v>
      </c>
      <c r="CN4" s="34" t="s">
        <v>573</v>
      </c>
      <c r="CO4" s="34" t="s">
        <v>574</v>
      </c>
      <c r="CP4" s="34" t="s">
        <v>575</v>
      </c>
      <c r="CQ4" s="34" t="s">
        <v>576</v>
      </c>
      <c r="CR4" s="34" t="s">
        <v>577</v>
      </c>
      <c r="CS4" s="34" t="s">
        <v>578</v>
      </c>
      <c r="CT4" s="34" t="s">
        <v>579</v>
      </c>
      <c r="CU4" s="34" t="s">
        <v>580</v>
      </c>
      <c r="CV4" s="34" t="s">
        <v>581</v>
      </c>
      <c r="CW4" s="34" t="s">
        <v>582</v>
      </c>
      <c r="CX4" s="34" t="s">
        <v>583</v>
      </c>
      <c r="CY4" s="34" t="s">
        <v>584</v>
      </c>
      <c r="CZ4" s="34" t="s">
        <v>585</v>
      </c>
      <c r="DA4" s="34" t="s">
        <v>586</v>
      </c>
      <c r="DB4" s="34" t="s">
        <v>587</v>
      </c>
      <c r="DC4" s="34" t="s">
        <v>588</v>
      </c>
      <c r="DD4" s="34" t="s">
        <v>589</v>
      </c>
      <c r="DE4" s="34" t="s">
        <v>590</v>
      </c>
      <c r="DF4" s="34" t="s">
        <v>591</v>
      </c>
      <c r="DG4" s="34" t="s">
        <v>592</v>
      </c>
      <c r="DH4" s="34" t="s">
        <v>593</v>
      </c>
      <c r="DI4" s="34" t="s">
        <v>594</v>
      </c>
      <c r="DJ4" s="34" t="s">
        <v>595</v>
      </c>
      <c r="DK4" s="34" t="s">
        <v>596</v>
      </c>
      <c r="DL4" s="34" t="s">
        <v>597</v>
      </c>
      <c r="DM4" s="13" t="s">
        <v>598</v>
      </c>
      <c r="DN4" s="13" t="s">
        <v>598</v>
      </c>
      <c r="DO4" s="13" t="s">
        <v>599</v>
      </c>
      <c r="DP4" s="13" t="s">
        <v>600</v>
      </c>
      <c r="DQ4" s="13" t="s">
        <v>601</v>
      </c>
      <c r="DR4" s="13" t="s">
        <v>602</v>
      </c>
      <c r="DS4" s="13" t="s">
        <v>603</v>
      </c>
      <c r="DT4" s="13" t="s">
        <v>604</v>
      </c>
      <c r="DU4" s="13" t="s">
        <v>605</v>
      </c>
      <c r="DV4" s="13" t="s">
        <v>606</v>
      </c>
      <c r="DW4" s="13" t="s">
        <v>607</v>
      </c>
      <c r="DX4" s="13" t="s">
        <v>608</v>
      </c>
      <c r="DY4" s="13" t="s">
        <v>609</v>
      </c>
      <c r="DZ4" s="13" t="s">
        <v>610</v>
      </c>
      <c r="EA4" s="35" t="s">
        <v>611</v>
      </c>
      <c r="EB4" s="35" t="s">
        <v>612</v>
      </c>
      <c r="EC4" s="35" t="s">
        <v>613</v>
      </c>
      <c r="ED4" s="35" t="s">
        <v>614</v>
      </c>
      <c r="EE4" s="35" t="s">
        <v>615</v>
      </c>
      <c r="EF4" s="35" t="s">
        <v>616</v>
      </c>
      <c r="EG4" s="35" t="s">
        <v>532</v>
      </c>
      <c r="EH4" s="35" t="s">
        <v>533</v>
      </c>
      <c r="EI4" s="35" t="s">
        <v>617</v>
      </c>
      <c r="EJ4" s="35" t="s">
        <v>618</v>
      </c>
      <c r="EK4" s="35" t="s">
        <v>619</v>
      </c>
      <c r="EL4" s="35" t="s">
        <v>620</v>
      </c>
      <c r="EM4" s="35" t="s">
        <v>621</v>
      </c>
      <c r="EN4" s="35" t="s">
        <v>622</v>
      </c>
      <c r="EO4" s="35" t="s">
        <v>623</v>
      </c>
      <c r="EP4" s="35" t="s">
        <v>624</v>
      </c>
      <c r="EQ4" s="35" t="s">
        <v>625</v>
      </c>
      <c r="ER4" s="35" t="s">
        <v>626</v>
      </c>
      <c r="ES4" s="35" t="s">
        <v>627</v>
      </c>
      <c r="ET4" s="35" t="s">
        <v>628</v>
      </c>
      <c r="EU4" s="35" t="s">
        <v>629</v>
      </c>
      <c r="EV4" s="35" t="s">
        <v>630</v>
      </c>
      <c r="EW4" s="35" t="s">
        <v>631</v>
      </c>
      <c r="EX4" s="35" t="s">
        <v>632</v>
      </c>
      <c r="EY4" s="35" t="s">
        <v>633</v>
      </c>
      <c r="EZ4" s="35" t="s">
        <v>634</v>
      </c>
      <c r="FA4" s="35" t="s">
        <v>635</v>
      </c>
      <c r="FB4" s="35" t="s">
        <v>636</v>
      </c>
      <c r="FC4" s="35" t="s">
        <v>637</v>
      </c>
      <c r="FD4" s="35" t="s">
        <v>638</v>
      </c>
      <c r="FE4" s="35" t="s">
        <v>639</v>
      </c>
      <c r="FF4" s="35" t="s">
        <v>640</v>
      </c>
      <c r="FG4" s="35" t="s">
        <v>641</v>
      </c>
      <c r="FH4" s="35" t="s">
        <v>642</v>
      </c>
      <c r="FI4" s="35" t="s">
        <v>643</v>
      </c>
      <c r="FJ4" s="35" t="s">
        <v>644</v>
      </c>
      <c r="FK4" s="36" t="s">
        <v>645</v>
      </c>
      <c r="FL4" s="36" t="s">
        <v>612</v>
      </c>
      <c r="FM4" s="36" t="s">
        <v>646</v>
      </c>
      <c r="FN4" s="36" t="s">
        <v>647</v>
      </c>
      <c r="FO4" s="36" t="s">
        <v>648</v>
      </c>
      <c r="FP4" s="36" t="s">
        <v>649</v>
      </c>
      <c r="FQ4" s="36" t="s">
        <v>532</v>
      </c>
      <c r="FR4" s="36" t="s">
        <v>533</v>
      </c>
      <c r="FS4" s="36" t="s">
        <v>650</v>
      </c>
      <c r="FT4" s="36" t="s">
        <v>618</v>
      </c>
      <c r="FU4" s="36" t="s">
        <v>619</v>
      </c>
      <c r="FV4" s="36" t="s">
        <v>620</v>
      </c>
      <c r="FW4" s="36" t="s">
        <v>621</v>
      </c>
      <c r="FX4" s="36" t="s">
        <v>622</v>
      </c>
      <c r="FY4" s="36" t="s">
        <v>539</v>
      </c>
      <c r="FZ4" s="36" t="s">
        <v>624</v>
      </c>
      <c r="GA4" s="36" t="s">
        <v>625</v>
      </c>
      <c r="GB4" s="36" t="s">
        <v>651</v>
      </c>
      <c r="GC4" s="36" t="s">
        <v>652</v>
      </c>
      <c r="GD4" s="36" t="s">
        <v>653</v>
      </c>
      <c r="GE4" s="36" t="s">
        <v>654</v>
      </c>
      <c r="GF4" s="36" t="s">
        <v>655</v>
      </c>
      <c r="GG4" s="36" t="s">
        <v>656</v>
      </c>
      <c r="GH4" s="36" t="s">
        <v>657</v>
      </c>
      <c r="GI4" s="36" t="s">
        <v>658</v>
      </c>
      <c r="GJ4" s="36" t="s">
        <v>659</v>
      </c>
      <c r="GK4" s="36" t="s">
        <v>660</v>
      </c>
      <c r="GL4" s="36" t="s">
        <v>661</v>
      </c>
      <c r="GM4" s="36" t="s">
        <v>662</v>
      </c>
      <c r="GN4" s="36" t="s">
        <v>663</v>
      </c>
      <c r="GO4" s="36" t="s">
        <v>664</v>
      </c>
      <c r="GP4" s="36" t="s">
        <v>665</v>
      </c>
      <c r="GQ4" s="36" t="s">
        <v>666</v>
      </c>
      <c r="GR4" s="36" t="s">
        <v>667</v>
      </c>
      <c r="GS4" s="36" t="s">
        <v>668</v>
      </c>
      <c r="GT4" s="36" t="s">
        <v>669</v>
      </c>
      <c r="GU4" s="36" t="s">
        <v>670</v>
      </c>
      <c r="GV4" s="36" t="s">
        <v>671</v>
      </c>
      <c r="GW4" s="36" t="s">
        <v>672</v>
      </c>
      <c r="GX4" s="36" t="s">
        <v>673</v>
      </c>
      <c r="GY4" s="36" t="s">
        <v>674</v>
      </c>
      <c r="GZ4" s="36" t="s">
        <v>675</v>
      </c>
      <c r="HA4" s="36" t="s">
        <v>676</v>
      </c>
      <c r="HB4" s="36" t="s">
        <v>677</v>
      </c>
      <c r="HC4" s="36" t="s">
        <v>678</v>
      </c>
      <c r="HD4" s="36" t="s">
        <v>679</v>
      </c>
      <c r="HE4" s="36" t="s">
        <v>680</v>
      </c>
      <c r="HF4" s="36" t="s">
        <v>681</v>
      </c>
      <c r="HG4" s="36" t="s">
        <v>682</v>
      </c>
      <c r="HH4" s="36" t="s">
        <v>683</v>
      </c>
      <c r="HI4" s="36" t="s">
        <v>684</v>
      </c>
      <c r="HJ4" s="36" t="s">
        <v>685</v>
      </c>
      <c r="HK4" s="36" t="s">
        <v>686</v>
      </c>
      <c r="HL4" s="36" t="s">
        <v>687</v>
      </c>
      <c r="HM4" s="36" t="s">
        <v>688</v>
      </c>
      <c r="HN4" s="36" t="s">
        <v>689</v>
      </c>
      <c r="HO4" s="36" t="s">
        <v>690</v>
      </c>
      <c r="HP4" s="36" t="s">
        <v>691</v>
      </c>
      <c r="HQ4" s="36" t="s">
        <v>692</v>
      </c>
      <c r="HR4" s="36" t="s">
        <v>693</v>
      </c>
      <c r="HS4" s="36" t="s">
        <v>694</v>
      </c>
      <c r="HT4" s="36" t="s">
        <v>695</v>
      </c>
      <c r="HU4" s="36" t="s">
        <v>696</v>
      </c>
      <c r="HV4" s="36" t="s">
        <v>697</v>
      </c>
      <c r="HW4" s="36" t="s">
        <v>698</v>
      </c>
      <c r="HX4" s="36" t="s">
        <v>699</v>
      </c>
      <c r="HY4" s="36" t="s">
        <v>700</v>
      </c>
      <c r="HZ4" s="36" t="s">
        <v>701</v>
      </c>
      <c r="IA4" s="36" t="s">
        <v>702</v>
      </c>
      <c r="IB4" s="36" t="s">
        <v>703</v>
      </c>
      <c r="IC4" s="36" t="s">
        <v>704</v>
      </c>
      <c r="ID4" s="36" t="s">
        <v>705</v>
      </c>
      <c r="IE4" s="36" t="s">
        <v>706</v>
      </c>
      <c r="IF4" s="36" t="s">
        <v>707</v>
      </c>
      <c r="IG4" s="36" t="s">
        <v>708</v>
      </c>
      <c r="IH4" s="36" t="s">
        <v>709</v>
      </c>
      <c r="II4" s="36" t="s">
        <v>710</v>
      </c>
      <c r="IJ4" s="36" t="s">
        <v>711</v>
      </c>
      <c r="IK4" s="36" t="s">
        <v>712</v>
      </c>
      <c r="IL4" s="36" t="s">
        <v>713</v>
      </c>
      <c r="IM4" s="36" t="s">
        <v>714</v>
      </c>
      <c r="IN4" s="36" t="s">
        <v>715</v>
      </c>
      <c r="IO4" s="36" t="s">
        <v>716</v>
      </c>
      <c r="IP4" s="36" t="s">
        <v>717</v>
      </c>
      <c r="IQ4" s="36" t="s">
        <v>718</v>
      </c>
      <c r="IR4" s="36" t="s">
        <v>719</v>
      </c>
      <c r="IS4" s="36" t="s">
        <v>720</v>
      </c>
      <c r="IT4" s="36" t="s">
        <v>721</v>
      </c>
      <c r="IU4" s="36" t="s">
        <v>722</v>
      </c>
      <c r="IV4" s="36" t="s">
        <v>723</v>
      </c>
      <c r="IW4" s="36" t="s">
        <v>724</v>
      </c>
      <c r="IX4" s="36" t="s">
        <v>725</v>
      </c>
      <c r="IY4" s="36" t="s">
        <v>726</v>
      </c>
      <c r="IZ4" s="36" t="s">
        <v>727</v>
      </c>
      <c r="JA4" s="36" t="s">
        <v>728</v>
      </c>
      <c r="JB4" s="36" t="s">
        <v>729</v>
      </c>
      <c r="JC4" s="36" t="s">
        <v>730</v>
      </c>
      <c r="JD4" s="36" t="s">
        <v>731</v>
      </c>
      <c r="JE4" s="36" t="s">
        <v>732</v>
      </c>
      <c r="JF4" s="36" t="s">
        <v>733</v>
      </c>
      <c r="JG4" s="36" t="s">
        <v>734</v>
      </c>
      <c r="JH4" s="36" t="s">
        <v>735</v>
      </c>
      <c r="JI4" s="36" t="s">
        <v>736</v>
      </c>
      <c r="JJ4" s="36" t="s">
        <v>737</v>
      </c>
      <c r="JK4" s="36" t="s">
        <v>738</v>
      </c>
      <c r="JL4" s="36" t="s">
        <v>739</v>
      </c>
      <c r="JM4" s="36" t="s">
        <v>740</v>
      </c>
      <c r="JN4" s="36" t="s">
        <v>741</v>
      </c>
      <c r="JO4" s="36" t="s">
        <v>742</v>
      </c>
      <c r="JP4" s="36" t="s">
        <v>743</v>
      </c>
      <c r="JQ4" s="36" t="s">
        <v>744</v>
      </c>
      <c r="JR4" s="36" t="s">
        <v>745</v>
      </c>
      <c r="JS4" s="36" t="s">
        <v>746</v>
      </c>
      <c r="JT4" s="36" t="s">
        <v>747</v>
      </c>
      <c r="JU4" s="36" t="s">
        <v>748</v>
      </c>
      <c r="JV4" s="36" t="s">
        <v>749</v>
      </c>
      <c r="JW4" s="36" t="s">
        <v>750</v>
      </c>
      <c r="JX4" s="36" t="s">
        <v>751</v>
      </c>
      <c r="JY4" s="36" t="s">
        <v>752</v>
      </c>
      <c r="JZ4" s="36" t="s">
        <v>753</v>
      </c>
      <c r="KA4" s="36" t="s">
        <v>754</v>
      </c>
      <c r="KB4" s="36" t="s">
        <v>755</v>
      </c>
      <c r="KC4" s="36" t="s">
        <v>756</v>
      </c>
      <c r="KD4" s="36" t="s">
        <v>757</v>
      </c>
      <c r="KE4" s="36" t="s">
        <v>758</v>
      </c>
      <c r="KF4" s="36" t="s">
        <v>759</v>
      </c>
      <c r="KG4" s="36" t="s">
        <v>760</v>
      </c>
      <c r="KH4" s="36" t="s">
        <v>761</v>
      </c>
      <c r="KI4" s="36" t="s">
        <v>762</v>
      </c>
      <c r="KJ4" s="36" t="s">
        <v>763</v>
      </c>
      <c r="KK4" s="36" t="s">
        <v>764</v>
      </c>
      <c r="KL4" s="36" t="s">
        <v>765</v>
      </c>
      <c r="KM4" s="36" t="s">
        <v>766</v>
      </c>
      <c r="KN4" s="36" t="s">
        <v>767</v>
      </c>
      <c r="KO4" s="36" t="s">
        <v>768</v>
      </c>
      <c r="KP4" s="36" t="s">
        <v>769</v>
      </c>
      <c r="KQ4" s="36" t="s">
        <v>770</v>
      </c>
      <c r="KR4" s="36" t="s">
        <v>771</v>
      </c>
      <c r="KS4" s="36" t="s">
        <v>772</v>
      </c>
      <c r="KT4" s="36" t="s">
        <v>773</v>
      </c>
      <c r="KU4" s="36" t="s">
        <v>774</v>
      </c>
      <c r="KV4" s="36" t="s">
        <v>775</v>
      </c>
      <c r="KW4" s="36" t="s">
        <v>776</v>
      </c>
      <c r="KX4" s="36" t="s">
        <v>777</v>
      </c>
      <c r="KY4" s="36" t="s">
        <v>746</v>
      </c>
      <c r="KZ4" s="36" t="s">
        <v>747</v>
      </c>
      <c r="LA4" s="36" t="s">
        <v>748</v>
      </c>
      <c r="LB4" s="36" t="s">
        <v>749</v>
      </c>
      <c r="LC4" s="36" t="s">
        <v>750</v>
      </c>
      <c r="LD4" s="36" t="s">
        <v>751</v>
      </c>
      <c r="LE4" s="36" t="s">
        <v>752</v>
      </c>
      <c r="LF4" s="36" t="s">
        <v>753</v>
      </c>
      <c r="LG4" s="37" t="s">
        <v>778</v>
      </c>
      <c r="LH4" s="37" t="s">
        <v>612</v>
      </c>
      <c r="LI4" s="37" t="s">
        <v>779</v>
      </c>
      <c r="LJ4" s="37" t="s">
        <v>780</v>
      </c>
      <c r="LK4" s="37" t="s">
        <v>781</v>
      </c>
      <c r="LL4" s="37" t="s">
        <v>782</v>
      </c>
      <c r="LM4" s="37" t="s">
        <v>532</v>
      </c>
      <c r="LN4" s="37" t="s">
        <v>533</v>
      </c>
      <c r="LO4" s="37" t="s">
        <v>783</v>
      </c>
      <c r="LP4" s="37" t="s">
        <v>784</v>
      </c>
      <c r="LQ4" s="37" t="s">
        <v>619</v>
      </c>
      <c r="LR4" s="37" t="s">
        <v>620</v>
      </c>
      <c r="LS4" s="37" t="s">
        <v>621</v>
      </c>
      <c r="LT4" s="37" t="s">
        <v>622</v>
      </c>
      <c r="LU4" s="37" t="s">
        <v>785</v>
      </c>
      <c r="LV4" s="37" t="s">
        <v>786</v>
      </c>
      <c r="LW4" s="37" t="s">
        <v>787</v>
      </c>
      <c r="LX4" s="37" t="s">
        <v>788</v>
      </c>
      <c r="LY4" s="37" t="s">
        <v>624</v>
      </c>
      <c r="LZ4" s="37" t="s">
        <v>625</v>
      </c>
      <c r="MA4" s="37" t="s">
        <v>789</v>
      </c>
      <c r="MB4" s="37" t="s">
        <v>790</v>
      </c>
      <c r="MC4" s="37" t="s">
        <v>791</v>
      </c>
      <c r="MD4" s="37" t="s">
        <v>792</v>
      </c>
      <c r="ME4" s="37" t="s">
        <v>793</v>
      </c>
      <c r="MF4" s="37" t="s">
        <v>794</v>
      </c>
      <c r="MG4" s="37" t="s">
        <v>795</v>
      </c>
      <c r="MH4" s="37" t="s">
        <v>796</v>
      </c>
      <c r="MI4" s="37" t="s">
        <v>797</v>
      </c>
      <c r="MJ4" s="37" t="s">
        <v>798</v>
      </c>
      <c r="MK4" s="37" t="s">
        <v>799</v>
      </c>
      <c r="ML4" s="37" t="s">
        <v>800</v>
      </c>
      <c r="MM4" s="37" t="s">
        <v>801</v>
      </c>
      <c r="MN4" s="37" t="s">
        <v>802</v>
      </c>
      <c r="MO4" s="37" t="s">
        <v>803</v>
      </c>
      <c r="MP4" s="37" t="s">
        <v>804</v>
      </c>
      <c r="MQ4" s="37" t="s">
        <v>805</v>
      </c>
      <c r="MR4" s="37" t="s">
        <v>806</v>
      </c>
      <c r="MS4" s="37" t="s">
        <v>807</v>
      </c>
      <c r="MT4" s="37" t="s">
        <v>808</v>
      </c>
      <c r="MU4" s="37" t="s">
        <v>809</v>
      </c>
      <c r="MV4" s="37" t="s">
        <v>810</v>
      </c>
      <c r="MW4" s="37" t="s">
        <v>811</v>
      </c>
      <c r="MX4" s="37" t="s">
        <v>812</v>
      </c>
      <c r="MY4" s="37" t="s">
        <v>813</v>
      </c>
      <c r="MZ4" s="37" t="s">
        <v>814</v>
      </c>
      <c r="NA4" s="37" t="s">
        <v>815</v>
      </c>
      <c r="NB4" s="37" t="s">
        <v>816</v>
      </c>
      <c r="NC4" s="37" t="s">
        <v>817</v>
      </c>
      <c r="ND4" s="37" t="s">
        <v>818</v>
      </c>
      <c r="NE4" s="37" t="s">
        <v>818</v>
      </c>
      <c r="NF4" s="37" t="s">
        <v>818</v>
      </c>
      <c r="NG4" s="37" t="s">
        <v>819</v>
      </c>
      <c r="NH4" s="38" t="s">
        <v>820</v>
      </c>
      <c r="NI4" s="38" t="s">
        <v>612</v>
      </c>
      <c r="NJ4" s="38" t="s">
        <v>821</v>
      </c>
      <c r="NK4" s="38" t="s">
        <v>822</v>
      </c>
      <c r="NL4" s="38" t="s">
        <v>823</v>
      </c>
      <c r="NM4" s="38" t="s">
        <v>824</v>
      </c>
      <c r="NN4" s="38" t="s">
        <v>532</v>
      </c>
      <c r="NO4" s="38" t="s">
        <v>533</v>
      </c>
      <c r="NP4" s="38" t="s">
        <v>825</v>
      </c>
      <c r="NQ4" s="38" t="s">
        <v>784</v>
      </c>
      <c r="NR4" s="38" t="s">
        <v>619</v>
      </c>
      <c r="NS4" s="38" t="s">
        <v>620</v>
      </c>
      <c r="NT4" s="38" t="s">
        <v>622</v>
      </c>
      <c r="NU4" s="38" t="s">
        <v>621</v>
      </c>
      <c r="NV4" s="38" t="s">
        <v>785</v>
      </c>
      <c r="NW4" s="38" t="s">
        <v>786</v>
      </c>
      <c r="NX4" s="38" t="s">
        <v>788</v>
      </c>
      <c r="NY4" s="38" t="s">
        <v>624</v>
      </c>
      <c r="NZ4" s="38" t="s">
        <v>625</v>
      </c>
      <c r="OA4" s="38" t="s">
        <v>826</v>
      </c>
      <c r="OB4" s="38" t="s">
        <v>827</v>
      </c>
      <c r="OC4" s="38" t="s">
        <v>828</v>
      </c>
      <c r="OD4" s="38" t="s">
        <v>829</v>
      </c>
      <c r="OE4" s="38" t="s">
        <v>830</v>
      </c>
      <c r="OF4" s="38" t="s">
        <v>831</v>
      </c>
      <c r="OG4" s="38" t="s">
        <v>832</v>
      </c>
      <c r="OH4" s="38" t="s">
        <v>833</v>
      </c>
      <c r="OI4" s="38" t="s">
        <v>834</v>
      </c>
      <c r="OJ4" s="38" t="s">
        <v>835</v>
      </c>
      <c r="OK4" s="38" t="s">
        <v>836</v>
      </c>
      <c r="OL4" s="38" t="s">
        <v>837</v>
      </c>
      <c r="OM4" s="38" t="s">
        <v>838</v>
      </c>
      <c r="ON4" s="38" t="s">
        <v>839</v>
      </c>
      <c r="OO4" s="38" t="s">
        <v>840</v>
      </c>
      <c r="OP4" s="38" t="s">
        <v>841</v>
      </c>
      <c r="OQ4" s="38" t="s">
        <v>842</v>
      </c>
      <c r="OR4" s="38" t="s">
        <v>843</v>
      </c>
      <c r="OS4" s="38" t="s">
        <v>844</v>
      </c>
      <c r="OT4" s="38" t="s">
        <v>845</v>
      </c>
      <c r="OU4" s="38" t="s">
        <v>846</v>
      </c>
      <c r="OV4" s="38" t="s">
        <v>847</v>
      </c>
      <c r="OW4" s="38" t="s">
        <v>848</v>
      </c>
      <c r="OX4" s="38" t="s">
        <v>849</v>
      </c>
      <c r="OY4" s="38" t="s">
        <v>850</v>
      </c>
      <c r="OZ4" s="38" t="s">
        <v>851</v>
      </c>
      <c r="PA4" s="38" t="s">
        <v>852</v>
      </c>
      <c r="PB4" s="38" t="s">
        <v>853</v>
      </c>
      <c r="PC4" s="38" t="s">
        <v>854</v>
      </c>
      <c r="PD4" s="38" t="s">
        <v>855</v>
      </c>
      <c r="PE4" s="38" t="s">
        <v>856</v>
      </c>
      <c r="PF4" s="38" t="s">
        <v>857</v>
      </c>
      <c r="PG4" s="38" t="s">
        <v>858</v>
      </c>
      <c r="PH4" s="38" t="s">
        <v>859</v>
      </c>
      <c r="PI4" s="38" t="s">
        <v>860</v>
      </c>
      <c r="PJ4" s="38" t="s">
        <v>861</v>
      </c>
      <c r="PK4" s="38" t="s">
        <v>612</v>
      </c>
      <c r="PL4" s="38" t="s">
        <v>862</v>
      </c>
      <c r="PM4" s="38" t="s">
        <v>863</v>
      </c>
      <c r="PN4" s="38" t="s">
        <v>864</v>
      </c>
      <c r="PO4" s="38" t="s">
        <v>865</v>
      </c>
      <c r="PP4" s="38" t="s">
        <v>866</v>
      </c>
      <c r="PQ4" s="38" t="s">
        <v>867</v>
      </c>
      <c r="PR4" s="38" t="s">
        <v>868</v>
      </c>
      <c r="PS4" s="38" t="s">
        <v>869</v>
      </c>
      <c r="PT4" s="38" t="s">
        <v>870</v>
      </c>
      <c r="PU4" s="38" t="s">
        <v>871</v>
      </c>
      <c r="PV4" s="38" t="s">
        <v>872</v>
      </c>
      <c r="PW4" s="38" t="s">
        <v>873</v>
      </c>
      <c r="PX4" s="38" t="s">
        <v>874</v>
      </c>
      <c r="PY4" s="38" t="s">
        <v>875</v>
      </c>
      <c r="PZ4" s="38" t="s">
        <v>876</v>
      </c>
      <c r="QA4" s="38" t="s">
        <v>877</v>
      </c>
      <c r="QB4" s="38" t="s">
        <v>878</v>
      </c>
      <c r="QC4" s="38" t="s">
        <v>879</v>
      </c>
      <c r="QD4" s="38" t="s">
        <v>880</v>
      </c>
      <c r="QE4" s="38" t="s">
        <v>881</v>
      </c>
      <c r="QF4" s="38" t="s">
        <v>882</v>
      </c>
      <c r="QG4" s="38" t="s">
        <v>861</v>
      </c>
      <c r="QH4" s="38" t="s">
        <v>612</v>
      </c>
      <c r="QI4" s="38" t="s">
        <v>883</v>
      </c>
      <c r="QJ4" s="38" t="s">
        <v>884</v>
      </c>
      <c r="QK4" s="38" t="s">
        <v>885</v>
      </c>
      <c r="QL4" s="38" t="s">
        <v>886</v>
      </c>
      <c r="QM4" s="38" t="s">
        <v>887</v>
      </c>
      <c r="QN4" s="38" t="s">
        <v>888</v>
      </c>
      <c r="QO4" s="38" t="s">
        <v>889</v>
      </c>
      <c r="QP4" s="38" t="s">
        <v>890</v>
      </c>
      <c r="QQ4" s="38" t="s">
        <v>891</v>
      </c>
      <c r="QR4" s="38" t="s">
        <v>892</v>
      </c>
      <c r="QS4" s="38" t="s">
        <v>893</v>
      </c>
    </row>
    <row r="5" spans="1:461">
      <c r="A5" s="13" t="s">
        <v>894</v>
      </c>
      <c r="B5" s="13" t="s">
        <v>895</v>
      </c>
      <c r="C5" s="13" t="s">
        <v>895</v>
      </c>
      <c r="D5" s="13" t="s">
        <v>895</v>
      </c>
      <c r="E5" s="13" t="s">
        <v>895</v>
      </c>
      <c r="F5" s="13" t="s">
        <v>895</v>
      </c>
      <c r="G5" s="13" t="s">
        <v>895</v>
      </c>
      <c r="H5" s="13" t="s">
        <v>895</v>
      </c>
      <c r="I5" s="13" t="s">
        <v>895</v>
      </c>
      <c r="J5" s="13" t="s">
        <v>896</v>
      </c>
      <c r="K5" s="13" t="s">
        <v>896</v>
      </c>
      <c r="L5" s="13" t="s">
        <v>896</v>
      </c>
      <c r="M5" s="13" t="s">
        <v>896</v>
      </c>
      <c r="N5" s="13" t="s">
        <v>896</v>
      </c>
      <c r="O5" s="13" t="s">
        <v>896</v>
      </c>
      <c r="P5" s="13" t="s">
        <v>896</v>
      </c>
      <c r="Q5" s="13" t="s">
        <v>896</v>
      </c>
      <c r="R5" s="13" t="s">
        <v>896</v>
      </c>
      <c r="S5" s="13" t="s">
        <v>896</v>
      </c>
      <c r="T5" s="13" t="s">
        <v>896</v>
      </c>
      <c r="U5" s="13" t="s">
        <v>896</v>
      </c>
      <c r="V5" s="13" t="s">
        <v>897</v>
      </c>
      <c r="W5" s="13" t="s">
        <v>897</v>
      </c>
      <c r="X5" s="13" t="s">
        <v>897</v>
      </c>
      <c r="Y5" s="13" t="s">
        <v>896</v>
      </c>
      <c r="Z5" s="13" t="s">
        <v>896</v>
      </c>
      <c r="AA5" s="13" t="s">
        <v>898</v>
      </c>
      <c r="AB5" s="13" t="s">
        <v>896</v>
      </c>
      <c r="AC5" s="13" t="s">
        <v>896</v>
      </c>
      <c r="AD5" s="13" t="s">
        <v>896</v>
      </c>
      <c r="AE5" s="13" t="s">
        <v>896</v>
      </c>
      <c r="AF5" s="13" t="s">
        <v>896</v>
      </c>
      <c r="AG5" s="13" t="s">
        <v>897</v>
      </c>
      <c r="AH5" s="13" t="s">
        <v>897</v>
      </c>
      <c r="AI5" s="13" t="s">
        <v>896</v>
      </c>
      <c r="AJ5" s="13" t="s">
        <v>896</v>
      </c>
      <c r="AK5" s="13" t="s">
        <v>896</v>
      </c>
      <c r="AL5" s="13" t="s">
        <v>897</v>
      </c>
      <c r="AM5" s="13" t="s">
        <v>897</v>
      </c>
      <c r="AN5" s="13" t="s">
        <v>897</v>
      </c>
      <c r="AO5" s="13" t="s">
        <v>897</v>
      </c>
      <c r="AP5" s="13" t="s">
        <v>897</v>
      </c>
      <c r="AQ5" s="33" t="s">
        <v>896</v>
      </c>
      <c r="AR5" s="33" t="s">
        <v>896</v>
      </c>
      <c r="AS5" s="33" t="s">
        <v>896</v>
      </c>
      <c r="AT5" s="33" t="s">
        <v>896</v>
      </c>
      <c r="AU5" s="33" t="s">
        <v>896</v>
      </c>
      <c r="AV5" s="33" t="s">
        <v>898</v>
      </c>
      <c r="AW5" s="33" t="s">
        <v>896</v>
      </c>
      <c r="AX5" s="33" t="s">
        <v>896</v>
      </c>
      <c r="AY5" s="33" t="s">
        <v>897</v>
      </c>
      <c r="AZ5" s="33" t="s">
        <v>897</v>
      </c>
      <c r="BA5" s="33" t="s">
        <v>897</v>
      </c>
      <c r="BB5" s="33" t="s">
        <v>897</v>
      </c>
      <c r="BC5" s="33" t="s">
        <v>897</v>
      </c>
      <c r="BD5" s="33" t="s">
        <v>897</v>
      </c>
      <c r="BE5" s="33" t="s">
        <v>897</v>
      </c>
      <c r="BF5" s="33" t="s">
        <v>897</v>
      </c>
      <c r="BG5" s="33" t="s">
        <v>897</v>
      </c>
      <c r="BH5" s="33" t="s">
        <v>897</v>
      </c>
      <c r="BI5" s="33" t="s">
        <v>897</v>
      </c>
      <c r="BJ5" s="33" t="s">
        <v>897</v>
      </c>
      <c r="BK5" s="33" t="s">
        <v>897</v>
      </c>
      <c r="BL5" s="33" t="s">
        <v>897</v>
      </c>
      <c r="BM5" s="33" t="s">
        <v>897</v>
      </c>
      <c r="BN5" s="33" t="s">
        <v>897</v>
      </c>
      <c r="BO5" s="33" t="s">
        <v>896</v>
      </c>
      <c r="BP5" s="33" t="s">
        <v>897</v>
      </c>
      <c r="BQ5" s="33" t="s">
        <v>897</v>
      </c>
      <c r="BR5" s="33" t="s">
        <v>897</v>
      </c>
      <c r="BS5" s="33" t="s">
        <v>897</v>
      </c>
      <c r="BT5" s="33" t="s">
        <v>896</v>
      </c>
      <c r="BU5" s="33" t="s">
        <v>896</v>
      </c>
      <c r="BV5" s="33" t="s">
        <v>896</v>
      </c>
      <c r="BW5" s="33" t="s">
        <v>896</v>
      </c>
      <c r="BX5" s="33" t="s">
        <v>896</v>
      </c>
      <c r="BY5" s="33" t="s">
        <v>896</v>
      </c>
      <c r="BZ5" s="33" t="s">
        <v>896</v>
      </c>
      <c r="CA5" s="33" t="s">
        <v>896</v>
      </c>
      <c r="CB5" s="33" t="s">
        <v>896</v>
      </c>
      <c r="CC5" s="33" t="s">
        <v>897</v>
      </c>
      <c r="CD5" s="33" t="s">
        <v>897</v>
      </c>
      <c r="CE5" s="34" t="s">
        <v>896</v>
      </c>
      <c r="CF5" s="34" t="s">
        <v>896</v>
      </c>
      <c r="CG5" s="34" t="s">
        <v>896</v>
      </c>
      <c r="CH5" s="34" t="s">
        <v>896</v>
      </c>
      <c r="CI5" s="34" t="s">
        <v>896</v>
      </c>
      <c r="CJ5" s="34" t="s">
        <v>898</v>
      </c>
      <c r="CK5" s="34" t="s">
        <v>896</v>
      </c>
      <c r="CL5" s="34" t="s">
        <v>896</v>
      </c>
      <c r="CM5" s="34" t="s">
        <v>897</v>
      </c>
      <c r="CN5" s="34" t="s">
        <v>897</v>
      </c>
      <c r="CO5" s="34" t="s">
        <v>897</v>
      </c>
      <c r="CP5" s="34" t="s">
        <v>897</v>
      </c>
      <c r="CQ5" s="34" t="s">
        <v>897</v>
      </c>
      <c r="CR5" s="34" t="s">
        <v>897</v>
      </c>
      <c r="CS5" s="34" t="s">
        <v>897</v>
      </c>
      <c r="CT5" s="34" t="s">
        <v>897</v>
      </c>
      <c r="CU5" s="34" t="s">
        <v>897</v>
      </c>
      <c r="CV5" s="34" t="s">
        <v>897</v>
      </c>
      <c r="CW5" s="34" t="s">
        <v>897</v>
      </c>
      <c r="CX5" s="34" t="s">
        <v>897</v>
      </c>
      <c r="CY5" s="34" t="s">
        <v>897</v>
      </c>
      <c r="CZ5" s="34" t="s">
        <v>897</v>
      </c>
      <c r="DA5" s="34" t="s">
        <v>897</v>
      </c>
      <c r="DB5" s="34" t="s">
        <v>897</v>
      </c>
      <c r="DC5" s="34" t="s">
        <v>897</v>
      </c>
      <c r="DD5" s="34" t="s">
        <v>897</v>
      </c>
      <c r="DE5" s="34" t="s">
        <v>897</v>
      </c>
      <c r="DF5" s="34" t="s">
        <v>897</v>
      </c>
      <c r="DG5" s="34" t="s">
        <v>897</v>
      </c>
      <c r="DH5" s="34" t="s">
        <v>897</v>
      </c>
      <c r="DI5" s="34" t="s">
        <v>897</v>
      </c>
      <c r="DJ5" s="34" t="s">
        <v>897</v>
      </c>
      <c r="DK5" s="34" t="s">
        <v>897</v>
      </c>
      <c r="DL5" s="34" t="s">
        <v>897</v>
      </c>
      <c r="DM5" s="13" t="s">
        <v>896</v>
      </c>
      <c r="DN5" s="13" t="s">
        <v>896</v>
      </c>
      <c r="DO5" s="13" t="s">
        <v>897</v>
      </c>
      <c r="DP5" s="13" t="s">
        <v>897</v>
      </c>
      <c r="DQ5" s="13" t="s">
        <v>897</v>
      </c>
      <c r="DR5" s="13" t="s">
        <v>897</v>
      </c>
      <c r="DS5" s="13" t="s">
        <v>897</v>
      </c>
      <c r="DT5" s="13" t="s">
        <v>897</v>
      </c>
      <c r="DU5" s="13" t="s">
        <v>897</v>
      </c>
      <c r="DV5" s="13" t="s">
        <v>897</v>
      </c>
      <c r="DW5" s="13" t="s">
        <v>897</v>
      </c>
      <c r="DX5" s="13" t="s">
        <v>897</v>
      </c>
      <c r="DY5" s="13" t="s">
        <v>897</v>
      </c>
      <c r="DZ5" s="13" t="s">
        <v>897</v>
      </c>
      <c r="EA5" s="35" t="s">
        <v>896</v>
      </c>
      <c r="EB5" s="35" t="s">
        <v>896</v>
      </c>
      <c r="EC5" s="35" t="s">
        <v>896</v>
      </c>
      <c r="ED5" s="35" t="s">
        <v>896</v>
      </c>
      <c r="EE5" s="35" t="s">
        <v>896</v>
      </c>
      <c r="EF5" s="35" t="s">
        <v>898</v>
      </c>
      <c r="EG5" s="35" t="s">
        <v>896</v>
      </c>
      <c r="EH5" s="35" t="s">
        <v>896</v>
      </c>
      <c r="EI5" s="35" t="s">
        <v>897</v>
      </c>
      <c r="EJ5" s="35" t="s">
        <v>897</v>
      </c>
      <c r="EK5" s="35" t="s">
        <v>897</v>
      </c>
      <c r="EL5" s="35" t="s">
        <v>897</v>
      </c>
      <c r="EM5" s="35" t="s">
        <v>897</v>
      </c>
      <c r="EN5" s="35" t="s">
        <v>897</v>
      </c>
      <c r="EO5" s="35" t="s">
        <v>897</v>
      </c>
      <c r="EP5" s="35" t="s">
        <v>897</v>
      </c>
      <c r="EQ5" s="35" t="s">
        <v>897</v>
      </c>
      <c r="ER5" s="35" t="s">
        <v>897</v>
      </c>
      <c r="ES5" s="35" t="s">
        <v>897</v>
      </c>
      <c r="ET5" s="35" t="s">
        <v>897</v>
      </c>
      <c r="EU5" s="35" t="s">
        <v>897</v>
      </c>
      <c r="EV5" s="35" t="s">
        <v>897</v>
      </c>
      <c r="EW5" s="35" t="s">
        <v>897</v>
      </c>
      <c r="EX5" s="35" t="s">
        <v>897</v>
      </c>
      <c r="EY5" s="35" t="s">
        <v>897</v>
      </c>
      <c r="EZ5" s="35" t="s">
        <v>897</v>
      </c>
      <c r="FA5" s="35" t="s">
        <v>897</v>
      </c>
      <c r="FB5" s="35" t="s">
        <v>897</v>
      </c>
      <c r="FC5" s="35" t="s">
        <v>897</v>
      </c>
      <c r="FD5" s="35" t="s">
        <v>897</v>
      </c>
      <c r="FE5" s="35" t="s">
        <v>897</v>
      </c>
      <c r="FF5" s="35" t="s">
        <v>897</v>
      </c>
      <c r="FG5" s="35" t="s">
        <v>897</v>
      </c>
      <c r="FH5" s="35" t="s">
        <v>897</v>
      </c>
      <c r="FI5" s="35" t="s">
        <v>897</v>
      </c>
      <c r="FJ5" s="35" t="s">
        <v>897</v>
      </c>
      <c r="FK5" s="36" t="s">
        <v>896</v>
      </c>
      <c r="FL5" s="36" t="s">
        <v>896</v>
      </c>
      <c r="FM5" s="36" t="s">
        <v>896</v>
      </c>
      <c r="FN5" s="36" t="s">
        <v>896</v>
      </c>
      <c r="FO5" s="36" t="s">
        <v>896</v>
      </c>
      <c r="FP5" s="36" t="s">
        <v>898</v>
      </c>
      <c r="FQ5" s="36" t="s">
        <v>896</v>
      </c>
      <c r="FR5" s="36" t="s">
        <v>896</v>
      </c>
      <c r="FS5" s="36" t="s">
        <v>897</v>
      </c>
      <c r="FT5" s="36" t="s">
        <v>897</v>
      </c>
      <c r="FU5" s="36" t="s">
        <v>897</v>
      </c>
      <c r="FV5" s="36" t="s">
        <v>897</v>
      </c>
      <c r="FW5" s="36" t="s">
        <v>897</v>
      </c>
      <c r="FX5" s="36" t="s">
        <v>897</v>
      </c>
      <c r="FY5" s="36" t="s">
        <v>897</v>
      </c>
      <c r="FZ5" s="36" t="s">
        <v>897</v>
      </c>
      <c r="GA5" s="36" t="s">
        <v>897</v>
      </c>
      <c r="GB5" s="36" t="s">
        <v>896</v>
      </c>
      <c r="GC5" s="36" t="s">
        <v>896</v>
      </c>
      <c r="GD5" s="36" t="s">
        <v>897</v>
      </c>
      <c r="GE5" s="36" t="s">
        <v>897</v>
      </c>
      <c r="GF5" s="36" t="s">
        <v>897</v>
      </c>
      <c r="GG5" s="36" t="s">
        <v>897</v>
      </c>
      <c r="GH5" s="36" t="s">
        <v>897</v>
      </c>
      <c r="GI5" s="36" t="s">
        <v>897</v>
      </c>
      <c r="GJ5" s="36" t="s">
        <v>897</v>
      </c>
      <c r="GK5" s="36" t="s">
        <v>897</v>
      </c>
      <c r="GL5" s="36" t="s">
        <v>897</v>
      </c>
      <c r="GM5" s="36" t="s">
        <v>897</v>
      </c>
      <c r="GN5" s="36" t="s">
        <v>897</v>
      </c>
      <c r="GO5" s="36" t="s">
        <v>897</v>
      </c>
      <c r="GP5" s="36" t="s">
        <v>897</v>
      </c>
      <c r="GQ5" s="36" t="s">
        <v>897</v>
      </c>
      <c r="GR5" s="36" t="s">
        <v>897</v>
      </c>
      <c r="GS5" s="36" t="s">
        <v>897</v>
      </c>
      <c r="GT5" s="36" t="s">
        <v>897</v>
      </c>
      <c r="GU5" s="36" t="s">
        <v>897</v>
      </c>
      <c r="GV5" s="36" t="s">
        <v>897</v>
      </c>
      <c r="GW5" s="36" t="s">
        <v>897</v>
      </c>
      <c r="GX5" s="36" t="s">
        <v>897</v>
      </c>
      <c r="GY5" s="36" t="s">
        <v>897</v>
      </c>
      <c r="GZ5" s="36" t="s">
        <v>897</v>
      </c>
      <c r="HA5" s="36" t="s">
        <v>897</v>
      </c>
      <c r="HB5" s="36" t="s">
        <v>897</v>
      </c>
      <c r="HC5" s="36" t="s">
        <v>897</v>
      </c>
      <c r="HD5" s="36" t="s">
        <v>897</v>
      </c>
      <c r="HE5" s="36" t="s">
        <v>897</v>
      </c>
      <c r="HF5" s="36" t="s">
        <v>897</v>
      </c>
      <c r="HG5" s="36" t="s">
        <v>897</v>
      </c>
      <c r="HH5" s="36" t="s">
        <v>897</v>
      </c>
      <c r="HI5" s="36" t="s">
        <v>897</v>
      </c>
      <c r="HJ5" s="36" t="s">
        <v>897</v>
      </c>
      <c r="HK5" s="36" t="s">
        <v>897</v>
      </c>
      <c r="HL5" s="36" t="s">
        <v>897</v>
      </c>
      <c r="HM5" s="36" t="s">
        <v>897</v>
      </c>
      <c r="HN5" s="36" t="s">
        <v>897</v>
      </c>
      <c r="HO5" s="36" t="s">
        <v>897</v>
      </c>
      <c r="HP5" s="36" t="s">
        <v>897</v>
      </c>
      <c r="HQ5" s="36" t="s">
        <v>897</v>
      </c>
      <c r="HR5" s="36" t="s">
        <v>897</v>
      </c>
      <c r="HS5" s="36" t="s">
        <v>897</v>
      </c>
      <c r="HT5" s="36" t="s">
        <v>897</v>
      </c>
      <c r="HU5" s="36" t="s">
        <v>897</v>
      </c>
      <c r="HV5" s="36" t="s">
        <v>897</v>
      </c>
      <c r="HW5" s="36" t="s">
        <v>897</v>
      </c>
      <c r="HX5" s="36" t="s">
        <v>897</v>
      </c>
      <c r="HY5" s="36" t="s">
        <v>897</v>
      </c>
      <c r="HZ5" s="36" t="s">
        <v>897</v>
      </c>
      <c r="IA5" s="36" t="s">
        <v>897</v>
      </c>
      <c r="IB5" s="36" t="s">
        <v>897</v>
      </c>
      <c r="IC5" s="36" t="s">
        <v>897</v>
      </c>
      <c r="ID5" s="36" t="s">
        <v>897</v>
      </c>
      <c r="IE5" s="36" t="s">
        <v>897</v>
      </c>
      <c r="IF5" s="36" t="s">
        <v>897</v>
      </c>
      <c r="IG5" s="36" t="s">
        <v>897</v>
      </c>
      <c r="IH5" s="36" t="s">
        <v>897</v>
      </c>
      <c r="II5" s="36" t="s">
        <v>897</v>
      </c>
      <c r="IJ5" s="36" t="s">
        <v>897</v>
      </c>
      <c r="IK5" s="36" t="s">
        <v>897</v>
      </c>
      <c r="IL5" s="36" t="s">
        <v>897</v>
      </c>
      <c r="IM5" s="36" t="s">
        <v>897</v>
      </c>
      <c r="IN5" s="36" t="s">
        <v>897</v>
      </c>
      <c r="IO5" s="36" t="s">
        <v>897</v>
      </c>
      <c r="IP5" s="36" t="s">
        <v>897</v>
      </c>
      <c r="IQ5" s="36" t="s">
        <v>897</v>
      </c>
      <c r="IR5" s="36" t="s">
        <v>897</v>
      </c>
      <c r="IS5" s="36" t="s">
        <v>897</v>
      </c>
      <c r="IT5" s="36" t="s">
        <v>897</v>
      </c>
      <c r="IU5" s="36" t="s">
        <v>897</v>
      </c>
      <c r="IV5" s="36" t="s">
        <v>897</v>
      </c>
      <c r="IW5" s="36" t="s">
        <v>897</v>
      </c>
      <c r="IX5" s="36" t="s">
        <v>897</v>
      </c>
      <c r="IY5" s="36" t="s">
        <v>897</v>
      </c>
      <c r="IZ5" s="36" t="s">
        <v>897</v>
      </c>
      <c r="JA5" s="36" t="s">
        <v>897</v>
      </c>
      <c r="JB5" s="36" t="s">
        <v>897</v>
      </c>
      <c r="JC5" s="36" t="s">
        <v>897</v>
      </c>
      <c r="JD5" s="36" t="s">
        <v>897</v>
      </c>
      <c r="JE5" s="36" t="s">
        <v>897</v>
      </c>
      <c r="JF5" s="36" t="s">
        <v>897</v>
      </c>
      <c r="JG5" s="36" t="s">
        <v>897</v>
      </c>
      <c r="JH5" s="36" t="s">
        <v>897</v>
      </c>
      <c r="JI5" s="36" t="s">
        <v>897</v>
      </c>
      <c r="JJ5" s="36" t="s">
        <v>897</v>
      </c>
      <c r="JK5" s="36" t="s">
        <v>897</v>
      </c>
      <c r="JL5" s="36" t="s">
        <v>897</v>
      </c>
      <c r="JM5" s="36" t="s">
        <v>897</v>
      </c>
      <c r="JN5" s="36" t="s">
        <v>897</v>
      </c>
      <c r="JO5" s="36" t="s">
        <v>897</v>
      </c>
      <c r="JP5" s="36" t="s">
        <v>897</v>
      </c>
      <c r="JQ5" s="36" t="s">
        <v>897</v>
      </c>
      <c r="JR5" s="36" t="s">
        <v>897</v>
      </c>
      <c r="JS5" s="36" t="s">
        <v>897</v>
      </c>
      <c r="JT5" s="36" t="s">
        <v>897</v>
      </c>
      <c r="JU5" s="36" t="s">
        <v>897</v>
      </c>
      <c r="JV5" s="36" t="s">
        <v>897</v>
      </c>
      <c r="JW5" s="36" t="s">
        <v>897</v>
      </c>
      <c r="JX5" s="36" t="s">
        <v>897</v>
      </c>
      <c r="JY5" s="36" t="s">
        <v>897</v>
      </c>
      <c r="JZ5" s="36" t="s">
        <v>897</v>
      </c>
      <c r="KA5" s="36" t="s">
        <v>897</v>
      </c>
      <c r="KB5" s="36" t="s">
        <v>897</v>
      </c>
      <c r="KC5" s="36" t="s">
        <v>897</v>
      </c>
      <c r="KD5" s="36" t="s">
        <v>897</v>
      </c>
      <c r="KE5" s="36" t="s">
        <v>897</v>
      </c>
      <c r="KF5" s="36" t="s">
        <v>897</v>
      </c>
      <c r="KG5" s="36" t="s">
        <v>897</v>
      </c>
      <c r="KH5" s="36" t="s">
        <v>897</v>
      </c>
      <c r="KI5" s="36" t="s">
        <v>897</v>
      </c>
      <c r="KJ5" s="36" t="s">
        <v>897</v>
      </c>
      <c r="KK5" s="36" t="s">
        <v>897</v>
      </c>
      <c r="KL5" s="36" t="s">
        <v>897</v>
      </c>
      <c r="KM5" s="36" t="s">
        <v>897</v>
      </c>
      <c r="KN5" s="36" t="s">
        <v>897</v>
      </c>
      <c r="KO5" s="36" t="s">
        <v>897</v>
      </c>
      <c r="KP5" s="36" t="s">
        <v>897</v>
      </c>
      <c r="KQ5" s="36" t="s">
        <v>897</v>
      </c>
      <c r="KR5" s="36" t="s">
        <v>897</v>
      </c>
      <c r="KS5" s="36" t="s">
        <v>897</v>
      </c>
      <c r="KT5" s="36" t="s">
        <v>897</v>
      </c>
      <c r="KU5" s="36" t="s">
        <v>897</v>
      </c>
      <c r="KV5" s="36" t="s">
        <v>897</v>
      </c>
      <c r="KW5" s="36" t="s">
        <v>897</v>
      </c>
      <c r="KX5" s="36" t="s">
        <v>897</v>
      </c>
      <c r="KY5" s="36" t="s">
        <v>897</v>
      </c>
      <c r="KZ5" s="36" t="s">
        <v>897</v>
      </c>
      <c r="LA5" s="36" t="s">
        <v>897</v>
      </c>
      <c r="LB5" s="36" t="s">
        <v>897</v>
      </c>
      <c r="LC5" s="36" t="s">
        <v>897</v>
      </c>
      <c r="LD5" s="36" t="s">
        <v>897</v>
      </c>
      <c r="LE5" s="36" t="s">
        <v>897</v>
      </c>
      <c r="LF5" s="36" t="s">
        <v>897</v>
      </c>
      <c r="LG5" s="37" t="s">
        <v>896</v>
      </c>
      <c r="LH5" s="37" t="s">
        <v>896</v>
      </c>
      <c r="LI5" s="37" t="s">
        <v>896</v>
      </c>
      <c r="LJ5" s="37" t="s">
        <v>896</v>
      </c>
      <c r="LK5" s="37" t="s">
        <v>896</v>
      </c>
      <c r="LL5" s="37" t="s">
        <v>898</v>
      </c>
      <c r="LM5" s="37" t="s">
        <v>896</v>
      </c>
      <c r="LN5" s="37" t="s">
        <v>896</v>
      </c>
      <c r="LO5" s="37" t="s">
        <v>897</v>
      </c>
      <c r="LP5" s="37" t="s">
        <v>897</v>
      </c>
      <c r="LQ5" s="37" t="s">
        <v>897</v>
      </c>
      <c r="LR5" s="37" t="s">
        <v>897</v>
      </c>
      <c r="LS5" s="37" t="s">
        <v>897</v>
      </c>
      <c r="LT5" s="37" t="s">
        <v>897</v>
      </c>
      <c r="LU5" s="37" t="s">
        <v>897</v>
      </c>
      <c r="LV5" s="37" t="s">
        <v>897</v>
      </c>
      <c r="LW5" s="37" t="s">
        <v>897</v>
      </c>
      <c r="LX5" s="37" t="s">
        <v>897</v>
      </c>
      <c r="LY5" s="37" t="s">
        <v>897</v>
      </c>
      <c r="LZ5" s="37" t="s">
        <v>897</v>
      </c>
      <c r="MA5" s="37" t="s">
        <v>897</v>
      </c>
      <c r="MB5" s="37" t="s">
        <v>897</v>
      </c>
      <c r="MC5" s="37" t="s">
        <v>897</v>
      </c>
      <c r="MD5" s="37" t="s">
        <v>896</v>
      </c>
      <c r="ME5" s="37" t="s">
        <v>896</v>
      </c>
      <c r="MF5" s="37" t="s">
        <v>897</v>
      </c>
      <c r="MG5" s="37" t="s">
        <v>897</v>
      </c>
      <c r="MH5" s="37" t="s">
        <v>897</v>
      </c>
      <c r="MI5" s="37" t="s">
        <v>897</v>
      </c>
      <c r="MJ5" s="37" t="s">
        <v>896</v>
      </c>
      <c r="MK5" s="37" t="s">
        <v>897</v>
      </c>
      <c r="ML5" s="37" t="s">
        <v>897</v>
      </c>
      <c r="MM5" s="37" t="s">
        <v>897</v>
      </c>
      <c r="MN5" s="37" t="s">
        <v>897</v>
      </c>
      <c r="MO5" s="37" t="s">
        <v>897</v>
      </c>
      <c r="MP5" s="37" t="s">
        <v>897</v>
      </c>
      <c r="MQ5" s="37" t="s">
        <v>897</v>
      </c>
      <c r="MR5" s="37" t="s">
        <v>897</v>
      </c>
      <c r="MS5" s="37" t="s">
        <v>897</v>
      </c>
      <c r="MT5" s="37" t="s">
        <v>897</v>
      </c>
      <c r="MU5" s="37" t="s">
        <v>897</v>
      </c>
      <c r="MV5" s="37" t="s">
        <v>897</v>
      </c>
      <c r="MW5" s="37" t="s">
        <v>897</v>
      </c>
      <c r="MX5" s="37" t="s">
        <v>897</v>
      </c>
      <c r="MY5" s="37" t="s">
        <v>897</v>
      </c>
      <c r="MZ5" s="37" t="s">
        <v>897</v>
      </c>
      <c r="NA5" s="37" t="s">
        <v>897</v>
      </c>
      <c r="NB5" s="37" t="s">
        <v>897</v>
      </c>
      <c r="NC5" s="37" t="s">
        <v>897</v>
      </c>
      <c r="ND5" s="37" t="s">
        <v>897</v>
      </c>
      <c r="NE5" s="37" t="s">
        <v>897</v>
      </c>
      <c r="NF5" s="37" t="s">
        <v>897</v>
      </c>
      <c r="NG5" s="37" t="s">
        <v>897</v>
      </c>
      <c r="NH5" s="38" t="s">
        <v>896</v>
      </c>
      <c r="NI5" s="38" t="s">
        <v>896</v>
      </c>
      <c r="NJ5" s="38" t="s">
        <v>896</v>
      </c>
      <c r="NK5" s="38" t="s">
        <v>896</v>
      </c>
      <c r="NL5" s="38" t="s">
        <v>896</v>
      </c>
      <c r="NM5" s="38" t="s">
        <v>898</v>
      </c>
      <c r="NN5" s="38" t="s">
        <v>896</v>
      </c>
      <c r="NO5" s="38" t="s">
        <v>896</v>
      </c>
      <c r="NP5" s="38" t="s">
        <v>897</v>
      </c>
      <c r="NQ5" s="38" t="s">
        <v>897</v>
      </c>
      <c r="NR5" s="38" t="s">
        <v>897</v>
      </c>
      <c r="NS5" s="38" t="s">
        <v>897</v>
      </c>
      <c r="NT5" s="38" t="s">
        <v>897</v>
      </c>
      <c r="NU5" s="38" t="s">
        <v>897</v>
      </c>
      <c r="NV5" s="38" t="s">
        <v>897</v>
      </c>
      <c r="NW5" s="38" t="s">
        <v>897</v>
      </c>
      <c r="NX5" s="38" t="s">
        <v>897</v>
      </c>
      <c r="NY5" s="38" t="s">
        <v>897</v>
      </c>
      <c r="NZ5" s="38" t="s">
        <v>897</v>
      </c>
      <c r="OA5" s="38" t="s">
        <v>897</v>
      </c>
      <c r="OB5" s="38" t="s">
        <v>897</v>
      </c>
      <c r="OC5" s="38" t="s">
        <v>896</v>
      </c>
      <c r="OD5" s="38" t="s">
        <v>896</v>
      </c>
      <c r="OE5" s="38" t="s">
        <v>896</v>
      </c>
      <c r="OF5" s="38" t="s">
        <v>897</v>
      </c>
      <c r="OG5" s="38" t="s">
        <v>896</v>
      </c>
      <c r="OH5" s="38" t="s">
        <v>896</v>
      </c>
      <c r="OI5" s="38" t="s">
        <v>896</v>
      </c>
      <c r="OJ5" s="38" t="s">
        <v>897</v>
      </c>
      <c r="OK5" s="38" t="s">
        <v>897</v>
      </c>
      <c r="OL5" s="38" t="s">
        <v>897</v>
      </c>
      <c r="OM5" s="38" t="s">
        <v>897</v>
      </c>
      <c r="ON5" s="38" t="s">
        <v>897</v>
      </c>
      <c r="OO5" s="38" t="s">
        <v>897</v>
      </c>
      <c r="OP5" s="38" t="s">
        <v>897</v>
      </c>
      <c r="OQ5" s="38" t="s">
        <v>897</v>
      </c>
      <c r="OR5" s="38" t="s">
        <v>897</v>
      </c>
      <c r="OS5" s="38" t="s">
        <v>897</v>
      </c>
      <c r="OT5" s="38" t="s">
        <v>897</v>
      </c>
      <c r="OU5" s="38" t="s">
        <v>897</v>
      </c>
      <c r="OV5" s="38" t="s">
        <v>897</v>
      </c>
      <c r="OW5" s="38" t="s">
        <v>897</v>
      </c>
      <c r="OX5" s="38" t="s">
        <v>897</v>
      </c>
      <c r="OY5" s="38" t="s">
        <v>897</v>
      </c>
      <c r="OZ5" s="38" t="s">
        <v>897</v>
      </c>
      <c r="PA5" s="38" t="s">
        <v>897</v>
      </c>
      <c r="PB5" s="38" t="s">
        <v>897</v>
      </c>
      <c r="PC5" s="38" t="s">
        <v>897</v>
      </c>
      <c r="PD5" s="38" t="s">
        <v>897</v>
      </c>
      <c r="PE5" s="38" t="s">
        <v>897</v>
      </c>
      <c r="PF5" s="38" t="s">
        <v>897</v>
      </c>
      <c r="PG5" s="38" t="s">
        <v>897</v>
      </c>
      <c r="PH5" s="38" t="s">
        <v>897</v>
      </c>
      <c r="PI5" s="38" t="s">
        <v>897</v>
      </c>
      <c r="PJ5" s="38" t="s">
        <v>896</v>
      </c>
      <c r="PK5" s="38" t="s">
        <v>896</v>
      </c>
      <c r="PL5" s="38" t="s">
        <v>896</v>
      </c>
      <c r="PM5" s="38" t="s">
        <v>896</v>
      </c>
      <c r="PN5" s="38" t="s">
        <v>897</v>
      </c>
      <c r="PO5" s="38" t="s">
        <v>897</v>
      </c>
      <c r="PP5" s="38" t="s">
        <v>897</v>
      </c>
      <c r="PQ5" s="38" t="s">
        <v>897</v>
      </c>
      <c r="PR5" s="38" t="s">
        <v>897</v>
      </c>
      <c r="PS5" s="38" t="s">
        <v>897</v>
      </c>
      <c r="PT5" s="38" t="s">
        <v>897</v>
      </c>
      <c r="PU5" s="38" t="s">
        <v>897</v>
      </c>
      <c r="PV5" s="38" t="s">
        <v>897</v>
      </c>
      <c r="PW5" s="38" t="s">
        <v>897</v>
      </c>
      <c r="PX5" s="38" t="s">
        <v>897</v>
      </c>
      <c r="PY5" s="38" t="s">
        <v>897</v>
      </c>
      <c r="PZ5" s="38" t="s">
        <v>897</v>
      </c>
      <c r="QA5" s="38" t="s">
        <v>897</v>
      </c>
      <c r="QB5" s="38" t="s">
        <v>897</v>
      </c>
      <c r="QC5" s="38" t="s">
        <v>897</v>
      </c>
      <c r="QD5" s="38" t="s">
        <v>897</v>
      </c>
      <c r="QE5" s="38" t="s">
        <v>897</v>
      </c>
      <c r="QF5" s="38" t="s">
        <v>897</v>
      </c>
      <c r="QG5" s="38" t="s">
        <v>896</v>
      </c>
      <c r="QH5" s="38" t="s">
        <v>896</v>
      </c>
      <c r="QI5" s="38" t="s">
        <v>897</v>
      </c>
      <c r="QJ5" s="38" t="s">
        <v>897</v>
      </c>
      <c r="QK5" s="38" t="s">
        <v>897</v>
      </c>
      <c r="QL5" s="38" t="s">
        <v>897</v>
      </c>
      <c r="QM5" s="38" t="s">
        <v>897</v>
      </c>
      <c r="QN5" s="38" t="s">
        <v>897</v>
      </c>
      <c r="QO5" s="38" t="s">
        <v>897</v>
      </c>
      <c r="QP5" s="38" t="s">
        <v>897</v>
      </c>
      <c r="QQ5" s="38" t="s">
        <v>897</v>
      </c>
      <c r="QR5" s="38" t="s">
        <v>897</v>
      </c>
      <c r="QS5" s="38" t="s">
        <v>897</v>
      </c>
    </row>
    <row r="6" spans="1:461">
      <c r="A6" s="13" t="s">
        <v>899</v>
      </c>
      <c r="B6" s="13" t="s">
        <v>900</v>
      </c>
      <c r="C6" s="13" t="s">
        <v>900</v>
      </c>
      <c r="D6" s="13" t="s">
        <v>900</v>
      </c>
      <c r="E6" s="13" t="s">
        <v>900</v>
      </c>
      <c r="F6" s="13" t="s">
        <v>900</v>
      </c>
      <c r="G6" s="13" t="s">
        <v>900</v>
      </c>
      <c r="H6" s="13" t="s">
        <v>900</v>
      </c>
      <c r="I6" s="13" t="s">
        <v>900</v>
      </c>
      <c r="V6" s="13" t="s">
        <v>901</v>
      </c>
      <c r="W6" s="13" t="s">
        <v>902</v>
      </c>
      <c r="X6" s="13" t="s">
        <v>903</v>
      </c>
      <c r="Z6" s="13" t="s">
        <v>904</v>
      </c>
      <c r="AH6" s="13" t="s">
        <v>905</v>
      </c>
      <c r="AL6" s="13" t="s">
        <v>905</v>
      </c>
      <c r="AM6" s="13" t="s">
        <v>905</v>
      </c>
      <c r="AN6" s="13" t="s">
        <v>906</v>
      </c>
      <c r="AO6" s="13" t="s">
        <v>906</v>
      </c>
      <c r="AQ6" s="33"/>
      <c r="AR6" s="33"/>
      <c r="AS6" s="33"/>
      <c r="AT6" s="33"/>
      <c r="AU6" s="33"/>
      <c r="AV6" s="33"/>
      <c r="AW6" s="33"/>
      <c r="AX6" s="33"/>
      <c r="AY6" s="33" t="s">
        <v>907</v>
      </c>
      <c r="AZ6" s="33" t="s">
        <v>908</v>
      </c>
      <c r="BA6" s="33" t="s">
        <v>909</v>
      </c>
      <c r="BB6" s="33" t="s">
        <v>910</v>
      </c>
      <c r="BC6" s="33" t="s">
        <v>911</v>
      </c>
      <c r="BD6" s="33" t="s">
        <v>912</v>
      </c>
      <c r="BE6" s="33" t="s">
        <v>913</v>
      </c>
      <c r="BF6" s="33" t="s">
        <v>906</v>
      </c>
      <c r="BG6" s="33" t="s">
        <v>914</v>
      </c>
      <c r="BH6" s="33" t="s">
        <v>914</v>
      </c>
      <c r="BI6" s="33"/>
      <c r="BJ6" s="33"/>
      <c r="BK6" s="33"/>
      <c r="BL6" s="33" t="s">
        <v>915</v>
      </c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4"/>
      <c r="CF6" s="34"/>
      <c r="CG6" s="34"/>
      <c r="CH6" s="34"/>
      <c r="CI6" s="34"/>
      <c r="CJ6" s="34"/>
      <c r="CK6" s="34"/>
      <c r="CL6" s="34"/>
      <c r="CM6" s="34" t="s">
        <v>916</v>
      </c>
      <c r="CN6" s="34"/>
      <c r="CO6" s="34" t="s">
        <v>917</v>
      </c>
      <c r="CP6" s="34" t="s">
        <v>917</v>
      </c>
      <c r="CQ6" s="34" t="s">
        <v>917</v>
      </c>
      <c r="CR6" s="34" t="s">
        <v>917</v>
      </c>
      <c r="CS6" s="34" t="s">
        <v>917</v>
      </c>
      <c r="CT6" s="34" t="s">
        <v>917</v>
      </c>
      <c r="CU6" s="34" t="s">
        <v>917</v>
      </c>
      <c r="CV6" s="34" t="s">
        <v>917</v>
      </c>
      <c r="CW6" s="34" t="s">
        <v>917</v>
      </c>
      <c r="CX6" s="34" t="s">
        <v>917</v>
      </c>
      <c r="CY6" s="34" t="s">
        <v>917</v>
      </c>
      <c r="CZ6" s="34" t="s">
        <v>917</v>
      </c>
      <c r="DA6" s="34" t="s">
        <v>917</v>
      </c>
      <c r="DB6" s="34" t="s">
        <v>917</v>
      </c>
      <c r="DC6" s="34" t="s">
        <v>917</v>
      </c>
      <c r="DD6" s="34" t="s">
        <v>917</v>
      </c>
      <c r="DE6" s="34" t="s">
        <v>917</v>
      </c>
      <c r="DF6" s="34" t="s">
        <v>917</v>
      </c>
      <c r="DG6" s="34" t="s">
        <v>917</v>
      </c>
      <c r="DH6" s="34" t="s">
        <v>916</v>
      </c>
      <c r="DI6" s="34" t="s">
        <v>916</v>
      </c>
      <c r="DJ6" s="34" t="s">
        <v>916</v>
      </c>
      <c r="DK6" s="34" t="s">
        <v>916</v>
      </c>
      <c r="DL6" s="34" t="s">
        <v>918</v>
      </c>
      <c r="DO6" s="13" t="s">
        <v>907</v>
      </c>
      <c r="DQ6" s="13" t="s">
        <v>919</v>
      </c>
      <c r="DR6" s="13" t="s">
        <v>920</v>
      </c>
      <c r="DS6" s="13" t="s">
        <v>921</v>
      </c>
      <c r="DT6" s="13" t="s">
        <v>922</v>
      </c>
      <c r="EA6" s="35"/>
      <c r="EB6" s="35"/>
      <c r="EC6" s="35"/>
      <c r="ED6" s="35"/>
      <c r="EE6" s="35"/>
      <c r="EF6" s="35"/>
      <c r="EG6" s="35"/>
      <c r="EH6" s="35"/>
      <c r="EI6" s="35" t="s">
        <v>907</v>
      </c>
      <c r="EJ6" s="35"/>
      <c r="EK6" s="35" t="s">
        <v>908</v>
      </c>
      <c r="EL6" s="35" t="s">
        <v>909</v>
      </c>
      <c r="EM6" s="35" t="s">
        <v>910</v>
      </c>
      <c r="EN6" s="35" t="s">
        <v>910</v>
      </c>
      <c r="EO6" s="35" t="s">
        <v>911</v>
      </c>
      <c r="EP6" s="35" t="s">
        <v>923</v>
      </c>
      <c r="EQ6" s="35" t="s">
        <v>923</v>
      </c>
      <c r="ER6" s="35" t="s">
        <v>915</v>
      </c>
      <c r="ES6" s="35" t="s">
        <v>915</v>
      </c>
      <c r="ET6" s="35" t="s">
        <v>915</v>
      </c>
      <c r="EU6" s="35" t="s">
        <v>915</v>
      </c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 t="s">
        <v>924</v>
      </c>
      <c r="FI6" s="35" t="s">
        <v>924</v>
      </c>
      <c r="FJ6" s="35" t="s">
        <v>924</v>
      </c>
      <c r="FK6" s="36"/>
      <c r="FL6" s="36"/>
      <c r="FM6" s="36"/>
      <c r="FN6" s="36"/>
      <c r="FO6" s="36"/>
      <c r="FP6" s="36"/>
      <c r="FQ6" s="36"/>
      <c r="FR6" s="36"/>
      <c r="FS6" s="36" t="s">
        <v>907</v>
      </c>
      <c r="FT6" s="36"/>
      <c r="FU6" s="36" t="s">
        <v>908</v>
      </c>
      <c r="FV6" s="36" t="s">
        <v>909</v>
      </c>
      <c r="FW6" s="36" t="s">
        <v>910</v>
      </c>
      <c r="FX6" s="36" t="s">
        <v>910</v>
      </c>
      <c r="FY6" s="36" t="s">
        <v>912</v>
      </c>
      <c r="FZ6" s="36" t="s">
        <v>923</v>
      </c>
      <c r="GA6" s="36" t="s">
        <v>923</v>
      </c>
      <c r="GB6" s="36"/>
      <c r="GC6" s="36"/>
      <c r="GD6" s="36"/>
      <c r="GE6" s="36" t="s">
        <v>911</v>
      </c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 t="s">
        <v>911</v>
      </c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 t="s">
        <v>924</v>
      </c>
      <c r="IP6" s="36" t="s">
        <v>924</v>
      </c>
      <c r="IQ6" s="36" t="s">
        <v>924</v>
      </c>
      <c r="IR6" s="36"/>
      <c r="IS6" s="36" t="s">
        <v>911</v>
      </c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7"/>
      <c r="LH6" s="37"/>
      <c r="LI6" s="37"/>
      <c r="LJ6" s="37"/>
      <c r="LK6" s="37"/>
      <c r="LL6" s="37"/>
      <c r="LM6" s="37"/>
      <c r="LN6" s="37"/>
      <c r="LO6" s="37" t="s">
        <v>907</v>
      </c>
      <c r="LP6" s="37"/>
      <c r="LQ6" s="37" t="s">
        <v>908</v>
      </c>
      <c r="LR6" s="37" t="s">
        <v>909</v>
      </c>
      <c r="LS6" s="37" t="s">
        <v>910</v>
      </c>
      <c r="LT6" s="37" t="s">
        <v>910</v>
      </c>
      <c r="LU6" s="37" t="s">
        <v>911</v>
      </c>
      <c r="LV6" s="37" t="s">
        <v>912</v>
      </c>
      <c r="LW6" s="37" t="s">
        <v>912</v>
      </c>
      <c r="LX6" s="37" t="s">
        <v>925</v>
      </c>
      <c r="LY6" s="37" t="s">
        <v>926</v>
      </c>
      <c r="LZ6" s="37" t="s">
        <v>926</v>
      </c>
      <c r="MA6" s="37" t="s">
        <v>915</v>
      </c>
      <c r="MB6" s="37" t="s">
        <v>915</v>
      </c>
      <c r="MC6" s="37" t="s">
        <v>915</v>
      </c>
      <c r="MD6" s="37"/>
      <c r="ME6" s="37" t="s">
        <v>927</v>
      </c>
      <c r="MF6" s="37"/>
      <c r="MG6" s="37"/>
      <c r="MH6" s="37" t="s">
        <v>928</v>
      </c>
      <c r="MI6" s="37" t="s">
        <v>911</v>
      </c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 t="s">
        <v>911</v>
      </c>
      <c r="NA6" s="37"/>
      <c r="NB6" s="37"/>
      <c r="NC6" s="37"/>
      <c r="ND6" s="37" t="s">
        <v>481</v>
      </c>
      <c r="NE6" s="37" t="s">
        <v>481</v>
      </c>
      <c r="NF6" s="37" t="s">
        <v>481</v>
      </c>
      <c r="NG6" s="37"/>
      <c r="NH6" s="38"/>
      <c r="NI6" s="38"/>
      <c r="NJ6" s="38"/>
      <c r="NK6" s="38"/>
      <c r="NL6" s="38"/>
      <c r="NM6" s="38"/>
      <c r="NN6" s="38"/>
      <c r="NO6" s="38"/>
      <c r="NP6" s="38" t="s">
        <v>907</v>
      </c>
      <c r="NQ6" s="38"/>
      <c r="NR6" s="38" t="s">
        <v>908</v>
      </c>
      <c r="NS6" s="38" t="s">
        <v>909</v>
      </c>
      <c r="NT6" s="38" t="s">
        <v>910</v>
      </c>
      <c r="NU6" s="38" t="s">
        <v>910</v>
      </c>
      <c r="NV6" s="38" t="s">
        <v>911</v>
      </c>
      <c r="NW6" s="38" t="s">
        <v>912</v>
      </c>
      <c r="NX6" s="38" t="s">
        <v>925</v>
      </c>
      <c r="NY6" s="38" t="s">
        <v>929</v>
      </c>
      <c r="NZ6" s="38" t="s">
        <v>929</v>
      </c>
      <c r="OA6" s="38" t="s">
        <v>915</v>
      </c>
      <c r="OB6" s="38" t="s">
        <v>915</v>
      </c>
      <c r="OC6" s="38"/>
      <c r="OD6" s="38"/>
      <c r="OE6" s="38"/>
      <c r="OF6" s="38"/>
      <c r="OG6" s="38" t="s">
        <v>930</v>
      </c>
      <c r="OH6" s="38"/>
      <c r="OI6" s="38"/>
      <c r="OJ6" s="38"/>
      <c r="OK6" s="38"/>
      <c r="OL6" s="38"/>
      <c r="OM6" s="38"/>
      <c r="ON6" s="38"/>
      <c r="OO6" s="38"/>
      <c r="OP6" s="38" t="s">
        <v>928</v>
      </c>
      <c r="OQ6" s="38" t="s">
        <v>911</v>
      </c>
      <c r="OR6" s="38" t="s">
        <v>911</v>
      </c>
      <c r="OS6" s="38" t="s">
        <v>911</v>
      </c>
      <c r="OT6" s="38"/>
      <c r="OU6" s="38"/>
      <c r="OV6" s="38"/>
      <c r="OW6" s="38"/>
      <c r="OX6" s="38"/>
      <c r="OY6" s="38"/>
      <c r="OZ6" s="38"/>
      <c r="PA6" s="38"/>
      <c r="PB6" s="38"/>
      <c r="PC6" s="38" t="s">
        <v>911</v>
      </c>
      <c r="PD6" s="38"/>
      <c r="PE6" s="38"/>
      <c r="PF6" s="38"/>
      <c r="PG6" s="38"/>
      <c r="PH6" s="38" t="s">
        <v>911</v>
      </c>
      <c r="PI6" s="38"/>
      <c r="PJ6" s="38"/>
      <c r="PK6" s="38"/>
      <c r="PL6" s="38"/>
      <c r="PM6" s="38"/>
      <c r="PN6" s="38"/>
      <c r="PO6" s="38" t="s">
        <v>911</v>
      </c>
      <c r="PP6" s="38"/>
      <c r="PQ6" s="38"/>
      <c r="PR6" s="38"/>
      <c r="PS6" s="38"/>
      <c r="PT6" s="38"/>
      <c r="PU6" s="38"/>
      <c r="PV6" s="38"/>
      <c r="PW6" s="38" t="s">
        <v>931</v>
      </c>
      <c r="PX6" s="38" t="s">
        <v>932</v>
      </c>
      <c r="PY6" s="38"/>
      <c r="PZ6" s="38"/>
      <c r="QA6" s="38"/>
      <c r="QB6" s="38"/>
      <c r="QC6" s="38"/>
      <c r="QD6" s="38"/>
      <c r="QE6" s="38" t="s">
        <v>931</v>
      </c>
      <c r="QF6" s="38" t="s">
        <v>932</v>
      </c>
      <c r="QG6" s="38"/>
      <c r="QH6" s="38"/>
      <c r="QI6" s="38" t="s">
        <v>932</v>
      </c>
      <c r="QJ6" s="38" t="s">
        <v>931</v>
      </c>
      <c r="QK6" s="38" t="s">
        <v>932</v>
      </c>
      <c r="QL6" s="38" t="s">
        <v>931</v>
      </c>
      <c r="QM6" s="38" t="s">
        <v>932</v>
      </c>
      <c r="QN6" s="38" t="s">
        <v>931</v>
      </c>
      <c r="QO6" s="38" t="s">
        <v>932</v>
      </c>
      <c r="QP6" s="38" t="s">
        <v>931</v>
      </c>
      <c r="QQ6" s="38" t="s">
        <v>932</v>
      </c>
      <c r="QR6" s="38" t="s">
        <v>931</v>
      </c>
      <c r="QS6" s="38"/>
    </row>
    <row r="7" spans="1:461">
      <c r="A7" s="13" t="s">
        <v>933</v>
      </c>
      <c r="B7" s="13" t="s">
        <v>934</v>
      </c>
      <c r="C7" s="13" t="s">
        <v>935</v>
      </c>
      <c r="D7" s="13" t="s">
        <v>936</v>
      </c>
      <c r="E7" s="13" t="s">
        <v>937</v>
      </c>
      <c r="F7" s="13" t="s">
        <v>938</v>
      </c>
      <c r="G7" s="13" t="s">
        <v>939</v>
      </c>
      <c r="H7" s="13" t="s">
        <v>940</v>
      </c>
      <c r="I7" s="13" t="s">
        <v>941</v>
      </c>
      <c r="J7" s="13" t="s">
        <v>942</v>
      </c>
      <c r="K7" s="13" t="s">
        <v>943</v>
      </c>
      <c r="L7" s="13" t="s">
        <v>944</v>
      </c>
      <c r="M7" s="13" t="s">
        <v>945</v>
      </c>
      <c r="N7" s="13" t="s">
        <v>946</v>
      </c>
      <c r="O7" s="13" t="s">
        <v>947</v>
      </c>
      <c r="P7" s="13" t="s">
        <v>948</v>
      </c>
      <c r="Q7" s="13" t="s">
        <v>949</v>
      </c>
      <c r="R7" s="13" t="s">
        <v>950</v>
      </c>
      <c r="S7" s="13" t="s">
        <v>951</v>
      </c>
      <c r="T7" s="13" t="s">
        <v>952</v>
      </c>
      <c r="U7" s="13" t="s">
        <v>953</v>
      </c>
      <c r="V7" s="13" t="s">
        <v>954</v>
      </c>
      <c r="W7" s="13" t="s">
        <v>955</v>
      </c>
      <c r="X7" s="13" t="s">
        <v>956</v>
      </c>
      <c r="Y7" s="13" t="s">
        <v>957</v>
      </c>
      <c r="Z7" s="13" t="s">
        <v>958</v>
      </c>
      <c r="AA7" s="13" t="s">
        <v>959</v>
      </c>
      <c r="AB7" s="13" t="s">
        <v>960</v>
      </c>
      <c r="AC7" s="13" t="s">
        <v>961</v>
      </c>
      <c r="AD7" s="13" t="s">
        <v>962</v>
      </c>
      <c r="AE7" s="13" t="s">
        <v>963</v>
      </c>
      <c r="AF7" s="13" t="s">
        <v>964</v>
      </c>
      <c r="AG7" s="13" t="s">
        <v>965</v>
      </c>
      <c r="AH7" s="13" t="s">
        <v>966</v>
      </c>
      <c r="AI7" s="13" t="s">
        <v>967</v>
      </c>
      <c r="AJ7" s="13" t="s">
        <v>968</v>
      </c>
      <c r="AK7" s="13" t="s">
        <v>969</v>
      </c>
      <c r="AL7" s="13" t="s">
        <v>970</v>
      </c>
      <c r="AM7" s="13" t="s">
        <v>971</v>
      </c>
      <c r="AN7" s="13" t="s">
        <v>972</v>
      </c>
      <c r="AO7" s="13" t="s">
        <v>973</v>
      </c>
      <c r="AP7" s="13" t="s">
        <v>974</v>
      </c>
      <c r="AQ7" s="33" t="s">
        <v>975</v>
      </c>
      <c r="AR7" s="33" t="s">
        <v>976</v>
      </c>
      <c r="AS7" s="33" t="s">
        <v>977</v>
      </c>
      <c r="AT7" s="33" t="s">
        <v>978</v>
      </c>
      <c r="AU7" s="37" t="s">
        <v>979</v>
      </c>
      <c r="AV7" s="33" t="s">
        <v>980</v>
      </c>
      <c r="AW7" s="33" t="s">
        <v>981</v>
      </c>
      <c r="AX7" s="33" t="s">
        <v>982</v>
      </c>
      <c r="AY7" s="33" t="s">
        <v>983</v>
      </c>
      <c r="AZ7" s="33" t="s">
        <v>984</v>
      </c>
      <c r="BA7" s="33" t="s">
        <v>985</v>
      </c>
      <c r="BB7" s="33" t="s">
        <v>986</v>
      </c>
      <c r="BC7" s="33" t="s">
        <v>987</v>
      </c>
      <c r="BD7" s="33" t="s">
        <v>988</v>
      </c>
      <c r="BE7" s="33" t="s">
        <v>989</v>
      </c>
      <c r="BF7" s="33" t="s">
        <v>990</v>
      </c>
      <c r="BG7" s="33" t="s">
        <v>991</v>
      </c>
      <c r="BH7" s="33" t="s">
        <v>992</v>
      </c>
      <c r="BI7" s="33" t="s">
        <v>993</v>
      </c>
      <c r="BJ7" s="33" t="s">
        <v>994</v>
      </c>
      <c r="BK7" s="33" t="s">
        <v>995</v>
      </c>
      <c r="BL7" s="33" t="s">
        <v>996</v>
      </c>
      <c r="BM7" s="33" t="s">
        <v>997</v>
      </c>
      <c r="BN7" s="33" t="s">
        <v>998</v>
      </c>
      <c r="BO7" s="33" t="s">
        <v>999</v>
      </c>
      <c r="BP7" s="33" t="s">
        <v>1000</v>
      </c>
      <c r="BQ7" s="33" t="s">
        <v>1001</v>
      </c>
      <c r="BR7" s="33" t="s">
        <v>1002</v>
      </c>
      <c r="BS7" s="33" t="s">
        <v>1003</v>
      </c>
      <c r="BT7" s="33" t="s">
        <v>1004</v>
      </c>
      <c r="BU7" s="33" t="s">
        <v>1005</v>
      </c>
      <c r="BV7" s="33" t="s">
        <v>1006</v>
      </c>
      <c r="BW7" s="33" t="s">
        <v>1007</v>
      </c>
      <c r="BX7" s="33" t="s">
        <v>1008</v>
      </c>
      <c r="BY7" s="33" t="s">
        <v>1009</v>
      </c>
      <c r="BZ7" s="33" t="s">
        <v>1010</v>
      </c>
      <c r="CA7" s="33" t="s">
        <v>1011</v>
      </c>
      <c r="CB7" s="33" t="s">
        <v>1012</v>
      </c>
      <c r="CC7" s="33" t="s">
        <v>1013</v>
      </c>
      <c r="CD7" s="33" t="s">
        <v>1014</v>
      </c>
      <c r="CE7" s="34" t="s">
        <v>1015</v>
      </c>
      <c r="CF7" s="34" t="s">
        <v>1016</v>
      </c>
      <c r="CG7" s="34" t="s">
        <v>1017</v>
      </c>
      <c r="CH7" s="34" t="s">
        <v>1018</v>
      </c>
      <c r="CI7" s="34" t="s">
        <v>1019</v>
      </c>
      <c r="CJ7" s="34" t="s">
        <v>1020</v>
      </c>
      <c r="CK7" s="34" t="s">
        <v>1021</v>
      </c>
      <c r="CL7" s="34" t="s">
        <v>1022</v>
      </c>
      <c r="CM7" s="34" t="s">
        <v>1023</v>
      </c>
      <c r="CN7" s="34" t="s">
        <v>1024</v>
      </c>
      <c r="CO7" s="34" t="s">
        <v>1025</v>
      </c>
      <c r="CP7" s="34" t="s">
        <v>1026</v>
      </c>
      <c r="CQ7" s="34" t="s">
        <v>1027</v>
      </c>
      <c r="CR7" s="34" t="s">
        <v>1028</v>
      </c>
      <c r="CS7" s="34" t="s">
        <v>1029</v>
      </c>
      <c r="CT7" s="34" t="s">
        <v>1030</v>
      </c>
      <c r="CU7" s="34" t="s">
        <v>1031</v>
      </c>
      <c r="CV7" s="34" t="s">
        <v>1032</v>
      </c>
      <c r="CW7" s="34" t="s">
        <v>1033</v>
      </c>
      <c r="CX7" s="34" t="s">
        <v>1034</v>
      </c>
      <c r="CY7" s="34" t="s">
        <v>1035</v>
      </c>
      <c r="CZ7" s="34" t="s">
        <v>1036</v>
      </c>
      <c r="DA7" s="34" t="s">
        <v>1037</v>
      </c>
      <c r="DB7" s="34" t="s">
        <v>1038</v>
      </c>
      <c r="DC7" s="34" t="s">
        <v>1039</v>
      </c>
      <c r="DD7" s="34" t="s">
        <v>1040</v>
      </c>
      <c r="DE7" s="34" t="s">
        <v>1041</v>
      </c>
      <c r="DF7" s="34" t="s">
        <v>1042</v>
      </c>
      <c r="DG7" s="34" t="s">
        <v>1043</v>
      </c>
      <c r="DH7" s="34" t="s">
        <v>1044</v>
      </c>
      <c r="DI7" s="34" t="s">
        <v>1045</v>
      </c>
      <c r="DJ7" s="34" t="s">
        <v>1046</v>
      </c>
      <c r="DK7" s="34" t="s">
        <v>1047</v>
      </c>
      <c r="DL7" s="34" t="s">
        <v>1048</v>
      </c>
      <c r="DM7" s="13" t="s">
        <v>1049</v>
      </c>
      <c r="DN7" s="13" t="s">
        <v>1050</v>
      </c>
      <c r="DO7" s="13" t="s">
        <v>1051</v>
      </c>
      <c r="DP7" s="13" t="s">
        <v>1052</v>
      </c>
      <c r="DQ7" s="13" t="s">
        <v>1053</v>
      </c>
      <c r="DR7" s="13" t="s">
        <v>1054</v>
      </c>
      <c r="DS7" s="13" t="s">
        <v>1055</v>
      </c>
      <c r="DT7" s="13" t="s">
        <v>1056</v>
      </c>
      <c r="DU7" s="13" t="s">
        <v>1057</v>
      </c>
      <c r="DV7" s="13" t="s">
        <v>1058</v>
      </c>
      <c r="DW7" s="13" t="s">
        <v>1059</v>
      </c>
      <c r="DX7" s="13" t="s">
        <v>1060</v>
      </c>
      <c r="DY7" s="13" t="s">
        <v>1061</v>
      </c>
      <c r="DZ7" s="13" t="s">
        <v>1062</v>
      </c>
      <c r="EA7" s="35" t="s">
        <v>1063</v>
      </c>
      <c r="EB7" s="35" t="s">
        <v>1064</v>
      </c>
      <c r="EC7" s="35" t="s">
        <v>1065</v>
      </c>
      <c r="ED7" s="35" t="s">
        <v>1066</v>
      </c>
      <c r="EE7" s="35" t="s">
        <v>1067</v>
      </c>
      <c r="EF7" s="35" t="s">
        <v>1068</v>
      </c>
      <c r="EG7" s="35" t="s">
        <v>1069</v>
      </c>
      <c r="EH7" s="35" t="s">
        <v>1070</v>
      </c>
      <c r="EI7" s="35" t="s">
        <v>1071</v>
      </c>
      <c r="EJ7" s="35" t="s">
        <v>1072</v>
      </c>
      <c r="EK7" s="35" t="s">
        <v>1073</v>
      </c>
      <c r="EL7" s="35" t="s">
        <v>1074</v>
      </c>
      <c r="EM7" s="35" t="s">
        <v>1075</v>
      </c>
      <c r="EN7" s="35" t="s">
        <v>1076</v>
      </c>
      <c r="EO7" s="35" t="s">
        <v>1077</v>
      </c>
      <c r="EP7" s="35" t="s">
        <v>1078</v>
      </c>
      <c r="EQ7" s="35" t="s">
        <v>1079</v>
      </c>
      <c r="ER7" s="35" t="s">
        <v>1080</v>
      </c>
      <c r="ES7" s="35" t="s">
        <v>1081</v>
      </c>
      <c r="ET7" s="35" t="s">
        <v>1082</v>
      </c>
      <c r="EU7" s="35" t="s">
        <v>1083</v>
      </c>
      <c r="EV7" s="35" t="s">
        <v>1084</v>
      </c>
      <c r="EW7" s="35" t="s">
        <v>1085</v>
      </c>
      <c r="EX7" s="35" t="s">
        <v>1086</v>
      </c>
      <c r="EY7" s="35" t="s">
        <v>1087</v>
      </c>
      <c r="EZ7" s="35" t="s">
        <v>1088</v>
      </c>
      <c r="FA7" s="35" t="s">
        <v>1089</v>
      </c>
      <c r="FB7" s="35" t="s">
        <v>1090</v>
      </c>
      <c r="FC7" s="35" t="s">
        <v>1091</v>
      </c>
      <c r="FD7" s="35" t="s">
        <v>1092</v>
      </c>
      <c r="FE7" s="35" t="s">
        <v>1093</v>
      </c>
      <c r="FF7" s="35" t="s">
        <v>1094</v>
      </c>
      <c r="FG7" s="35" t="s">
        <v>1095</v>
      </c>
      <c r="FH7" s="35" t="s">
        <v>1096</v>
      </c>
      <c r="FI7" s="35" t="s">
        <v>1097</v>
      </c>
      <c r="FJ7" s="35" t="s">
        <v>1098</v>
      </c>
      <c r="FK7" s="36" t="s">
        <v>1099</v>
      </c>
      <c r="FL7" s="36" t="s">
        <v>1100</v>
      </c>
      <c r="FM7" s="36" t="s">
        <v>1101</v>
      </c>
      <c r="FN7" s="36" t="s">
        <v>1102</v>
      </c>
      <c r="FO7" s="36" t="s">
        <v>1103</v>
      </c>
      <c r="FP7" s="36" t="s">
        <v>1104</v>
      </c>
      <c r="FQ7" s="36" t="s">
        <v>1105</v>
      </c>
      <c r="FR7" s="36" t="s">
        <v>1106</v>
      </c>
      <c r="FS7" s="36" t="s">
        <v>1107</v>
      </c>
      <c r="FT7" s="36" t="s">
        <v>1108</v>
      </c>
      <c r="FU7" s="36" t="s">
        <v>1109</v>
      </c>
      <c r="FV7" s="36" t="s">
        <v>1110</v>
      </c>
      <c r="FW7" s="36" t="s">
        <v>1111</v>
      </c>
      <c r="FX7" s="36" t="s">
        <v>1112</v>
      </c>
      <c r="FY7" s="36" t="s">
        <v>1113</v>
      </c>
      <c r="FZ7" s="36" t="s">
        <v>1114</v>
      </c>
      <c r="GA7" s="36" t="s">
        <v>1115</v>
      </c>
      <c r="GB7" s="36" t="s">
        <v>1116</v>
      </c>
      <c r="GC7" s="36" t="s">
        <v>1117</v>
      </c>
      <c r="GD7" s="36" t="s">
        <v>1118</v>
      </c>
      <c r="GE7" s="36" t="s">
        <v>1119</v>
      </c>
      <c r="GF7" s="36" t="s">
        <v>1120</v>
      </c>
      <c r="GG7" s="36" t="s">
        <v>1121</v>
      </c>
      <c r="GH7" s="36" t="s">
        <v>1122</v>
      </c>
      <c r="GI7" s="36" t="s">
        <v>1123</v>
      </c>
      <c r="GJ7" s="36" t="s">
        <v>1124</v>
      </c>
      <c r="GK7" s="36" t="s">
        <v>1125</v>
      </c>
      <c r="GL7" s="36" t="s">
        <v>1126</v>
      </c>
      <c r="GM7" s="36" t="s">
        <v>1127</v>
      </c>
      <c r="GN7" s="36" t="s">
        <v>1128</v>
      </c>
      <c r="GO7" s="36" t="s">
        <v>1129</v>
      </c>
      <c r="GP7" s="36" t="s">
        <v>1130</v>
      </c>
      <c r="GQ7" s="36" t="s">
        <v>1131</v>
      </c>
      <c r="GR7" s="36" t="s">
        <v>1132</v>
      </c>
      <c r="GS7" s="36" t="s">
        <v>1133</v>
      </c>
      <c r="GT7" s="36" t="s">
        <v>1134</v>
      </c>
      <c r="GU7" s="36" t="s">
        <v>1135</v>
      </c>
      <c r="GV7" s="36" t="s">
        <v>1136</v>
      </c>
      <c r="GW7" s="36" t="s">
        <v>1137</v>
      </c>
      <c r="GX7" s="36" t="s">
        <v>1138</v>
      </c>
      <c r="GY7" s="36" t="s">
        <v>1139</v>
      </c>
      <c r="GZ7" s="36" t="s">
        <v>1140</v>
      </c>
      <c r="HA7" s="36" t="s">
        <v>1141</v>
      </c>
      <c r="HB7" s="36" t="s">
        <v>1142</v>
      </c>
      <c r="HC7" s="36" t="s">
        <v>1143</v>
      </c>
      <c r="HD7" s="36" t="s">
        <v>1144</v>
      </c>
      <c r="HE7" s="36" t="s">
        <v>1145</v>
      </c>
      <c r="HF7" s="36" t="s">
        <v>1146</v>
      </c>
      <c r="HG7" s="36" t="s">
        <v>1147</v>
      </c>
      <c r="HH7" s="36" t="s">
        <v>1148</v>
      </c>
      <c r="HI7" s="36" t="s">
        <v>1149</v>
      </c>
      <c r="HJ7" s="36" t="s">
        <v>1150</v>
      </c>
      <c r="HK7" s="36" t="s">
        <v>1151</v>
      </c>
      <c r="HL7" s="36" t="s">
        <v>1152</v>
      </c>
      <c r="HM7" s="36" t="s">
        <v>1153</v>
      </c>
      <c r="HN7" s="36" t="s">
        <v>1154</v>
      </c>
      <c r="HO7" s="36" t="s">
        <v>1155</v>
      </c>
      <c r="HP7" s="36" t="s">
        <v>1156</v>
      </c>
      <c r="HQ7" s="36" t="s">
        <v>1157</v>
      </c>
      <c r="HR7" s="36" t="s">
        <v>1158</v>
      </c>
      <c r="HS7" s="36" t="s">
        <v>1159</v>
      </c>
      <c r="HT7" s="36" t="s">
        <v>1160</v>
      </c>
      <c r="HU7" s="36" t="s">
        <v>1161</v>
      </c>
      <c r="HV7" s="36" t="s">
        <v>1162</v>
      </c>
      <c r="HW7" s="36" t="s">
        <v>1163</v>
      </c>
      <c r="HX7" s="36" t="s">
        <v>1164</v>
      </c>
      <c r="HY7" s="36" t="s">
        <v>1165</v>
      </c>
      <c r="HZ7" s="36" t="s">
        <v>1166</v>
      </c>
      <c r="IA7" s="36" t="s">
        <v>1167</v>
      </c>
      <c r="IB7" s="36" t="s">
        <v>1168</v>
      </c>
      <c r="IC7" s="36" t="s">
        <v>1169</v>
      </c>
      <c r="ID7" s="36" t="s">
        <v>1170</v>
      </c>
      <c r="IE7" s="36" t="s">
        <v>1171</v>
      </c>
      <c r="IF7" s="36" t="s">
        <v>1172</v>
      </c>
      <c r="IG7" s="36" t="s">
        <v>1173</v>
      </c>
      <c r="IH7" s="36" t="s">
        <v>1174</v>
      </c>
      <c r="II7" s="36" t="s">
        <v>1175</v>
      </c>
      <c r="IJ7" s="36" t="s">
        <v>1176</v>
      </c>
      <c r="IK7" s="36" t="s">
        <v>1177</v>
      </c>
      <c r="IL7" s="36" t="s">
        <v>1178</v>
      </c>
      <c r="IM7" s="36" t="s">
        <v>1179</v>
      </c>
      <c r="IN7" s="36" t="s">
        <v>1180</v>
      </c>
      <c r="IO7" s="36" t="s">
        <v>1181</v>
      </c>
      <c r="IP7" s="36" t="s">
        <v>1182</v>
      </c>
      <c r="IQ7" s="36" t="s">
        <v>1183</v>
      </c>
      <c r="IR7" s="36" t="s">
        <v>1184</v>
      </c>
      <c r="IS7" s="36" t="s">
        <v>1185</v>
      </c>
      <c r="IT7" s="36" t="s">
        <v>1186</v>
      </c>
      <c r="IU7" s="36" t="s">
        <v>1187</v>
      </c>
      <c r="IV7" s="36" t="s">
        <v>1188</v>
      </c>
      <c r="IW7" s="36" t="s">
        <v>1189</v>
      </c>
      <c r="IX7" s="36" t="s">
        <v>1190</v>
      </c>
      <c r="IY7" s="36" t="s">
        <v>1191</v>
      </c>
      <c r="IZ7" s="36" t="s">
        <v>1192</v>
      </c>
      <c r="JA7" s="36" t="s">
        <v>1193</v>
      </c>
      <c r="JB7" s="36" t="s">
        <v>1194</v>
      </c>
      <c r="JC7" s="36" t="s">
        <v>1195</v>
      </c>
      <c r="JD7" s="36" t="s">
        <v>1196</v>
      </c>
      <c r="JE7" s="36" t="s">
        <v>1197</v>
      </c>
      <c r="JF7" s="36" t="s">
        <v>1198</v>
      </c>
      <c r="JG7" s="36" t="s">
        <v>1199</v>
      </c>
      <c r="JH7" s="36" t="s">
        <v>1200</v>
      </c>
      <c r="JI7" s="36" t="s">
        <v>1201</v>
      </c>
      <c r="JJ7" s="36" t="s">
        <v>1202</v>
      </c>
      <c r="JK7" s="36" t="s">
        <v>1203</v>
      </c>
      <c r="JL7" s="36" t="s">
        <v>1204</v>
      </c>
      <c r="JM7" s="36" t="s">
        <v>1205</v>
      </c>
      <c r="JN7" s="36" t="s">
        <v>1206</v>
      </c>
      <c r="JO7" s="36" t="s">
        <v>1207</v>
      </c>
      <c r="JP7" s="36" t="s">
        <v>1208</v>
      </c>
      <c r="JQ7" s="36" t="s">
        <v>1209</v>
      </c>
      <c r="JR7" s="36" t="s">
        <v>1210</v>
      </c>
      <c r="JS7" s="36" t="s">
        <v>1211</v>
      </c>
      <c r="JT7" s="36" t="s">
        <v>1212</v>
      </c>
      <c r="JU7" s="36" t="s">
        <v>1213</v>
      </c>
      <c r="JV7" s="36" t="s">
        <v>1214</v>
      </c>
      <c r="JW7" s="36" t="s">
        <v>1215</v>
      </c>
      <c r="JX7" s="36" t="s">
        <v>1216</v>
      </c>
      <c r="JY7" s="36" t="s">
        <v>1217</v>
      </c>
      <c r="JZ7" s="36" t="s">
        <v>1218</v>
      </c>
      <c r="KA7" s="36" t="s">
        <v>1219</v>
      </c>
      <c r="KB7" s="36" t="s">
        <v>1220</v>
      </c>
      <c r="KC7" s="36" t="s">
        <v>1221</v>
      </c>
      <c r="KD7" s="36" t="s">
        <v>1222</v>
      </c>
      <c r="KE7" s="36" t="s">
        <v>1223</v>
      </c>
      <c r="KF7" s="36" t="s">
        <v>1224</v>
      </c>
      <c r="KG7" s="36" t="s">
        <v>1225</v>
      </c>
      <c r="KH7" s="36" t="s">
        <v>1226</v>
      </c>
      <c r="KI7" s="36" t="s">
        <v>1227</v>
      </c>
      <c r="KJ7" s="36" t="s">
        <v>1228</v>
      </c>
      <c r="KK7" s="36" t="s">
        <v>1229</v>
      </c>
      <c r="KL7" s="36" t="s">
        <v>1230</v>
      </c>
      <c r="KM7" s="36" t="s">
        <v>1231</v>
      </c>
      <c r="KN7" s="36" t="s">
        <v>1232</v>
      </c>
      <c r="KO7" s="36" t="s">
        <v>1233</v>
      </c>
      <c r="KP7" s="36" t="s">
        <v>1234</v>
      </c>
      <c r="KQ7" s="36" t="s">
        <v>1235</v>
      </c>
      <c r="KR7" s="36" t="s">
        <v>1236</v>
      </c>
      <c r="KS7" s="36" t="s">
        <v>1237</v>
      </c>
      <c r="KT7" s="36" t="s">
        <v>1238</v>
      </c>
      <c r="KU7" s="36" t="s">
        <v>1239</v>
      </c>
      <c r="KV7" s="36" t="s">
        <v>1240</v>
      </c>
      <c r="KW7" s="36" t="s">
        <v>1241</v>
      </c>
      <c r="KX7" s="36" t="s">
        <v>1242</v>
      </c>
      <c r="KY7" s="36" t="s">
        <v>1243</v>
      </c>
      <c r="KZ7" s="36" t="s">
        <v>1244</v>
      </c>
      <c r="LA7" s="36" t="s">
        <v>1245</v>
      </c>
      <c r="LB7" s="36" t="s">
        <v>1246</v>
      </c>
      <c r="LC7" s="36" t="s">
        <v>1247</v>
      </c>
      <c r="LD7" s="36" t="s">
        <v>1248</v>
      </c>
      <c r="LE7" s="36" t="s">
        <v>1249</v>
      </c>
      <c r="LF7" s="36" t="s">
        <v>1250</v>
      </c>
      <c r="LG7" s="37" t="s">
        <v>1251</v>
      </c>
      <c r="LH7" s="37" t="s">
        <v>1252</v>
      </c>
      <c r="LI7" s="37" t="s">
        <v>1253</v>
      </c>
      <c r="LJ7" s="37" t="s">
        <v>1254</v>
      </c>
      <c r="LK7" s="37" t="s">
        <v>1255</v>
      </c>
      <c r="LL7" s="37" t="s">
        <v>1256</v>
      </c>
      <c r="LM7" s="37" t="s">
        <v>1257</v>
      </c>
      <c r="LN7" s="37" t="s">
        <v>1258</v>
      </c>
      <c r="LO7" s="37" t="s">
        <v>1259</v>
      </c>
      <c r="LP7" s="37" t="s">
        <v>1260</v>
      </c>
      <c r="LQ7" s="37" t="s">
        <v>1261</v>
      </c>
      <c r="LR7" s="37" t="s">
        <v>1262</v>
      </c>
      <c r="LS7" s="37" t="s">
        <v>1263</v>
      </c>
      <c r="LT7" s="37" t="s">
        <v>1264</v>
      </c>
      <c r="LU7" s="37" t="s">
        <v>1265</v>
      </c>
      <c r="LV7" s="37" t="s">
        <v>1266</v>
      </c>
      <c r="LW7" s="37" t="s">
        <v>1267</v>
      </c>
      <c r="LX7" s="37" t="s">
        <v>1268</v>
      </c>
      <c r="LY7" s="37" t="s">
        <v>1269</v>
      </c>
      <c r="LZ7" s="37" t="s">
        <v>1270</v>
      </c>
      <c r="MA7" s="37" t="s">
        <v>1271</v>
      </c>
      <c r="MB7" s="37" t="s">
        <v>1272</v>
      </c>
      <c r="MC7" s="37" t="s">
        <v>1273</v>
      </c>
      <c r="MD7" s="37" t="s">
        <v>1274</v>
      </c>
      <c r="ME7" s="37" t="s">
        <v>1275</v>
      </c>
      <c r="MF7" s="37" t="s">
        <v>1276</v>
      </c>
      <c r="MG7" s="37" t="s">
        <v>1277</v>
      </c>
      <c r="MH7" s="37" t="s">
        <v>1278</v>
      </c>
      <c r="MI7" s="37" t="s">
        <v>1279</v>
      </c>
      <c r="MJ7" s="37" t="s">
        <v>1280</v>
      </c>
      <c r="MK7" s="37" t="s">
        <v>1281</v>
      </c>
      <c r="ML7" s="37" t="s">
        <v>1282</v>
      </c>
      <c r="MM7" s="37" t="s">
        <v>1283</v>
      </c>
      <c r="MN7" s="37" t="s">
        <v>1284</v>
      </c>
      <c r="MO7" s="37" t="s">
        <v>1285</v>
      </c>
      <c r="MP7" s="37" t="s">
        <v>1286</v>
      </c>
      <c r="MQ7" s="37" t="s">
        <v>1287</v>
      </c>
      <c r="MR7" s="37" t="s">
        <v>1288</v>
      </c>
      <c r="MS7" s="37" t="s">
        <v>1289</v>
      </c>
      <c r="MT7" s="37" t="s">
        <v>1290</v>
      </c>
      <c r="MU7" s="37" t="s">
        <v>1291</v>
      </c>
      <c r="MV7" s="37" t="s">
        <v>1292</v>
      </c>
      <c r="MW7" s="37" t="s">
        <v>1293</v>
      </c>
      <c r="MX7" s="37" t="s">
        <v>1294</v>
      </c>
      <c r="MY7" s="37" t="s">
        <v>1295</v>
      </c>
      <c r="MZ7" s="37" t="s">
        <v>1296</v>
      </c>
      <c r="NA7" s="37" t="s">
        <v>1297</v>
      </c>
      <c r="NB7" s="37" t="s">
        <v>1298</v>
      </c>
      <c r="NC7" s="37" t="s">
        <v>1299</v>
      </c>
      <c r="ND7" s="37" t="s">
        <v>1300</v>
      </c>
      <c r="NE7" s="37" t="s">
        <v>1301</v>
      </c>
      <c r="NF7" s="37" t="s">
        <v>1302</v>
      </c>
      <c r="NG7" s="37" t="s">
        <v>1303</v>
      </c>
      <c r="NH7" s="38" t="s">
        <v>1304</v>
      </c>
      <c r="NI7" s="38" t="s">
        <v>1305</v>
      </c>
      <c r="NJ7" s="38" t="s">
        <v>1306</v>
      </c>
      <c r="NK7" s="38" t="s">
        <v>1307</v>
      </c>
      <c r="NL7" s="38" t="s">
        <v>1308</v>
      </c>
      <c r="NM7" s="38" t="s">
        <v>1309</v>
      </c>
      <c r="NN7" s="38" t="s">
        <v>1310</v>
      </c>
      <c r="NO7" s="38" t="s">
        <v>1311</v>
      </c>
      <c r="NP7" s="38" t="s">
        <v>1312</v>
      </c>
      <c r="NQ7" s="38" t="s">
        <v>1313</v>
      </c>
      <c r="NR7" s="38" t="s">
        <v>1314</v>
      </c>
      <c r="NS7" s="38" t="s">
        <v>1315</v>
      </c>
      <c r="NT7" s="38" t="s">
        <v>1316</v>
      </c>
      <c r="NU7" s="38" t="s">
        <v>1317</v>
      </c>
      <c r="NV7" s="38" t="s">
        <v>1318</v>
      </c>
      <c r="NW7" s="38" t="s">
        <v>1319</v>
      </c>
      <c r="NX7" s="38" t="s">
        <v>1320</v>
      </c>
      <c r="NY7" s="38" t="s">
        <v>1321</v>
      </c>
      <c r="NZ7" s="38" t="s">
        <v>1322</v>
      </c>
      <c r="OA7" s="38" t="s">
        <v>1323</v>
      </c>
      <c r="OB7" s="38" t="s">
        <v>1324</v>
      </c>
      <c r="OC7" s="38" t="s">
        <v>1325</v>
      </c>
      <c r="OD7" s="38" t="s">
        <v>1326</v>
      </c>
      <c r="OE7" s="38" t="s">
        <v>1327</v>
      </c>
      <c r="OF7" s="38" t="s">
        <v>1328</v>
      </c>
      <c r="OG7" s="38" t="s">
        <v>1329</v>
      </c>
      <c r="OH7" s="38" t="s">
        <v>1330</v>
      </c>
      <c r="OI7" s="38" t="s">
        <v>1331</v>
      </c>
      <c r="OJ7" s="38" t="s">
        <v>1332</v>
      </c>
      <c r="OK7" s="38" t="s">
        <v>1333</v>
      </c>
      <c r="OL7" s="38" t="s">
        <v>1334</v>
      </c>
      <c r="OM7" s="38" t="s">
        <v>1335</v>
      </c>
      <c r="ON7" s="38" t="s">
        <v>1336</v>
      </c>
      <c r="OO7" s="38" t="s">
        <v>1337</v>
      </c>
      <c r="OP7" s="38" t="s">
        <v>1338</v>
      </c>
      <c r="OQ7" s="38" t="s">
        <v>1339</v>
      </c>
      <c r="OR7" s="38" t="s">
        <v>1340</v>
      </c>
      <c r="OS7" s="38" t="s">
        <v>1341</v>
      </c>
      <c r="OT7" s="38" t="s">
        <v>1342</v>
      </c>
      <c r="OU7" s="38" t="s">
        <v>1343</v>
      </c>
      <c r="OV7" s="38" t="s">
        <v>1344</v>
      </c>
      <c r="OW7" s="38" t="s">
        <v>1345</v>
      </c>
      <c r="OX7" s="38" t="s">
        <v>1346</v>
      </c>
      <c r="OY7" s="38" t="s">
        <v>1347</v>
      </c>
      <c r="OZ7" s="38" t="s">
        <v>1348</v>
      </c>
      <c r="PA7" s="38" t="s">
        <v>1349</v>
      </c>
      <c r="PB7" s="38" t="s">
        <v>1350</v>
      </c>
      <c r="PC7" s="38" t="s">
        <v>1351</v>
      </c>
      <c r="PD7" s="38" t="s">
        <v>1352</v>
      </c>
      <c r="PE7" s="38" t="s">
        <v>1353</v>
      </c>
      <c r="PF7" s="38" t="s">
        <v>1354</v>
      </c>
      <c r="PG7" s="38" t="s">
        <v>1355</v>
      </c>
      <c r="PH7" s="38" t="s">
        <v>1356</v>
      </c>
      <c r="PI7" s="38" t="s">
        <v>1357</v>
      </c>
      <c r="PJ7" s="38" t="s">
        <v>1358</v>
      </c>
      <c r="PK7" s="38" t="s">
        <v>1359</v>
      </c>
      <c r="PL7" s="38" t="s">
        <v>1360</v>
      </c>
      <c r="PM7" s="38" t="s">
        <v>1361</v>
      </c>
      <c r="PN7" s="38" t="s">
        <v>1362</v>
      </c>
      <c r="PO7" s="38" t="s">
        <v>1363</v>
      </c>
      <c r="PP7" s="38" t="s">
        <v>1364</v>
      </c>
      <c r="PQ7" s="38" t="s">
        <v>1365</v>
      </c>
      <c r="PR7" s="38" t="s">
        <v>1366</v>
      </c>
      <c r="PS7" s="38" t="s">
        <v>1367</v>
      </c>
      <c r="PT7" s="38" t="s">
        <v>1368</v>
      </c>
      <c r="PU7" s="38" t="s">
        <v>1369</v>
      </c>
      <c r="PV7" s="38" t="s">
        <v>1370</v>
      </c>
      <c r="PW7" s="38" t="s">
        <v>1371</v>
      </c>
      <c r="PX7" s="38" t="s">
        <v>1372</v>
      </c>
      <c r="PY7" s="38" t="s">
        <v>1373</v>
      </c>
      <c r="PZ7" s="38" t="s">
        <v>1374</v>
      </c>
      <c r="QA7" s="38" t="s">
        <v>1375</v>
      </c>
      <c r="QB7" s="38" t="s">
        <v>1376</v>
      </c>
      <c r="QC7" s="38" t="s">
        <v>1377</v>
      </c>
      <c r="QD7" s="38" t="s">
        <v>1378</v>
      </c>
      <c r="QE7" s="38" t="s">
        <v>1379</v>
      </c>
      <c r="QF7" s="38" t="s">
        <v>1380</v>
      </c>
      <c r="QG7" s="38" t="s">
        <v>1381</v>
      </c>
      <c r="QH7" s="38" t="s">
        <v>1382</v>
      </c>
      <c r="QI7" s="38" t="s">
        <v>1383</v>
      </c>
      <c r="QJ7" s="38" t="s">
        <v>1384</v>
      </c>
      <c r="QK7" s="38" t="s">
        <v>1385</v>
      </c>
      <c r="QL7" s="38" t="s">
        <v>1386</v>
      </c>
      <c r="QM7" s="38" t="s">
        <v>1387</v>
      </c>
      <c r="QN7" s="38" t="s">
        <v>1388</v>
      </c>
      <c r="QO7" s="38" t="s">
        <v>1389</v>
      </c>
      <c r="QP7" s="38" t="s">
        <v>1390</v>
      </c>
      <c r="QQ7" s="38" t="s">
        <v>1391</v>
      </c>
      <c r="QR7" s="38" t="s">
        <v>1392</v>
      </c>
      <c r="QS7" s="38" t="s">
        <v>1393</v>
      </c>
    </row>
    <row r="8" spans="1:461">
      <c r="A8" s="13" t="s">
        <v>1394</v>
      </c>
      <c r="B8" s="13" t="s">
        <v>1395</v>
      </c>
      <c r="C8" s="13" t="s">
        <v>1395</v>
      </c>
      <c r="D8" s="13" t="s">
        <v>1395</v>
      </c>
      <c r="E8" s="13" t="s">
        <v>1395</v>
      </c>
      <c r="F8" s="13" t="s">
        <v>1395</v>
      </c>
      <c r="G8" s="13" t="s">
        <v>1395</v>
      </c>
      <c r="H8" s="13" t="s">
        <v>1395</v>
      </c>
      <c r="I8" s="13" t="s">
        <v>1395</v>
      </c>
      <c r="J8" s="13" t="s">
        <v>1395</v>
      </c>
      <c r="K8" s="13" t="s">
        <v>1395</v>
      </c>
      <c r="L8" s="13" t="s">
        <v>1395</v>
      </c>
      <c r="M8" s="13" t="s">
        <v>1395</v>
      </c>
      <c r="N8" s="13" t="s">
        <v>1395</v>
      </c>
      <c r="O8" s="13" t="s">
        <v>1395</v>
      </c>
      <c r="P8" s="13" t="s">
        <v>1395</v>
      </c>
      <c r="Q8" s="13" t="s">
        <v>1395</v>
      </c>
      <c r="R8" s="13" t="s">
        <v>1395</v>
      </c>
      <c r="S8" s="13" t="s">
        <v>1395</v>
      </c>
      <c r="T8" s="13" t="s">
        <v>1395</v>
      </c>
      <c r="U8" s="13" t="s">
        <v>1395</v>
      </c>
      <c r="V8" s="13" t="s">
        <v>1396</v>
      </c>
      <c r="W8" s="13" t="s">
        <v>1396</v>
      </c>
      <c r="X8" s="13" t="s">
        <v>1397</v>
      </c>
      <c r="Y8" s="13" t="s">
        <v>1395</v>
      </c>
      <c r="Z8" s="13" t="s">
        <v>1395</v>
      </c>
      <c r="AA8" s="13" t="s">
        <v>1398</v>
      </c>
      <c r="AB8" s="13" t="s">
        <v>1395</v>
      </c>
      <c r="AC8" s="13" t="s">
        <v>1395</v>
      </c>
      <c r="AD8" s="13" t="s">
        <v>1395</v>
      </c>
      <c r="AE8" s="13" t="s">
        <v>1395</v>
      </c>
      <c r="AF8" s="13" t="s">
        <v>1395</v>
      </c>
      <c r="AG8" s="13" t="s">
        <v>1397</v>
      </c>
      <c r="AH8" s="13" t="s">
        <v>1397</v>
      </c>
      <c r="AI8" s="13" t="s">
        <v>1395</v>
      </c>
      <c r="AJ8" s="13" t="s">
        <v>1395</v>
      </c>
      <c r="AK8" s="13" t="s">
        <v>1395</v>
      </c>
      <c r="AL8" s="13" t="s">
        <v>1397</v>
      </c>
      <c r="AM8" s="13" t="s">
        <v>1397</v>
      </c>
      <c r="AN8" s="13" t="s">
        <v>1396</v>
      </c>
      <c r="AO8" s="13" t="s">
        <v>1396</v>
      </c>
      <c r="AP8" s="13" t="s">
        <v>1399</v>
      </c>
      <c r="AQ8" s="33" t="s">
        <v>1395</v>
      </c>
      <c r="AR8" s="33" t="s">
        <v>1395</v>
      </c>
      <c r="AS8" s="33" t="s">
        <v>1395</v>
      </c>
      <c r="AT8" s="33" t="s">
        <v>1395</v>
      </c>
      <c r="AU8" s="33" t="s">
        <v>1395</v>
      </c>
      <c r="AV8" s="33" t="s">
        <v>1398</v>
      </c>
      <c r="AW8" s="33" t="s">
        <v>1395</v>
      </c>
      <c r="AX8" s="33" t="s">
        <v>1395</v>
      </c>
      <c r="AY8" s="33" t="s">
        <v>1397</v>
      </c>
      <c r="AZ8" s="33" t="s">
        <v>1399</v>
      </c>
      <c r="BA8" s="33" t="s">
        <v>1399</v>
      </c>
      <c r="BB8" s="33" t="s">
        <v>1400</v>
      </c>
      <c r="BC8" s="33" t="s">
        <v>1400</v>
      </c>
      <c r="BD8" s="33" t="s">
        <v>1395</v>
      </c>
      <c r="BE8" s="33" t="s">
        <v>1400</v>
      </c>
      <c r="BF8" s="33" t="s">
        <v>1399</v>
      </c>
      <c r="BG8" s="33" t="s">
        <v>1401</v>
      </c>
      <c r="BH8" s="33" t="s">
        <v>1401</v>
      </c>
      <c r="BI8" s="33" t="s">
        <v>1400</v>
      </c>
      <c r="BJ8" s="33" t="s">
        <v>1400</v>
      </c>
      <c r="BK8" s="33" t="s">
        <v>1402</v>
      </c>
      <c r="BL8" s="33" t="s">
        <v>1402</v>
      </c>
      <c r="BM8" s="33" t="s">
        <v>1403</v>
      </c>
      <c r="BN8" s="33" t="s">
        <v>1403</v>
      </c>
      <c r="BO8" s="33" t="s">
        <v>1395</v>
      </c>
      <c r="BP8" s="33" t="s">
        <v>1400</v>
      </c>
      <c r="BQ8" s="33" t="s">
        <v>1400</v>
      </c>
      <c r="BR8" s="33" t="s">
        <v>1400</v>
      </c>
      <c r="BS8" s="33" t="s">
        <v>1395</v>
      </c>
      <c r="BT8" s="33" t="s">
        <v>1395</v>
      </c>
      <c r="BU8" s="33" t="s">
        <v>1395</v>
      </c>
      <c r="BV8" s="33" t="s">
        <v>1395</v>
      </c>
      <c r="BW8" s="33" t="s">
        <v>1395</v>
      </c>
      <c r="BX8" s="33" t="s">
        <v>1395</v>
      </c>
      <c r="BY8" s="33" t="s">
        <v>1395</v>
      </c>
      <c r="BZ8" s="33" t="s">
        <v>1395</v>
      </c>
      <c r="CA8" s="33" t="s">
        <v>1395</v>
      </c>
      <c r="CB8" s="33" t="s">
        <v>1395</v>
      </c>
      <c r="CC8" s="33" t="s">
        <v>1400</v>
      </c>
      <c r="CD8" s="33" t="s">
        <v>1400</v>
      </c>
      <c r="CE8" s="34" t="s">
        <v>1395</v>
      </c>
      <c r="CF8" s="34" t="s">
        <v>1395</v>
      </c>
      <c r="CG8" s="34" t="s">
        <v>1395</v>
      </c>
      <c r="CH8" s="34" t="s">
        <v>1395</v>
      </c>
      <c r="CI8" s="34" t="s">
        <v>1395</v>
      </c>
      <c r="CJ8" s="34" t="s">
        <v>1398</v>
      </c>
      <c r="CK8" s="34" t="s">
        <v>1395</v>
      </c>
      <c r="CL8" s="34" t="s">
        <v>1395</v>
      </c>
      <c r="CM8" s="34" t="s">
        <v>1404</v>
      </c>
      <c r="CN8" s="34" t="s">
        <v>1404</v>
      </c>
      <c r="CO8" s="34" t="s">
        <v>1400</v>
      </c>
      <c r="CP8" s="34" t="s">
        <v>1400</v>
      </c>
      <c r="CQ8" s="34" t="s">
        <v>1400</v>
      </c>
      <c r="CR8" s="34" t="s">
        <v>1400</v>
      </c>
      <c r="CS8" s="34" t="s">
        <v>1400</v>
      </c>
      <c r="CT8" s="34" t="s">
        <v>1400</v>
      </c>
      <c r="CU8" s="34" t="s">
        <v>1400</v>
      </c>
      <c r="CV8" s="34" t="s">
        <v>1400</v>
      </c>
      <c r="CW8" s="34" t="s">
        <v>1400</v>
      </c>
      <c r="CX8" s="34" t="s">
        <v>1400</v>
      </c>
      <c r="CY8" s="34" t="s">
        <v>1400</v>
      </c>
      <c r="CZ8" s="34" t="s">
        <v>1400</v>
      </c>
      <c r="DA8" s="34" t="s">
        <v>1400</v>
      </c>
      <c r="DB8" s="34" t="s">
        <v>1400</v>
      </c>
      <c r="DC8" s="34" t="s">
        <v>1400</v>
      </c>
      <c r="DD8" s="34" t="s">
        <v>1400</v>
      </c>
      <c r="DE8" s="34" t="s">
        <v>1400</v>
      </c>
      <c r="DF8" s="34" t="s">
        <v>1400</v>
      </c>
      <c r="DG8" s="34" t="s">
        <v>1400</v>
      </c>
      <c r="DH8" s="34" t="s">
        <v>1404</v>
      </c>
      <c r="DI8" s="34" t="s">
        <v>1404</v>
      </c>
      <c r="DJ8" s="34" t="s">
        <v>1404</v>
      </c>
      <c r="DK8" s="34" t="s">
        <v>1404</v>
      </c>
      <c r="DL8" s="34" t="s">
        <v>1395</v>
      </c>
      <c r="DM8" s="13" t="s">
        <v>1395</v>
      </c>
      <c r="DN8" s="13" t="s">
        <v>1395</v>
      </c>
      <c r="DO8" s="13" t="s">
        <v>1397</v>
      </c>
      <c r="DP8" s="13" t="s">
        <v>1405</v>
      </c>
      <c r="DQ8" s="13" t="s">
        <v>1402</v>
      </c>
      <c r="DR8" s="13" t="s">
        <v>1402</v>
      </c>
      <c r="DS8" s="13" t="s">
        <v>1395</v>
      </c>
      <c r="DT8" s="13" t="s">
        <v>1402</v>
      </c>
      <c r="DU8" s="13" t="s">
        <v>1402</v>
      </c>
      <c r="DV8" s="13" t="s">
        <v>1402</v>
      </c>
      <c r="DW8" s="13" t="s">
        <v>1402</v>
      </c>
      <c r="DX8" s="13" t="s">
        <v>1395</v>
      </c>
      <c r="DY8" s="13" t="s">
        <v>1395</v>
      </c>
      <c r="DZ8" s="13" t="s">
        <v>1402</v>
      </c>
      <c r="EA8" s="35" t="s">
        <v>1395</v>
      </c>
      <c r="EB8" s="35" t="s">
        <v>1395</v>
      </c>
      <c r="EC8" s="35" t="s">
        <v>1395</v>
      </c>
      <c r="ED8" s="35" t="s">
        <v>1395</v>
      </c>
      <c r="EE8" s="35" t="s">
        <v>1395</v>
      </c>
      <c r="EF8" s="35" t="s">
        <v>1398</v>
      </c>
      <c r="EG8" s="35" t="s">
        <v>1395</v>
      </c>
      <c r="EH8" s="35" t="s">
        <v>1395</v>
      </c>
      <c r="EI8" s="35" t="s">
        <v>1397</v>
      </c>
      <c r="EJ8" s="35" t="s">
        <v>1402</v>
      </c>
      <c r="EK8" s="35" t="s">
        <v>1399</v>
      </c>
      <c r="EL8" s="35" t="s">
        <v>1399</v>
      </c>
      <c r="EM8" s="35" t="s">
        <v>1400</v>
      </c>
      <c r="EN8" s="35" t="s">
        <v>1400</v>
      </c>
      <c r="EO8" s="35" t="s">
        <v>1402</v>
      </c>
      <c r="EP8" s="35" t="s">
        <v>1406</v>
      </c>
      <c r="EQ8" s="35" t="s">
        <v>1406</v>
      </c>
      <c r="ER8" s="35" t="s">
        <v>1407</v>
      </c>
      <c r="ES8" s="35" t="s">
        <v>1407</v>
      </c>
      <c r="ET8" s="35" t="s">
        <v>1407</v>
      </c>
      <c r="EU8" s="35" t="s">
        <v>1407</v>
      </c>
      <c r="EV8" s="35" t="s">
        <v>1408</v>
      </c>
      <c r="EW8" s="35" t="s">
        <v>1408</v>
      </c>
      <c r="EX8" s="35" t="s">
        <v>1409</v>
      </c>
      <c r="EY8" s="35" t="s">
        <v>1402</v>
      </c>
      <c r="EZ8" s="35" t="s">
        <v>1402</v>
      </c>
      <c r="FA8" s="35" t="s">
        <v>1402</v>
      </c>
      <c r="FB8" s="35" t="s">
        <v>1402</v>
      </c>
      <c r="FC8" s="35" t="s">
        <v>1402</v>
      </c>
      <c r="FD8" s="35" t="s">
        <v>1395</v>
      </c>
      <c r="FE8" s="35" t="s">
        <v>1402</v>
      </c>
      <c r="FF8" s="35" t="s">
        <v>1400</v>
      </c>
      <c r="FG8" s="35" t="s">
        <v>1402</v>
      </c>
      <c r="FH8" s="35" t="s">
        <v>1395</v>
      </c>
      <c r="FI8" s="35" t="s">
        <v>1395</v>
      </c>
      <c r="FJ8" s="35" t="s">
        <v>1395</v>
      </c>
      <c r="FK8" s="36" t="s">
        <v>1395</v>
      </c>
      <c r="FL8" s="36" t="s">
        <v>1395</v>
      </c>
      <c r="FM8" s="36" t="s">
        <v>1395</v>
      </c>
      <c r="FN8" s="36" t="s">
        <v>1395</v>
      </c>
      <c r="FO8" s="36" t="s">
        <v>1395</v>
      </c>
      <c r="FP8" s="36" t="s">
        <v>1398</v>
      </c>
      <c r="FQ8" s="36" t="s">
        <v>1395</v>
      </c>
      <c r="FR8" s="36" t="s">
        <v>1395</v>
      </c>
      <c r="FS8" s="36" t="s">
        <v>1397</v>
      </c>
      <c r="FT8" s="36" t="s">
        <v>1402</v>
      </c>
      <c r="FU8" s="36" t="s">
        <v>1399</v>
      </c>
      <c r="FV8" s="36" t="s">
        <v>1399</v>
      </c>
      <c r="FW8" s="36" t="s">
        <v>1400</v>
      </c>
      <c r="FX8" s="36" t="s">
        <v>1400</v>
      </c>
      <c r="FY8" s="36" t="s">
        <v>1395</v>
      </c>
      <c r="FZ8" s="36" t="s">
        <v>1406</v>
      </c>
      <c r="GA8" s="36" t="s">
        <v>1406</v>
      </c>
      <c r="GB8" s="36" t="s">
        <v>1395</v>
      </c>
      <c r="GC8" s="36" t="s">
        <v>1395</v>
      </c>
      <c r="GD8" s="36" t="s">
        <v>1402</v>
      </c>
      <c r="GE8" s="36" t="s">
        <v>1400</v>
      </c>
      <c r="GF8" s="36" t="s">
        <v>1395</v>
      </c>
      <c r="GG8" s="36" t="s">
        <v>1395</v>
      </c>
      <c r="GH8" s="36" t="s">
        <v>1395</v>
      </c>
      <c r="GI8" s="36" t="s">
        <v>1395</v>
      </c>
      <c r="GJ8" s="36" t="s">
        <v>1395</v>
      </c>
      <c r="GK8" s="36" t="s">
        <v>1395</v>
      </c>
      <c r="GL8" s="36" t="s">
        <v>1395</v>
      </c>
      <c r="GM8" s="36" t="s">
        <v>1395</v>
      </c>
      <c r="GN8" s="36" t="s">
        <v>1395</v>
      </c>
      <c r="GO8" s="36" t="s">
        <v>1395</v>
      </c>
      <c r="GP8" s="36" t="s">
        <v>1395</v>
      </c>
      <c r="GQ8" s="36" t="s">
        <v>1395</v>
      </c>
      <c r="GR8" s="36" t="s">
        <v>1395</v>
      </c>
      <c r="GS8" s="36" t="s">
        <v>1395</v>
      </c>
      <c r="GT8" s="36" t="s">
        <v>1395</v>
      </c>
      <c r="GU8" s="36" t="s">
        <v>1395</v>
      </c>
      <c r="GV8" s="36" t="s">
        <v>1395</v>
      </c>
      <c r="GW8" s="36" t="s">
        <v>1395</v>
      </c>
      <c r="GX8" s="36" t="s">
        <v>1395</v>
      </c>
      <c r="GY8" s="36" t="s">
        <v>1395</v>
      </c>
      <c r="GZ8" s="36" t="s">
        <v>1395</v>
      </c>
      <c r="HA8" s="36" t="s">
        <v>1395</v>
      </c>
      <c r="HB8" s="36" t="s">
        <v>1395</v>
      </c>
      <c r="HC8" s="36" t="s">
        <v>1395</v>
      </c>
      <c r="HD8" s="36" t="s">
        <v>1395</v>
      </c>
      <c r="HE8" s="36" t="s">
        <v>1395</v>
      </c>
      <c r="HF8" s="36" t="s">
        <v>1395</v>
      </c>
      <c r="HG8" s="36" t="s">
        <v>1395</v>
      </c>
      <c r="HH8" s="36" t="s">
        <v>1395</v>
      </c>
      <c r="HI8" s="36" t="s">
        <v>1395</v>
      </c>
      <c r="HJ8" s="36" t="s">
        <v>1395</v>
      </c>
      <c r="HK8" s="36" t="s">
        <v>1395</v>
      </c>
      <c r="HL8" s="36" t="s">
        <v>1402</v>
      </c>
      <c r="HM8" s="36" t="s">
        <v>1400</v>
      </c>
      <c r="HN8" s="36" t="s">
        <v>1395</v>
      </c>
      <c r="HO8" s="36" t="s">
        <v>1395</v>
      </c>
      <c r="HP8" s="36" t="s">
        <v>1395</v>
      </c>
      <c r="HQ8" s="36" t="s">
        <v>1395</v>
      </c>
      <c r="HR8" s="36" t="s">
        <v>1395</v>
      </c>
      <c r="HS8" s="36" t="s">
        <v>1395</v>
      </c>
      <c r="HT8" s="36" t="s">
        <v>1395</v>
      </c>
      <c r="HU8" s="36" t="s">
        <v>1395</v>
      </c>
      <c r="HV8" s="36" t="s">
        <v>1395</v>
      </c>
      <c r="HW8" s="36" t="s">
        <v>1395</v>
      </c>
      <c r="HX8" s="36" t="s">
        <v>1395</v>
      </c>
      <c r="HY8" s="36" t="s">
        <v>1395</v>
      </c>
      <c r="HZ8" s="36" t="s">
        <v>1395</v>
      </c>
      <c r="IA8" s="36" t="s">
        <v>1395</v>
      </c>
      <c r="IB8" s="36" t="s">
        <v>1395</v>
      </c>
      <c r="IC8" s="36" t="s">
        <v>1395</v>
      </c>
      <c r="ID8" s="36" t="s">
        <v>1395</v>
      </c>
      <c r="IE8" s="36" t="s">
        <v>1395</v>
      </c>
      <c r="IF8" s="36" t="s">
        <v>1395</v>
      </c>
      <c r="IG8" s="36" t="s">
        <v>1395</v>
      </c>
      <c r="IH8" s="36" t="s">
        <v>1395</v>
      </c>
      <c r="II8" s="36" t="s">
        <v>1395</v>
      </c>
      <c r="IJ8" s="36" t="s">
        <v>1395</v>
      </c>
      <c r="IK8" s="36" t="s">
        <v>1395</v>
      </c>
      <c r="IL8" s="36" t="s">
        <v>1395</v>
      </c>
      <c r="IM8" s="36" t="s">
        <v>1395</v>
      </c>
      <c r="IN8" s="36" t="s">
        <v>1395</v>
      </c>
      <c r="IO8" s="36" t="s">
        <v>1395</v>
      </c>
      <c r="IP8" s="36" t="s">
        <v>1395</v>
      </c>
      <c r="IQ8" s="36" t="s">
        <v>1395</v>
      </c>
      <c r="IR8" s="36" t="s">
        <v>1402</v>
      </c>
      <c r="IS8" s="36" t="s">
        <v>1400</v>
      </c>
      <c r="IT8" s="36" t="s">
        <v>1402</v>
      </c>
      <c r="IU8" s="36" t="s">
        <v>1410</v>
      </c>
      <c r="IV8" s="36" t="s">
        <v>1410</v>
      </c>
      <c r="IW8" s="36" t="s">
        <v>1410</v>
      </c>
      <c r="IX8" s="36" t="s">
        <v>1410</v>
      </c>
      <c r="IY8" s="36" t="s">
        <v>1410</v>
      </c>
      <c r="IZ8" s="36" t="s">
        <v>1410</v>
      </c>
      <c r="JA8" s="36" t="s">
        <v>1410</v>
      </c>
      <c r="JB8" s="36" t="s">
        <v>1410</v>
      </c>
      <c r="JC8" s="36" t="s">
        <v>1403</v>
      </c>
      <c r="JD8" s="36" t="s">
        <v>1403</v>
      </c>
      <c r="JE8" s="36" t="s">
        <v>1403</v>
      </c>
      <c r="JF8" s="36" t="s">
        <v>1403</v>
      </c>
      <c r="JG8" s="36" t="s">
        <v>1403</v>
      </c>
      <c r="JH8" s="36" t="s">
        <v>1403</v>
      </c>
      <c r="JI8" s="36" t="s">
        <v>1403</v>
      </c>
      <c r="JJ8" s="36" t="s">
        <v>1403</v>
      </c>
      <c r="JK8" s="36" t="s">
        <v>1411</v>
      </c>
      <c r="JL8" s="36" t="s">
        <v>1411</v>
      </c>
      <c r="JM8" s="36" t="s">
        <v>1411</v>
      </c>
      <c r="JN8" s="36" t="s">
        <v>1411</v>
      </c>
      <c r="JO8" s="36" t="s">
        <v>1411</v>
      </c>
      <c r="JP8" s="36" t="s">
        <v>1411</v>
      </c>
      <c r="JQ8" s="36" t="s">
        <v>1411</v>
      </c>
      <c r="JR8" s="36" t="s">
        <v>1411</v>
      </c>
      <c r="JS8" s="36" t="s">
        <v>1402</v>
      </c>
      <c r="JT8" s="36" t="s">
        <v>1402</v>
      </c>
      <c r="JU8" s="36" t="s">
        <v>1402</v>
      </c>
      <c r="JV8" s="36" t="s">
        <v>1402</v>
      </c>
      <c r="JW8" s="36" t="s">
        <v>1402</v>
      </c>
      <c r="JX8" s="36" t="s">
        <v>1402</v>
      </c>
      <c r="JY8" s="36" t="s">
        <v>1402</v>
      </c>
      <c r="JZ8" s="36" t="s">
        <v>1402</v>
      </c>
      <c r="KA8" s="36" t="s">
        <v>1410</v>
      </c>
      <c r="KB8" s="36" t="s">
        <v>1410</v>
      </c>
      <c r="KC8" s="36" t="s">
        <v>1410</v>
      </c>
      <c r="KD8" s="36" t="s">
        <v>1410</v>
      </c>
      <c r="KE8" s="36" t="s">
        <v>1410</v>
      </c>
      <c r="KF8" s="36" t="s">
        <v>1410</v>
      </c>
      <c r="KG8" s="36" t="s">
        <v>1410</v>
      </c>
      <c r="KH8" s="36" t="s">
        <v>1410</v>
      </c>
      <c r="KI8" s="36" t="s">
        <v>1403</v>
      </c>
      <c r="KJ8" s="36" t="s">
        <v>1403</v>
      </c>
      <c r="KK8" s="36" t="s">
        <v>1403</v>
      </c>
      <c r="KL8" s="36" t="s">
        <v>1403</v>
      </c>
      <c r="KM8" s="36" t="s">
        <v>1403</v>
      </c>
      <c r="KN8" s="36" t="s">
        <v>1403</v>
      </c>
      <c r="KO8" s="36" t="s">
        <v>1403</v>
      </c>
      <c r="KP8" s="36" t="s">
        <v>1403</v>
      </c>
      <c r="KQ8" s="36" t="s">
        <v>1411</v>
      </c>
      <c r="KR8" s="36" t="s">
        <v>1411</v>
      </c>
      <c r="KS8" s="36" t="s">
        <v>1411</v>
      </c>
      <c r="KT8" s="36" t="s">
        <v>1411</v>
      </c>
      <c r="KU8" s="36" t="s">
        <v>1411</v>
      </c>
      <c r="KV8" s="36" t="s">
        <v>1411</v>
      </c>
      <c r="KW8" s="36" t="s">
        <v>1411</v>
      </c>
      <c r="KX8" s="36" t="s">
        <v>1411</v>
      </c>
      <c r="KY8" s="36" t="s">
        <v>1402</v>
      </c>
      <c r="KZ8" s="36" t="s">
        <v>1402</v>
      </c>
      <c r="LA8" s="36" t="s">
        <v>1402</v>
      </c>
      <c r="LB8" s="36" t="s">
        <v>1402</v>
      </c>
      <c r="LC8" s="36" t="s">
        <v>1402</v>
      </c>
      <c r="LD8" s="36" t="s">
        <v>1402</v>
      </c>
      <c r="LE8" s="36" t="s">
        <v>1402</v>
      </c>
      <c r="LF8" s="36" t="s">
        <v>1402</v>
      </c>
      <c r="LG8" s="37" t="s">
        <v>1395</v>
      </c>
      <c r="LH8" s="37" t="s">
        <v>1395</v>
      </c>
      <c r="LI8" s="37" t="s">
        <v>1395</v>
      </c>
      <c r="LJ8" s="37" t="s">
        <v>1395</v>
      </c>
      <c r="LK8" s="37" t="s">
        <v>1395</v>
      </c>
      <c r="LL8" s="37" t="s">
        <v>1398</v>
      </c>
      <c r="LM8" s="37" t="s">
        <v>1395</v>
      </c>
      <c r="LN8" s="37" t="s">
        <v>1395</v>
      </c>
      <c r="LO8" s="37" t="s">
        <v>1397</v>
      </c>
      <c r="LP8" s="37" t="s">
        <v>1402</v>
      </c>
      <c r="LQ8" s="37" t="s">
        <v>1399</v>
      </c>
      <c r="LR8" s="37" t="s">
        <v>1399</v>
      </c>
      <c r="LS8" s="37" t="s">
        <v>1400</v>
      </c>
      <c r="LT8" s="37" t="s">
        <v>1400</v>
      </c>
      <c r="LU8" s="37" t="s">
        <v>1400</v>
      </c>
      <c r="LV8" s="37" t="s">
        <v>1395</v>
      </c>
      <c r="LW8" s="37" t="s">
        <v>1395</v>
      </c>
      <c r="LX8" s="37" t="s">
        <v>1401</v>
      </c>
      <c r="LY8" s="37" t="s">
        <v>1406</v>
      </c>
      <c r="LZ8" s="37" t="s">
        <v>1406</v>
      </c>
      <c r="MA8" s="37" t="s">
        <v>1407</v>
      </c>
      <c r="MB8" s="37" t="s">
        <v>1407</v>
      </c>
      <c r="MC8" s="37" t="s">
        <v>1407</v>
      </c>
      <c r="MD8" s="37" t="s">
        <v>1395</v>
      </c>
      <c r="ME8" s="37" t="s">
        <v>1395</v>
      </c>
      <c r="MF8" s="37" t="s">
        <v>1402</v>
      </c>
      <c r="MG8" s="37" t="s">
        <v>1402</v>
      </c>
      <c r="MH8" s="37" t="s">
        <v>1395</v>
      </c>
      <c r="MI8" s="37" t="s">
        <v>1400</v>
      </c>
      <c r="MJ8" s="37" t="s">
        <v>1395</v>
      </c>
      <c r="MK8" s="37" t="s">
        <v>1409</v>
      </c>
      <c r="ML8" s="37" t="s">
        <v>1408</v>
      </c>
      <c r="MM8" s="37" t="s">
        <v>1412</v>
      </c>
      <c r="MN8" s="37" t="s">
        <v>1402</v>
      </c>
      <c r="MO8" s="37" t="s">
        <v>1402</v>
      </c>
      <c r="MP8" s="37" t="s">
        <v>1402</v>
      </c>
      <c r="MQ8" s="37" t="s">
        <v>1402</v>
      </c>
      <c r="MR8" s="37" t="s">
        <v>1402</v>
      </c>
      <c r="MS8" s="37" t="s">
        <v>1402</v>
      </c>
      <c r="MT8" s="37" t="s">
        <v>1402</v>
      </c>
      <c r="MU8" s="37" t="s">
        <v>1402</v>
      </c>
      <c r="MV8" s="37" t="s">
        <v>1402</v>
      </c>
      <c r="MW8" s="37" t="s">
        <v>1402</v>
      </c>
      <c r="MX8" s="37" t="s">
        <v>1402</v>
      </c>
      <c r="MY8" s="37" t="s">
        <v>1402</v>
      </c>
      <c r="MZ8" s="37" t="s">
        <v>1400</v>
      </c>
      <c r="NA8" s="37" t="s">
        <v>1402</v>
      </c>
      <c r="NB8" s="37" t="s">
        <v>1402</v>
      </c>
      <c r="NC8" s="37" t="s">
        <v>1400</v>
      </c>
      <c r="ND8" s="37" t="s">
        <v>1413</v>
      </c>
      <c r="NE8" s="37" t="s">
        <v>1413</v>
      </c>
      <c r="NF8" s="37" t="s">
        <v>1413</v>
      </c>
      <c r="NG8" s="37" t="s">
        <v>1402</v>
      </c>
      <c r="NH8" s="38" t="s">
        <v>1395</v>
      </c>
      <c r="NI8" s="38" t="s">
        <v>1395</v>
      </c>
      <c r="NJ8" s="38" t="s">
        <v>1395</v>
      </c>
      <c r="NK8" s="38" t="s">
        <v>1395</v>
      </c>
      <c r="NL8" s="38" t="s">
        <v>1395</v>
      </c>
      <c r="NM8" s="38" t="s">
        <v>1398</v>
      </c>
      <c r="NN8" s="38" t="s">
        <v>1395</v>
      </c>
      <c r="NO8" s="38" t="s">
        <v>1395</v>
      </c>
      <c r="NP8" s="38" t="s">
        <v>1397</v>
      </c>
      <c r="NQ8" s="38" t="s">
        <v>1402</v>
      </c>
      <c r="NR8" s="38" t="s">
        <v>1399</v>
      </c>
      <c r="NS8" s="38" t="s">
        <v>1399</v>
      </c>
      <c r="NT8" s="38" t="s">
        <v>1400</v>
      </c>
      <c r="NU8" s="38" t="s">
        <v>1400</v>
      </c>
      <c r="NV8" s="38" t="s">
        <v>1400</v>
      </c>
      <c r="NW8" s="38" t="s">
        <v>1395</v>
      </c>
      <c r="NX8" s="38" t="s">
        <v>1401</v>
      </c>
      <c r="NY8" s="38" t="s">
        <v>1406</v>
      </c>
      <c r="NZ8" s="38" t="s">
        <v>1406</v>
      </c>
      <c r="OA8" s="38" t="s">
        <v>1407</v>
      </c>
      <c r="OB8" s="38" t="s">
        <v>1407</v>
      </c>
      <c r="OC8" s="38" t="s">
        <v>1395</v>
      </c>
      <c r="OD8" s="38" t="s">
        <v>1395</v>
      </c>
      <c r="OE8" s="38" t="s">
        <v>1395</v>
      </c>
      <c r="OF8" s="38" t="s">
        <v>1402</v>
      </c>
      <c r="OG8" s="38" t="s">
        <v>1395</v>
      </c>
      <c r="OH8" s="38" t="s">
        <v>1395</v>
      </c>
      <c r="OI8" s="38" t="s">
        <v>1395</v>
      </c>
      <c r="OJ8" s="38" t="s">
        <v>1402</v>
      </c>
      <c r="OK8" s="38" t="s">
        <v>1402</v>
      </c>
      <c r="OL8" s="38" t="s">
        <v>1402</v>
      </c>
      <c r="OM8" s="38" t="s">
        <v>1402</v>
      </c>
      <c r="ON8" s="38" t="s">
        <v>1402</v>
      </c>
      <c r="OO8" s="38" t="s">
        <v>1402</v>
      </c>
      <c r="OP8" s="38" t="s">
        <v>1395</v>
      </c>
      <c r="OQ8" s="38" t="s">
        <v>1400</v>
      </c>
      <c r="OR8" s="38" t="s">
        <v>1400</v>
      </c>
      <c r="OS8" s="38" t="s">
        <v>1400</v>
      </c>
      <c r="OT8" s="38" t="s">
        <v>1408</v>
      </c>
      <c r="OU8" s="38" t="s">
        <v>1402</v>
      </c>
      <c r="OV8" s="38" t="s">
        <v>1402</v>
      </c>
      <c r="OW8" s="38" t="s">
        <v>1402</v>
      </c>
      <c r="OX8" s="38" t="s">
        <v>1402</v>
      </c>
      <c r="OY8" s="38" t="s">
        <v>1402</v>
      </c>
      <c r="OZ8" s="38" t="s">
        <v>1402</v>
      </c>
      <c r="PA8" s="38" t="s">
        <v>1402</v>
      </c>
      <c r="PB8" s="38" t="s">
        <v>1402</v>
      </c>
      <c r="PC8" s="38" t="s">
        <v>1400</v>
      </c>
      <c r="PD8" s="38" t="s">
        <v>1402</v>
      </c>
      <c r="PE8" s="38" t="s">
        <v>1402</v>
      </c>
      <c r="PF8" s="38" t="s">
        <v>1400</v>
      </c>
      <c r="PG8" s="38" t="s">
        <v>1414</v>
      </c>
      <c r="PH8" s="38" t="s">
        <v>1400</v>
      </c>
      <c r="PI8" s="38" t="s">
        <v>1395</v>
      </c>
      <c r="PJ8" s="38" t="s">
        <v>1395</v>
      </c>
      <c r="PK8" s="38" t="s">
        <v>1395</v>
      </c>
      <c r="PL8" s="38" t="s">
        <v>1395</v>
      </c>
      <c r="PM8" s="38" t="s">
        <v>1395</v>
      </c>
      <c r="PN8" s="38" t="s">
        <v>1402</v>
      </c>
      <c r="PO8" s="38" t="s">
        <v>1400</v>
      </c>
      <c r="PP8" s="38" t="s">
        <v>1414</v>
      </c>
      <c r="PQ8" s="38" t="s">
        <v>1402</v>
      </c>
      <c r="PR8" s="38" t="s">
        <v>1402</v>
      </c>
      <c r="PS8" s="38" t="s">
        <v>1402</v>
      </c>
      <c r="PT8" s="38" t="s">
        <v>1402</v>
      </c>
      <c r="PU8" s="38" t="s">
        <v>1402</v>
      </c>
      <c r="PV8" s="38" t="s">
        <v>1402</v>
      </c>
      <c r="PW8" s="38" t="s">
        <v>1402</v>
      </c>
      <c r="PX8" s="38" t="s">
        <v>1415</v>
      </c>
      <c r="PY8" s="38" t="s">
        <v>1402</v>
      </c>
      <c r="PZ8" s="38" t="s">
        <v>1402</v>
      </c>
      <c r="QA8" s="38" t="s">
        <v>1402</v>
      </c>
      <c r="QB8" s="38" t="s">
        <v>1402</v>
      </c>
      <c r="QC8" s="38" t="s">
        <v>1402</v>
      </c>
      <c r="QD8" s="38" t="s">
        <v>1402</v>
      </c>
      <c r="QE8" s="38" t="s">
        <v>1402</v>
      </c>
      <c r="QF8" s="38" t="s">
        <v>1415</v>
      </c>
      <c r="QG8" s="38" t="s">
        <v>1395</v>
      </c>
      <c r="QH8" s="38" t="s">
        <v>1395</v>
      </c>
      <c r="QI8" s="38" t="s">
        <v>1415</v>
      </c>
      <c r="QJ8" s="38" t="s">
        <v>1402</v>
      </c>
      <c r="QK8" s="38" t="s">
        <v>1415</v>
      </c>
      <c r="QL8" s="38" t="s">
        <v>1402</v>
      </c>
      <c r="QM8" s="38" t="s">
        <v>1415</v>
      </c>
      <c r="QN8" s="38" t="s">
        <v>1402</v>
      </c>
      <c r="QO8" s="38" t="s">
        <v>1415</v>
      </c>
      <c r="QP8" s="38" t="s">
        <v>1402</v>
      </c>
      <c r="QQ8" s="38" t="s">
        <v>1415</v>
      </c>
      <c r="QR8" s="38" t="s">
        <v>1402</v>
      </c>
      <c r="QS8" s="38" t="s">
        <v>1402</v>
      </c>
    </row>
    <row r="9" spans="1:461">
      <c r="A9" s="13" t="s">
        <v>1416</v>
      </c>
      <c r="B9" s="13" t="s">
        <v>2</v>
      </c>
      <c r="C9" s="13" t="s">
        <v>3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  <c r="L9" s="13" t="s">
        <v>12</v>
      </c>
      <c r="M9" s="13" t="s">
        <v>13</v>
      </c>
      <c r="N9" s="13" t="s">
        <v>14</v>
      </c>
      <c r="O9" s="13" t="s">
        <v>15</v>
      </c>
      <c r="P9" s="13" t="s">
        <v>16</v>
      </c>
      <c r="Q9" s="13" t="s">
        <v>17</v>
      </c>
      <c r="R9" s="13" t="s">
        <v>18</v>
      </c>
      <c r="S9" s="13" t="s">
        <v>19</v>
      </c>
      <c r="T9" s="13" t="s">
        <v>20</v>
      </c>
      <c r="U9" s="13" t="s">
        <v>21</v>
      </c>
      <c r="V9" s="13" t="s">
        <v>22</v>
      </c>
      <c r="W9" s="13" t="s">
        <v>23</v>
      </c>
      <c r="X9" s="13" t="s">
        <v>24</v>
      </c>
      <c r="Y9" s="13" t="s">
        <v>25</v>
      </c>
      <c r="Z9" s="13" t="s">
        <v>26</v>
      </c>
      <c r="AA9" s="13" t="s">
        <v>27</v>
      </c>
      <c r="AB9" s="13" t="s">
        <v>28</v>
      </c>
      <c r="AC9" s="13" t="s">
        <v>29</v>
      </c>
      <c r="AD9" s="13" t="s">
        <v>30</v>
      </c>
      <c r="AE9" s="13" t="s">
        <v>31</v>
      </c>
      <c r="AF9" s="13" t="s">
        <v>32</v>
      </c>
      <c r="AG9" s="13" t="s">
        <v>33</v>
      </c>
      <c r="AH9" s="13" t="s">
        <v>34</v>
      </c>
      <c r="AI9" s="13" t="s">
        <v>35</v>
      </c>
      <c r="AJ9" s="13" t="s">
        <v>36</v>
      </c>
      <c r="AK9" s="13" t="s">
        <v>37</v>
      </c>
      <c r="AL9" s="13" t="s">
        <v>38</v>
      </c>
      <c r="AM9" s="13" t="s">
        <v>39</v>
      </c>
      <c r="AN9" s="13" t="s">
        <v>40</v>
      </c>
      <c r="AO9" s="13" t="s">
        <v>41</v>
      </c>
      <c r="AP9" s="13" t="s">
        <v>42</v>
      </c>
      <c r="AQ9" s="13" t="s">
        <v>43</v>
      </c>
      <c r="AR9" s="13" t="s">
        <v>44</v>
      </c>
      <c r="AS9" s="13" t="s">
        <v>45</v>
      </c>
      <c r="AT9" s="13" t="s">
        <v>46</v>
      </c>
      <c r="AU9" s="13" t="s">
        <v>47</v>
      </c>
      <c r="AV9" s="13" t="s">
        <v>48</v>
      </c>
      <c r="AW9" s="13" t="s">
        <v>49</v>
      </c>
      <c r="AX9" s="13" t="s">
        <v>50</v>
      </c>
      <c r="AY9" s="13" t="s">
        <v>51</v>
      </c>
      <c r="AZ9" s="13" t="s">
        <v>52</v>
      </c>
      <c r="BA9" s="13" t="s">
        <v>53</v>
      </c>
      <c r="BB9" s="13" t="s">
        <v>54</v>
      </c>
      <c r="BC9" s="13" t="s">
        <v>55</v>
      </c>
      <c r="BD9" s="13" t="s">
        <v>56</v>
      </c>
      <c r="BE9" s="13" t="s">
        <v>57</v>
      </c>
      <c r="BF9" s="13" t="s">
        <v>58</v>
      </c>
      <c r="BG9" s="13" t="s">
        <v>59</v>
      </c>
      <c r="BH9" s="13" t="s">
        <v>60</v>
      </c>
      <c r="BI9" s="13" t="s">
        <v>61</v>
      </c>
      <c r="BJ9" s="13" t="s">
        <v>62</v>
      </c>
      <c r="BK9" s="13" t="s">
        <v>63</v>
      </c>
      <c r="BL9" s="13" t="s">
        <v>64</v>
      </c>
      <c r="BM9" s="13" t="s">
        <v>65</v>
      </c>
      <c r="BN9" s="13" t="s">
        <v>66</v>
      </c>
      <c r="BO9" s="13" t="s">
        <v>67</v>
      </c>
      <c r="BP9" s="13" t="s">
        <v>68</v>
      </c>
      <c r="BQ9" s="13" t="s">
        <v>69</v>
      </c>
      <c r="BR9" s="13" t="s">
        <v>70</v>
      </c>
      <c r="BS9" s="13" t="s">
        <v>71</v>
      </c>
      <c r="BT9" s="13" t="s">
        <v>72</v>
      </c>
      <c r="BU9" s="13" t="s">
        <v>73</v>
      </c>
      <c r="BV9" s="13" t="s">
        <v>74</v>
      </c>
      <c r="BW9" s="13" t="s">
        <v>75</v>
      </c>
      <c r="BX9" s="13" t="s">
        <v>76</v>
      </c>
      <c r="BY9" s="13" t="s">
        <v>77</v>
      </c>
      <c r="BZ9" s="13" t="s">
        <v>78</v>
      </c>
      <c r="CA9" s="13" t="s">
        <v>79</v>
      </c>
      <c r="CB9" s="13" t="s">
        <v>80</v>
      </c>
      <c r="CC9" s="13" t="s">
        <v>81</v>
      </c>
      <c r="CD9" s="13" t="s">
        <v>82</v>
      </c>
      <c r="CE9" s="13" t="s">
        <v>83</v>
      </c>
      <c r="CF9" s="13" t="s">
        <v>84</v>
      </c>
      <c r="CG9" s="13" t="s">
        <v>85</v>
      </c>
      <c r="CH9" s="13" t="s">
        <v>86</v>
      </c>
      <c r="CI9" s="13" t="s">
        <v>87</v>
      </c>
      <c r="CJ9" s="13" t="s">
        <v>88</v>
      </c>
      <c r="CK9" s="13" t="s">
        <v>89</v>
      </c>
      <c r="CL9" s="13" t="s">
        <v>90</v>
      </c>
      <c r="CM9" s="13" t="s">
        <v>91</v>
      </c>
      <c r="CN9" s="13" t="s">
        <v>92</v>
      </c>
      <c r="CO9" s="13" t="s">
        <v>93</v>
      </c>
      <c r="CP9" s="13" t="s">
        <v>94</v>
      </c>
      <c r="CQ9" s="13" t="s">
        <v>95</v>
      </c>
      <c r="CR9" s="13" t="s">
        <v>96</v>
      </c>
      <c r="CS9" s="13" t="s">
        <v>97</v>
      </c>
      <c r="CT9" s="13" t="s">
        <v>98</v>
      </c>
      <c r="CU9" s="13" t="s">
        <v>99</v>
      </c>
      <c r="CV9" s="13" t="s">
        <v>100</v>
      </c>
      <c r="CW9" s="13" t="s">
        <v>101</v>
      </c>
      <c r="CX9" s="13" t="s">
        <v>102</v>
      </c>
      <c r="CY9" s="13" t="s">
        <v>103</v>
      </c>
      <c r="CZ9" s="13" t="s">
        <v>104</v>
      </c>
      <c r="DA9" s="13" t="s">
        <v>105</v>
      </c>
      <c r="DB9" s="13" t="s">
        <v>106</v>
      </c>
      <c r="DC9" s="13" t="s">
        <v>107</v>
      </c>
      <c r="DD9" s="13" t="s">
        <v>108</v>
      </c>
      <c r="DE9" s="13" t="s">
        <v>109</v>
      </c>
      <c r="DF9" s="13" t="s">
        <v>110</v>
      </c>
      <c r="DG9" s="13" t="s">
        <v>111</v>
      </c>
      <c r="DH9" s="13" t="s">
        <v>112</v>
      </c>
      <c r="DI9" s="13" t="s">
        <v>113</v>
      </c>
      <c r="DJ9" s="13" t="s">
        <v>114</v>
      </c>
      <c r="DK9" s="13" t="s">
        <v>115</v>
      </c>
      <c r="DL9" s="13" t="s">
        <v>116</v>
      </c>
      <c r="DM9" s="13" t="s">
        <v>117</v>
      </c>
      <c r="DN9" s="13" t="s">
        <v>118</v>
      </c>
      <c r="DO9" s="13" t="s">
        <v>119</v>
      </c>
      <c r="DP9" s="13" t="s">
        <v>120</v>
      </c>
      <c r="DQ9" s="13" t="s">
        <v>121</v>
      </c>
      <c r="DR9" s="13" t="s">
        <v>122</v>
      </c>
      <c r="DS9" s="13" t="s">
        <v>123</v>
      </c>
      <c r="DT9" s="13" t="s">
        <v>124</v>
      </c>
      <c r="DU9" s="13" t="s">
        <v>125</v>
      </c>
      <c r="DV9" s="13" t="s">
        <v>126</v>
      </c>
      <c r="DW9" s="13" t="s">
        <v>127</v>
      </c>
      <c r="DX9" s="13" t="s">
        <v>128</v>
      </c>
      <c r="DY9" s="13" t="s">
        <v>129</v>
      </c>
      <c r="DZ9" s="13" t="s">
        <v>130</v>
      </c>
      <c r="EA9" s="13" t="s">
        <v>131</v>
      </c>
      <c r="EB9" s="13" t="s">
        <v>132</v>
      </c>
      <c r="EC9" s="13" t="s">
        <v>133</v>
      </c>
      <c r="ED9" s="13" t="s">
        <v>134</v>
      </c>
      <c r="EE9" s="13" t="s">
        <v>135</v>
      </c>
      <c r="EF9" s="13" t="s">
        <v>136</v>
      </c>
      <c r="EG9" s="13" t="s">
        <v>137</v>
      </c>
      <c r="EH9" s="13" t="s">
        <v>138</v>
      </c>
      <c r="EI9" s="13" t="s">
        <v>139</v>
      </c>
      <c r="EJ9" s="13" t="s">
        <v>140</v>
      </c>
      <c r="EK9" s="13" t="s">
        <v>141</v>
      </c>
      <c r="EL9" s="13" t="s">
        <v>142</v>
      </c>
      <c r="EM9" s="13" t="s">
        <v>143</v>
      </c>
      <c r="EN9" s="13" t="s">
        <v>144</v>
      </c>
      <c r="EO9" s="13" t="s">
        <v>145</v>
      </c>
      <c r="EP9" s="13" t="s">
        <v>146</v>
      </c>
      <c r="EQ9" s="13" t="s">
        <v>147</v>
      </c>
      <c r="ER9" s="13" t="s">
        <v>148</v>
      </c>
      <c r="ES9" s="13" t="s">
        <v>149</v>
      </c>
      <c r="ET9" s="13" t="s">
        <v>150</v>
      </c>
      <c r="EU9" s="13" t="s">
        <v>151</v>
      </c>
      <c r="EV9" s="13" t="s">
        <v>152</v>
      </c>
      <c r="EW9" s="13" t="s">
        <v>153</v>
      </c>
      <c r="EX9" s="13" t="s">
        <v>154</v>
      </c>
      <c r="EY9" s="13" t="s">
        <v>155</v>
      </c>
      <c r="EZ9" s="13" t="s">
        <v>156</v>
      </c>
      <c r="FA9" s="13" t="s">
        <v>157</v>
      </c>
      <c r="FB9" s="13" t="s">
        <v>158</v>
      </c>
      <c r="FC9" s="13" t="s">
        <v>159</v>
      </c>
      <c r="FD9" s="13" t="s">
        <v>160</v>
      </c>
      <c r="FE9" s="13" t="s">
        <v>161</v>
      </c>
      <c r="FF9" s="13" t="s">
        <v>162</v>
      </c>
      <c r="FG9" s="13" t="s">
        <v>163</v>
      </c>
      <c r="FH9" s="13" t="s">
        <v>164</v>
      </c>
      <c r="FI9" s="13" t="s">
        <v>165</v>
      </c>
      <c r="FJ9" s="13" t="s">
        <v>166</v>
      </c>
      <c r="FK9" s="13" t="s">
        <v>167</v>
      </c>
      <c r="FL9" s="13" t="s">
        <v>168</v>
      </c>
      <c r="FM9" s="13" t="s">
        <v>169</v>
      </c>
      <c r="FN9" s="13" t="s">
        <v>170</v>
      </c>
      <c r="FO9" s="13" t="s">
        <v>171</v>
      </c>
      <c r="FP9" s="13" t="s">
        <v>172</v>
      </c>
      <c r="FQ9" s="13" t="s">
        <v>173</v>
      </c>
      <c r="FR9" s="13" t="s">
        <v>174</v>
      </c>
      <c r="FS9" s="13" t="s">
        <v>175</v>
      </c>
      <c r="FT9" s="13" t="s">
        <v>176</v>
      </c>
      <c r="FU9" s="13" t="s">
        <v>177</v>
      </c>
      <c r="FV9" s="13" t="s">
        <v>178</v>
      </c>
      <c r="FW9" s="13" t="s">
        <v>179</v>
      </c>
      <c r="FX9" s="13" t="s">
        <v>180</v>
      </c>
      <c r="FY9" s="13" t="s">
        <v>181</v>
      </c>
      <c r="FZ9" s="13" t="s">
        <v>182</v>
      </c>
      <c r="GA9" s="13" t="s">
        <v>183</v>
      </c>
      <c r="GB9" s="13" t="s">
        <v>184</v>
      </c>
      <c r="GC9" s="13" t="s">
        <v>185</v>
      </c>
      <c r="GD9" s="13" t="s">
        <v>186</v>
      </c>
      <c r="GE9" s="13" t="s">
        <v>187</v>
      </c>
      <c r="GF9" s="13" t="s">
        <v>188</v>
      </c>
      <c r="GG9" s="13" t="s">
        <v>189</v>
      </c>
      <c r="GH9" s="13" t="s">
        <v>190</v>
      </c>
      <c r="GI9" s="13" t="s">
        <v>191</v>
      </c>
      <c r="GJ9" s="13" t="s">
        <v>192</v>
      </c>
      <c r="GK9" s="13" t="s">
        <v>193</v>
      </c>
      <c r="GL9" s="13" t="s">
        <v>194</v>
      </c>
      <c r="GM9" s="13" t="s">
        <v>195</v>
      </c>
      <c r="GN9" s="13" t="s">
        <v>196</v>
      </c>
      <c r="GO9" s="13" t="s">
        <v>197</v>
      </c>
      <c r="GP9" s="13" t="s">
        <v>198</v>
      </c>
      <c r="GQ9" s="13" t="s">
        <v>199</v>
      </c>
      <c r="GR9" s="13" t="s">
        <v>200</v>
      </c>
      <c r="GS9" s="13" t="s">
        <v>201</v>
      </c>
      <c r="GT9" s="13" t="s">
        <v>202</v>
      </c>
      <c r="GU9" s="13" t="s">
        <v>203</v>
      </c>
      <c r="GV9" s="13" t="s">
        <v>204</v>
      </c>
      <c r="GW9" s="13" t="s">
        <v>205</v>
      </c>
      <c r="GX9" s="13" t="s">
        <v>206</v>
      </c>
      <c r="GY9" s="13" t="s">
        <v>207</v>
      </c>
      <c r="GZ9" s="13" t="s">
        <v>208</v>
      </c>
      <c r="HA9" s="13" t="s">
        <v>209</v>
      </c>
      <c r="HB9" s="13" t="s">
        <v>210</v>
      </c>
      <c r="HC9" s="13" t="s">
        <v>211</v>
      </c>
      <c r="HD9" s="13" t="s">
        <v>212</v>
      </c>
      <c r="HE9" s="13" t="s">
        <v>213</v>
      </c>
      <c r="HF9" s="13" t="s">
        <v>214</v>
      </c>
      <c r="HG9" s="13" t="s">
        <v>215</v>
      </c>
      <c r="HH9" s="13" t="s">
        <v>216</v>
      </c>
      <c r="HI9" s="13" t="s">
        <v>217</v>
      </c>
      <c r="HJ9" s="13" t="s">
        <v>218</v>
      </c>
      <c r="HK9" s="13" t="s">
        <v>219</v>
      </c>
      <c r="HL9" s="13" t="s">
        <v>220</v>
      </c>
      <c r="HM9" s="13" t="s">
        <v>221</v>
      </c>
      <c r="HN9" s="13" t="s">
        <v>222</v>
      </c>
      <c r="HO9" s="13" t="s">
        <v>223</v>
      </c>
      <c r="HP9" s="13" t="s">
        <v>224</v>
      </c>
      <c r="HQ9" s="13" t="s">
        <v>225</v>
      </c>
      <c r="HR9" s="13" t="s">
        <v>226</v>
      </c>
      <c r="HS9" s="13" t="s">
        <v>227</v>
      </c>
      <c r="HT9" s="13" t="s">
        <v>228</v>
      </c>
      <c r="HU9" s="13" t="s">
        <v>229</v>
      </c>
      <c r="HV9" s="13" t="s">
        <v>230</v>
      </c>
      <c r="HW9" s="13" t="s">
        <v>231</v>
      </c>
      <c r="HX9" s="13" t="s">
        <v>232</v>
      </c>
      <c r="HY9" s="13" t="s">
        <v>233</v>
      </c>
      <c r="HZ9" s="13" t="s">
        <v>234</v>
      </c>
      <c r="IA9" s="13" t="s">
        <v>235</v>
      </c>
      <c r="IB9" s="13" t="s">
        <v>236</v>
      </c>
      <c r="IC9" s="13" t="s">
        <v>237</v>
      </c>
      <c r="ID9" s="13" t="s">
        <v>238</v>
      </c>
      <c r="IE9" s="13" t="s">
        <v>239</v>
      </c>
      <c r="IF9" s="13" t="s">
        <v>240</v>
      </c>
      <c r="IG9" s="13" t="s">
        <v>241</v>
      </c>
      <c r="IH9" s="13" t="s">
        <v>242</v>
      </c>
      <c r="II9" s="13" t="s">
        <v>243</v>
      </c>
      <c r="IJ9" s="13" t="s">
        <v>244</v>
      </c>
      <c r="IK9" s="13" t="s">
        <v>245</v>
      </c>
      <c r="IL9" s="13" t="s">
        <v>246</v>
      </c>
      <c r="IM9" s="13" t="s">
        <v>247</v>
      </c>
      <c r="IN9" s="13" t="s">
        <v>248</v>
      </c>
      <c r="IO9" s="13" t="s">
        <v>249</v>
      </c>
      <c r="IP9" s="13" t="s">
        <v>250</v>
      </c>
      <c r="IQ9" s="13" t="s">
        <v>251</v>
      </c>
      <c r="IR9" s="13" t="s">
        <v>252</v>
      </c>
      <c r="IS9" s="13" t="s">
        <v>253</v>
      </c>
      <c r="IT9" s="13" t="s">
        <v>254</v>
      </c>
      <c r="IU9" s="13" t="s">
        <v>255</v>
      </c>
      <c r="IV9" s="13" t="s">
        <v>256</v>
      </c>
      <c r="IW9" s="13" t="s">
        <v>257</v>
      </c>
      <c r="IX9" s="13" t="s">
        <v>258</v>
      </c>
      <c r="IY9" s="13" t="s">
        <v>259</v>
      </c>
      <c r="IZ9" s="13" t="s">
        <v>260</v>
      </c>
      <c r="JA9" s="13" t="s">
        <v>261</v>
      </c>
      <c r="JB9" s="13" t="s">
        <v>262</v>
      </c>
      <c r="JC9" s="13" t="s">
        <v>263</v>
      </c>
      <c r="JD9" s="13" t="s">
        <v>264</v>
      </c>
      <c r="JE9" s="13" t="s">
        <v>265</v>
      </c>
      <c r="JF9" s="13" t="s">
        <v>266</v>
      </c>
      <c r="JG9" s="13" t="s">
        <v>267</v>
      </c>
      <c r="JH9" s="13" t="s">
        <v>268</v>
      </c>
      <c r="JI9" s="13" t="s">
        <v>269</v>
      </c>
      <c r="JJ9" s="13" t="s">
        <v>270</v>
      </c>
      <c r="JK9" s="13" t="s">
        <v>271</v>
      </c>
      <c r="JL9" s="13" t="s">
        <v>272</v>
      </c>
      <c r="JM9" s="13" t="s">
        <v>273</v>
      </c>
      <c r="JN9" s="13" t="s">
        <v>274</v>
      </c>
      <c r="JO9" s="13" t="s">
        <v>275</v>
      </c>
      <c r="JP9" s="13" t="s">
        <v>276</v>
      </c>
      <c r="JQ9" s="13" t="s">
        <v>277</v>
      </c>
      <c r="JR9" s="13" t="s">
        <v>278</v>
      </c>
      <c r="JS9" s="13" t="s">
        <v>279</v>
      </c>
      <c r="JT9" s="13" t="s">
        <v>280</v>
      </c>
      <c r="JU9" s="13" t="s">
        <v>281</v>
      </c>
      <c r="JV9" s="13" t="s">
        <v>282</v>
      </c>
      <c r="JW9" s="13" t="s">
        <v>283</v>
      </c>
      <c r="JX9" s="13" t="s">
        <v>284</v>
      </c>
      <c r="JY9" s="13" t="s">
        <v>285</v>
      </c>
      <c r="JZ9" s="13" t="s">
        <v>286</v>
      </c>
      <c r="KA9" s="13" t="s">
        <v>287</v>
      </c>
      <c r="KB9" s="13" t="s">
        <v>288</v>
      </c>
      <c r="KC9" s="13" t="s">
        <v>289</v>
      </c>
      <c r="KD9" s="13" t="s">
        <v>290</v>
      </c>
      <c r="KE9" s="13" t="s">
        <v>291</v>
      </c>
      <c r="KF9" s="13" t="s">
        <v>292</v>
      </c>
      <c r="KG9" s="13" t="s">
        <v>293</v>
      </c>
      <c r="KH9" s="13" t="s">
        <v>294</v>
      </c>
      <c r="KI9" s="13" t="s">
        <v>295</v>
      </c>
      <c r="KJ9" s="13" t="s">
        <v>296</v>
      </c>
      <c r="KK9" s="13" t="s">
        <v>297</v>
      </c>
      <c r="KL9" s="13" t="s">
        <v>298</v>
      </c>
      <c r="KM9" s="13" t="s">
        <v>299</v>
      </c>
      <c r="KN9" s="13" t="s">
        <v>300</v>
      </c>
      <c r="KO9" s="13" t="s">
        <v>301</v>
      </c>
      <c r="KP9" s="13" t="s">
        <v>302</v>
      </c>
      <c r="KQ9" s="13" t="s">
        <v>303</v>
      </c>
      <c r="KR9" s="13" t="s">
        <v>304</v>
      </c>
      <c r="KS9" s="13" t="s">
        <v>305</v>
      </c>
      <c r="KT9" s="13" t="s">
        <v>306</v>
      </c>
      <c r="KU9" s="13" t="s">
        <v>307</v>
      </c>
      <c r="KV9" s="13" t="s">
        <v>308</v>
      </c>
      <c r="KW9" s="13" t="s">
        <v>309</v>
      </c>
      <c r="KX9" s="13" t="s">
        <v>310</v>
      </c>
      <c r="KY9" s="13" t="s">
        <v>311</v>
      </c>
      <c r="KZ9" s="13" t="s">
        <v>312</v>
      </c>
      <c r="LA9" s="13" t="s">
        <v>313</v>
      </c>
      <c r="LB9" s="13" t="s">
        <v>314</v>
      </c>
      <c r="LC9" s="13" t="s">
        <v>315</v>
      </c>
      <c r="LD9" s="13" t="s">
        <v>316</v>
      </c>
      <c r="LE9" s="13" t="s">
        <v>317</v>
      </c>
      <c r="LF9" s="13" t="s">
        <v>318</v>
      </c>
      <c r="LG9" s="13" t="s">
        <v>319</v>
      </c>
      <c r="LH9" s="13" t="s">
        <v>320</v>
      </c>
      <c r="LI9" s="13" t="s">
        <v>321</v>
      </c>
      <c r="LJ9" s="13" t="s">
        <v>322</v>
      </c>
      <c r="LK9" s="13" t="s">
        <v>323</v>
      </c>
      <c r="LL9" s="13" t="s">
        <v>324</v>
      </c>
      <c r="LM9" s="13" t="s">
        <v>325</v>
      </c>
      <c r="LN9" s="13" t="s">
        <v>326</v>
      </c>
      <c r="LO9" s="13" t="s">
        <v>327</v>
      </c>
      <c r="LP9" s="13" t="s">
        <v>328</v>
      </c>
      <c r="LQ9" s="13" t="s">
        <v>329</v>
      </c>
      <c r="LR9" s="13" t="s">
        <v>330</v>
      </c>
      <c r="LS9" s="13" t="s">
        <v>331</v>
      </c>
      <c r="LT9" s="13" t="s">
        <v>332</v>
      </c>
      <c r="LU9" s="13" t="s">
        <v>333</v>
      </c>
      <c r="LV9" s="13" t="s">
        <v>334</v>
      </c>
      <c r="LW9" s="13" t="s">
        <v>335</v>
      </c>
      <c r="LX9" s="13" t="s">
        <v>336</v>
      </c>
      <c r="LY9" s="13" t="s">
        <v>337</v>
      </c>
      <c r="LZ9" s="13" t="s">
        <v>338</v>
      </c>
      <c r="MA9" s="13" t="s">
        <v>339</v>
      </c>
      <c r="MB9" s="13" t="s">
        <v>340</v>
      </c>
      <c r="MC9" s="13" t="s">
        <v>341</v>
      </c>
      <c r="MD9" s="13" t="s">
        <v>342</v>
      </c>
      <c r="ME9" s="13" t="s">
        <v>343</v>
      </c>
      <c r="MF9" s="13" t="s">
        <v>344</v>
      </c>
      <c r="MG9" s="13" t="s">
        <v>345</v>
      </c>
      <c r="MH9" s="13" t="s">
        <v>346</v>
      </c>
      <c r="MI9" s="13" t="s">
        <v>347</v>
      </c>
      <c r="MJ9" s="13" t="s">
        <v>348</v>
      </c>
      <c r="MK9" s="13" t="s">
        <v>349</v>
      </c>
      <c r="ML9" s="13" t="s">
        <v>350</v>
      </c>
      <c r="MM9" s="13" t="s">
        <v>351</v>
      </c>
      <c r="MN9" s="13" t="s">
        <v>352</v>
      </c>
      <c r="MO9" s="13" t="s">
        <v>353</v>
      </c>
      <c r="MP9" s="13" t="s">
        <v>354</v>
      </c>
      <c r="MQ9" s="13" t="s">
        <v>355</v>
      </c>
      <c r="MR9" s="13" t="s">
        <v>356</v>
      </c>
      <c r="MS9" s="13" t="s">
        <v>357</v>
      </c>
      <c r="MT9" s="13" t="s">
        <v>358</v>
      </c>
      <c r="MU9" s="13" t="s">
        <v>359</v>
      </c>
      <c r="MV9" s="13" t="s">
        <v>360</v>
      </c>
      <c r="MW9" s="13" t="s">
        <v>361</v>
      </c>
      <c r="MX9" s="13" t="s">
        <v>362</v>
      </c>
      <c r="MY9" s="13" t="s">
        <v>363</v>
      </c>
      <c r="MZ9" s="13" t="s">
        <v>364</v>
      </c>
      <c r="NA9" s="13" t="s">
        <v>365</v>
      </c>
      <c r="NB9" s="13" t="s">
        <v>366</v>
      </c>
      <c r="NC9" s="13" t="s">
        <v>367</v>
      </c>
      <c r="ND9" s="13" t="s">
        <v>368</v>
      </c>
      <c r="NE9" s="13" t="s">
        <v>369</v>
      </c>
      <c r="NF9" s="13" t="s">
        <v>370</v>
      </c>
      <c r="NG9" s="13" t="s">
        <v>371</v>
      </c>
      <c r="NH9" s="13" t="s">
        <v>372</v>
      </c>
      <c r="NI9" s="13" t="s">
        <v>373</v>
      </c>
      <c r="NJ9" s="13" t="s">
        <v>374</v>
      </c>
      <c r="NK9" s="13" t="s">
        <v>375</v>
      </c>
      <c r="NL9" s="13" t="s">
        <v>376</v>
      </c>
      <c r="NM9" s="13" t="s">
        <v>377</v>
      </c>
      <c r="NN9" s="13" t="s">
        <v>378</v>
      </c>
      <c r="NO9" s="13" t="s">
        <v>379</v>
      </c>
      <c r="NP9" s="13" t="s">
        <v>380</v>
      </c>
      <c r="NQ9" s="13" t="s">
        <v>381</v>
      </c>
      <c r="NR9" s="13" t="s">
        <v>382</v>
      </c>
      <c r="NS9" s="13" t="s">
        <v>383</v>
      </c>
      <c r="NT9" s="13" t="s">
        <v>384</v>
      </c>
      <c r="NU9" s="13" t="s">
        <v>385</v>
      </c>
      <c r="NV9" s="13" t="s">
        <v>386</v>
      </c>
      <c r="NW9" s="13" t="s">
        <v>387</v>
      </c>
      <c r="NX9" s="13" t="s">
        <v>388</v>
      </c>
      <c r="NY9" s="13" t="s">
        <v>389</v>
      </c>
      <c r="NZ9" s="13" t="s">
        <v>390</v>
      </c>
      <c r="OA9" s="13" t="s">
        <v>391</v>
      </c>
      <c r="OB9" s="13" t="s">
        <v>392</v>
      </c>
      <c r="OC9" s="13" t="s">
        <v>393</v>
      </c>
      <c r="OD9" s="13" t="s">
        <v>394</v>
      </c>
      <c r="OE9" s="13" t="s">
        <v>395</v>
      </c>
      <c r="OF9" s="13" t="s">
        <v>396</v>
      </c>
      <c r="OG9" s="13" t="s">
        <v>397</v>
      </c>
      <c r="OH9" s="13" t="s">
        <v>398</v>
      </c>
      <c r="OI9" s="13" t="s">
        <v>399</v>
      </c>
      <c r="OJ9" s="13" t="s">
        <v>400</v>
      </c>
      <c r="OK9" s="13" t="s">
        <v>401</v>
      </c>
      <c r="OL9" s="13" t="s">
        <v>402</v>
      </c>
      <c r="OM9" s="13" t="s">
        <v>403</v>
      </c>
      <c r="ON9" s="13" t="s">
        <v>404</v>
      </c>
      <c r="OO9" s="13" t="s">
        <v>405</v>
      </c>
      <c r="OP9" s="13" t="s">
        <v>406</v>
      </c>
      <c r="OQ9" s="13" t="s">
        <v>407</v>
      </c>
      <c r="OR9" s="13" t="s">
        <v>408</v>
      </c>
      <c r="OS9" s="13" t="s">
        <v>409</v>
      </c>
      <c r="OT9" s="13" t="s">
        <v>410</v>
      </c>
      <c r="OU9" s="13" t="s">
        <v>411</v>
      </c>
      <c r="OV9" s="13" t="s">
        <v>412</v>
      </c>
      <c r="OW9" s="13" t="s">
        <v>413</v>
      </c>
      <c r="OX9" s="13" t="s">
        <v>414</v>
      </c>
      <c r="OY9" s="13" t="s">
        <v>415</v>
      </c>
      <c r="OZ9" s="13" t="s">
        <v>416</v>
      </c>
      <c r="PA9" s="13" t="s">
        <v>417</v>
      </c>
      <c r="PB9" s="13" t="s">
        <v>418</v>
      </c>
      <c r="PC9" s="13" t="s">
        <v>419</v>
      </c>
      <c r="PD9" s="13" t="s">
        <v>420</v>
      </c>
      <c r="PE9" s="13" t="s">
        <v>421</v>
      </c>
      <c r="PF9" s="13" t="s">
        <v>422</v>
      </c>
      <c r="PG9" s="13" t="s">
        <v>423</v>
      </c>
      <c r="PH9" s="13" t="s">
        <v>424</v>
      </c>
      <c r="PI9" s="13" t="s">
        <v>425</v>
      </c>
      <c r="PJ9" s="13" t="s">
        <v>426</v>
      </c>
      <c r="PK9" s="13" t="s">
        <v>427</v>
      </c>
      <c r="PL9" s="13" t="s">
        <v>428</v>
      </c>
      <c r="PM9" s="13" t="s">
        <v>429</v>
      </c>
      <c r="PN9" s="13" t="s">
        <v>430</v>
      </c>
      <c r="PO9" s="13" t="s">
        <v>431</v>
      </c>
      <c r="PP9" s="13" t="s">
        <v>432</v>
      </c>
      <c r="PQ9" s="13" t="s">
        <v>433</v>
      </c>
      <c r="PR9" s="13" t="s">
        <v>434</v>
      </c>
      <c r="PS9" s="13" t="s">
        <v>435</v>
      </c>
      <c r="PT9" s="13" t="s">
        <v>436</v>
      </c>
      <c r="PU9" s="13" t="s">
        <v>437</v>
      </c>
      <c r="PV9" s="13" t="s">
        <v>438</v>
      </c>
      <c r="PW9" s="13" t="s">
        <v>439</v>
      </c>
      <c r="PX9" s="13" t="s">
        <v>440</v>
      </c>
      <c r="PY9" s="13" t="s">
        <v>441</v>
      </c>
      <c r="PZ9" s="13" t="s">
        <v>442</v>
      </c>
      <c r="QA9" s="13" t="s">
        <v>443</v>
      </c>
      <c r="QB9" s="13" t="s">
        <v>444</v>
      </c>
      <c r="QC9" s="13" t="s">
        <v>445</v>
      </c>
      <c r="QD9" s="13" t="s">
        <v>446</v>
      </c>
      <c r="QE9" s="13" t="s">
        <v>447</v>
      </c>
      <c r="QF9" s="13" t="s">
        <v>448</v>
      </c>
      <c r="QG9" s="13" t="s">
        <v>449</v>
      </c>
      <c r="QH9" s="13" t="s">
        <v>450</v>
      </c>
      <c r="QI9" s="13" t="s">
        <v>451</v>
      </c>
      <c r="QJ9" s="13" t="s">
        <v>452</v>
      </c>
      <c r="QK9" s="13" t="s">
        <v>453</v>
      </c>
      <c r="QL9" s="13" t="s">
        <v>454</v>
      </c>
      <c r="QM9" s="13" t="s">
        <v>455</v>
      </c>
      <c r="QN9" s="13" t="s">
        <v>456</v>
      </c>
      <c r="QO9" s="13" t="s">
        <v>457</v>
      </c>
      <c r="QP9" s="13" t="s">
        <v>458</v>
      </c>
      <c r="QQ9" s="13" t="s">
        <v>459</v>
      </c>
      <c r="QR9" s="13" t="s">
        <v>460</v>
      </c>
      <c r="QS9" s="13" t="s">
        <v>461</v>
      </c>
    </row>
    <row r="10" spans="1:461">
      <c r="A10" s="14">
        <v>1</v>
      </c>
      <c r="B10" s="15" t="str">
        <f>IF(ISBLANK(D[[#This Row],[CLAS_GRONDSOORT]]),"ONWAAR","WAAR")</f>
        <v>WAAR</v>
      </c>
      <c r="C10" s="15" t="str">
        <f>IF(ISBLANK(D[[#This Row],[CLAS_VN_HOOFDNAAM]]),"ONWAAR","WAAR")</f>
        <v>ONWAAR</v>
      </c>
      <c r="D10" s="15" t="str">
        <f>IF(ISBLANK(D[[#This Row],[KV_GRONDSOORT]]),"ONWAAR","WAAR")</f>
        <v>ONWAAR</v>
      </c>
      <c r="E10" s="15" t="str">
        <f>IF(ISBLANK(D[[#This Row],[CPT_QNET]]),"ONWAAR","WAAR")</f>
        <v>ONWAAR</v>
      </c>
      <c r="F10" s="15" t="str">
        <f>IF(ISBLANK(D[[#This Row],[CRS_GRONDSOORT]]),"ONWAAR","WAAR")</f>
        <v>ONWAAR</v>
      </c>
      <c r="G10" s="15" t="str">
        <f>IF(ISBLANK(D[[#This Row],[SD_GRONDSOORT]]),"ONWAAR","WAAR")</f>
        <v>ONWAAR</v>
      </c>
      <c r="H10" s="15" t="str">
        <f>IF(ISBLANK(D[[#This Row],[DSS_GRONDSOORT]]),"ONWAAR","WAAR")</f>
        <v>ONWAAR</v>
      </c>
      <c r="I10" s="15" t="str">
        <f>IF(ISBLANK(D[[#This Row],[TXT_SS_GRONDSOORT]]),"ONWAAR","WAAR")</f>
        <v>ONWAAR</v>
      </c>
      <c r="J10" s="13" t="s">
        <v>1417</v>
      </c>
      <c r="L10" s="13" t="s">
        <v>1418</v>
      </c>
      <c r="M10" s="13" t="s">
        <v>1419</v>
      </c>
      <c r="P10" s="13" t="s">
        <v>1420</v>
      </c>
      <c r="V10" s="41">
        <v>133397.91</v>
      </c>
      <c r="W10" s="41">
        <v>414057.58</v>
      </c>
      <c r="X10" s="41">
        <v>6.04</v>
      </c>
      <c r="Y10" s="13" t="s">
        <v>1421</v>
      </c>
      <c r="Z10" s="13" t="s">
        <v>1422</v>
      </c>
      <c r="AA10" s="39">
        <v>45167</v>
      </c>
      <c r="AB10" s="13" t="s">
        <v>1423</v>
      </c>
      <c r="AC10" s="13" t="s">
        <v>1424</v>
      </c>
      <c r="AD10" s="13" t="s">
        <v>1425</v>
      </c>
      <c r="AE10" s="13" t="s">
        <v>1426</v>
      </c>
      <c r="AF10" s="13" t="s">
        <v>1427</v>
      </c>
      <c r="AG10" s="41">
        <v>-0.26</v>
      </c>
      <c r="AI10" s="42">
        <v>1</v>
      </c>
      <c r="AJ10" s="13" t="s">
        <v>1428</v>
      </c>
      <c r="AK10" s="13" t="s">
        <v>1429</v>
      </c>
      <c r="AL10" s="41">
        <v>5.54</v>
      </c>
      <c r="AM10" s="41">
        <v>5.14</v>
      </c>
      <c r="AN10" s="41">
        <v>0.5</v>
      </c>
      <c r="AO10" s="41">
        <v>0.9</v>
      </c>
      <c r="AQ10" s="13" t="s">
        <v>1430</v>
      </c>
      <c r="AR10" s="13" t="s">
        <v>1431</v>
      </c>
      <c r="AS10" s="13" t="s">
        <v>1417</v>
      </c>
      <c r="AT10" s="13" t="s">
        <v>1425</v>
      </c>
      <c r="AU10" s="13" t="s">
        <v>1432</v>
      </c>
      <c r="AV10" s="39">
        <v>45279</v>
      </c>
      <c r="AW10" s="13" t="s">
        <v>1433</v>
      </c>
      <c r="AY10" s="41">
        <v>5.34</v>
      </c>
      <c r="AZ10" s="41"/>
      <c r="BA10" s="41"/>
      <c r="BB10" s="41"/>
      <c r="BP10" s="15"/>
      <c r="BQ10" s="15"/>
      <c r="BR10" s="15"/>
      <c r="BS10" s="15"/>
    </row>
    <row r="11" spans="1:461">
      <c r="A11" s="14">
        <v>2</v>
      </c>
      <c r="B11" s="15" t="str">
        <f>IF(ISBLANK(D[[#This Row],[CLAS_GRONDSOORT]]),"ONWAAR","WAAR")</f>
        <v>WAAR</v>
      </c>
      <c r="C11" s="15" t="str">
        <f>IF(ISBLANK(D[[#This Row],[CLAS_VN_HOOFDNAAM]]),"ONWAAR","WAAR")</f>
        <v>ONWAAR</v>
      </c>
      <c r="D11" s="15" t="str">
        <f>IF(ISBLANK(D[[#This Row],[KV_GRONDSOORT]]),"ONWAAR","WAAR")</f>
        <v>ONWAAR</v>
      </c>
      <c r="E11" s="15" t="str">
        <f>IF(ISBLANK(D[[#This Row],[CPT_QNET]]),"ONWAAR","WAAR")</f>
        <v>ONWAAR</v>
      </c>
      <c r="F11" s="15" t="str">
        <f>IF(ISBLANK(D[[#This Row],[CRS_GRONDSOORT]]),"ONWAAR","WAAR")</f>
        <v>ONWAAR</v>
      </c>
      <c r="G11" s="15" t="str">
        <f>IF(ISBLANK(D[[#This Row],[SD_GRONDSOORT]]),"ONWAAR","WAAR")</f>
        <v>ONWAAR</v>
      </c>
      <c r="H11" s="15" t="str">
        <f>IF(ISBLANK(D[[#This Row],[DSS_GRONDSOORT]]),"ONWAAR","WAAR")</f>
        <v>ONWAAR</v>
      </c>
      <c r="I11" s="15" t="str">
        <f>IF(ISBLANK(D[[#This Row],[TXT_SS_GRONDSOORT]]),"ONWAAR","WAAR")</f>
        <v>ONWAAR</v>
      </c>
      <c r="J11" s="13" t="s">
        <v>1434</v>
      </c>
      <c r="L11" s="13" t="s">
        <v>1418</v>
      </c>
      <c r="M11" s="13" t="s">
        <v>1419</v>
      </c>
      <c r="P11" s="13" t="s">
        <v>1420</v>
      </c>
      <c r="V11" s="41">
        <v>133397.91</v>
      </c>
      <c r="W11" s="41">
        <v>414057.58</v>
      </c>
      <c r="X11" s="41">
        <v>6.04</v>
      </c>
      <c r="Y11" s="13" t="s">
        <v>1421</v>
      </c>
      <c r="Z11" s="13" t="s">
        <v>1422</v>
      </c>
      <c r="AA11" s="39">
        <v>45167</v>
      </c>
      <c r="AB11" s="13" t="s">
        <v>1423</v>
      </c>
      <c r="AC11" s="13" t="s">
        <v>1424</v>
      </c>
      <c r="AD11" s="13" t="s">
        <v>1425</v>
      </c>
      <c r="AE11" s="13" t="s">
        <v>1426</v>
      </c>
      <c r="AF11" s="13" t="s">
        <v>1427</v>
      </c>
      <c r="AG11" s="41">
        <v>-0.26</v>
      </c>
      <c r="AI11" s="42">
        <v>2</v>
      </c>
      <c r="AJ11" s="13" t="s">
        <v>1428</v>
      </c>
      <c r="AK11" s="13" t="s">
        <v>1429</v>
      </c>
      <c r="AL11" s="41">
        <v>4.54</v>
      </c>
      <c r="AM11" s="41">
        <v>4.1399999999999997</v>
      </c>
      <c r="AN11" s="41">
        <v>1.5</v>
      </c>
      <c r="AO11" s="41">
        <v>1.9</v>
      </c>
      <c r="AQ11" s="13" t="s">
        <v>1430</v>
      </c>
      <c r="AR11" s="13" t="s">
        <v>1431</v>
      </c>
      <c r="AS11" s="13" t="s">
        <v>1434</v>
      </c>
      <c r="AT11" s="13" t="s">
        <v>1425</v>
      </c>
      <c r="AU11" s="13" t="s">
        <v>1432</v>
      </c>
      <c r="AV11" s="39">
        <v>45279</v>
      </c>
      <c r="AW11" s="13" t="s">
        <v>1435</v>
      </c>
      <c r="AY11" s="41">
        <v>4.28</v>
      </c>
      <c r="AZ11" s="41">
        <v>18.2</v>
      </c>
      <c r="BA11" s="41">
        <v>14.7</v>
      </c>
      <c r="BB11" s="41">
        <v>24.2</v>
      </c>
      <c r="BP11" s="15"/>
      <c r="BQ11" s="15"/>
      <c r="BR11" s="15"/>
      <c r="BS11" s="15"/>
    </row>
    <row r="12" spans="1:461">
      <c r="A12" s="14">
        <v>3</v>
      </c>
      <c r="B12" s="15" t="str">
        <f>IF(ISBLANK(D[[#This Row],[CLAS_GRONDSOORT]]),"ONWAAR","WAAR")</f>
        <v>WAAR</v>
      </c>
      <c r="C12" s="15" t="str">
        <f>IF(ISBLANK(D[[#This Row],[CLAS_VN_HOOFDNAAM]]),"ONWAAR","WAAR")</f>
        <v>ONWAAR</v>
      </c>
      <c r="D12" s="15" t="str">
        <f>IF(ISBLANK(D[[#This Row],[KV_GRONDSOORT]]),"ONWAAR","WAAR")</f>
        <v>ONWAAR</v>
      </c>
      <c r="E12" s="15" t="str">
        <f>IF(ISBLANK(D[[#This Row],[CPT_QNET]]),"ONWAAR","WAAR")</f>
        <v>ONWAAR</v>
      </c>
      <c r="F12" s="15" t="str">
        <f>IF(ISBLANK(D[[#This Row],[CRS_GRONDSOORT]]),"ONWAAR","WAAR")</f>
        <v>ONWAAR</v>
      </c>
      <c r="G12" s="15" t="str">
        <f>IF(ISBLANK(D[[#This Row],[SD_GRONDSOORT]]),"ONWAAR","WAAR")</f>
        <v>ONWAAR</v>
      </c>
      <c r="H12" s="15" t="str">
        <f>IF(ISBLANK(D[[#This Row],[DSS_GRONDSOORT]]),"ONWAAR","WAAR")</f>
        <v>ONWAAR</v>
      </c>
      <c r="I12" s="15" t="str">
        <f>IF(ISBLANK(D[[#This Row],[TXT_SS_GRONDSOORT]]),"ONWAAR","WAAR")</f>
        <v>ONWAAR</v>
      </c>
      <c r="J12" s="13" t="s">
        <v>1436</v>
      </c>
      <c r="L12" s="13" t="s">
        <v>1418</v>
      </c>
      <c r="M12" s="13" t="s">
        <v>1419</v>
      </c>
      <c r="P12" s="13" t="s">
        <v>1420</v>
      </c>
      <c r="V12" s="41">
        <v>133397.91</v>
      </c>
      <c r="W12" s="41">
        <v>414057.58</v>
      </c>
      <c r="X12" s="41">
        <v>6.04</v>
      </c>
      <c r="Y12" s="13" t="s">
        <v>1421</v>
      </c>
      <c r="Z12" s="13" t="s">
        <v>1422</v>
      </c>
      <c r="AA12" s="39">
        <v>45167</v>
      </c>
      <c r="AB12" s="13" t="s">
        <v>1423</v>
      </c>
      <c r="AC12" s="13" t="s">
        <v>1424</v>
      </c>
      <c r="AD12" s="13" t="s">
        <v>1425</v>
      </c>
      <c r="AE12" s="13" t="s">
        <v>1426</v>
      </c>
      <c r="AF12" s="13" t="s">
        <v>1427</v>
      </c>
      <c r="AG12" s="41">
        <v>-0.26</v>
      </c>
      <c r="AI12" s="42">
        <v>3</v>
      </c>
      <c r="AJ12" s="13" t="s">
        <v>1428</v>
      </c>
      <c r="AK12" s="13" t="s">
        <v>1429</v>
      </c>
      <c r="AL12" s="41">
        <v>3.54</v>
      </c>
      <c r="AM12" s="41">
        <v>3.14</v>
      </c>
      <c r="AN12" s="41">
        <v>2.5</v>
      </c>
      <c r="AO12" s="41">
        <v>2.9</v>
      </c>
      <c r="AQ12" s="13" t="s">
        <v>1430</v>
      </c>
      <c r="AR12" s="13" t="s">
        <v>1431</v>
      </c>
      <c r="AS12" s="13" t="s">
        <v>1436</v>
      </c>
      <c r="AT12" s="13" t="s">
        <v>1425</v>
      </c>
      <c r="AU12" s="13" t="s">
        <v>1432</v>
      </c>
      <c r="AV12" s="39">
        <v>45279</v>
      </c>
      <c r="AW12" s="13" t="s">
        <v>1437</v>
      </c>
      <c r="AY12" s="41">
        <v>3.35</v>
      </c>
      <c r="AZ12" s="41">
        <v>19.100000000000001</v>
      </c>
      <c r="BA12" s="41">
        <v>15.2</v>
      </c>
      <c r="BB12" s="41">
        <v>25.5</v>
      </c>
      <c r="BP12" s="15"/>
      <c r="BQ12" s="15"/>
      <c r="BR12" s="15"/>
      <c r="BS12" s="15"/>
    </row>
    <row r="13" spans="1:461">
      <c r="A13" s="14">
        <v>4</v>
      </c>
      <c r="B13" s="15" t="str">
        <f>IF(ISBLANK(D[[#This Row],[CLAS_GRONDSOORT]]),"ONWAAR","WAAR")</f>
        <v>WAAR</v>
      </c>
      <c r="C13" s="15" t="str">
        <f>IF(ISBLANK(D[[#This Row],[CLAS_VN_HOOFDNAAM]]),"ONWAAR","WAAR")</f>
        <v>ONWAAR</v>
      </c>
      <c r="D13" s="15" t="str">
        <f>IF(ISBLANK(D[[#This Row],[KV_GRONDSOORT]]),"ONWAAR","WAAR")</f>
        <v>ONWAAR</v>
      </c>
      <c r="E13" s="15" t="str">
        <f>IF(ISBLANK(D[[#This Row],[CPT_QNET]]),"ONWAAR","WAAR")</f>
        <v>ONWAAR</v>
      </c>
      <c r="F13" s="15" t="str">
        <f>IF(ISBLANK(D[[#This Row],[CRS_GRONDSOORT]]),"ONWAAR","WAAR")</f>
        <v>ONWAAR</v>
      </c>
      <c r="G13" s="15" t="str">
        <f>IF(ISBLANK(D[[#This Row],[SD_GRONDSOORT]]),"ONWAAR","WAAR")</f>
        <v>ONWAAR</v>
      </c>
      <c r="H13" s="15" t="str">
        <f>IF(ISBLANK(D[[#This Row],[DSS_GRONDSOORT]]),"ONWAAR","WAAR")</f>
        <v>ONWAAR</v>
      </c>
      <c r="I13" s="15" t="str">
        <f>IF(ISBLANK(D[[#This Row],[TXT_SS_GRONDSOORT]]),"ONWAAR","WAAR")</f>
        <v>ONWAAR</v>
      </c>
      <c r="J13" s="13" t="s">
        <v>1438</v>
      </c>
      <c r="L13" s="13" t="s">
        <v>1418</v>
      </c>
      <c r="M13" s="13" t="s">
        <v>1419</v>
      </c>
      <c r="P13" s="13" t="s">
        <v>1420</v>
      </c>
      <c r="V13" s="41">
        <v>133397.91</v>
      </c>
      <c r="W13" s="41">
        <v>414057.58</v>
      </c>
      <c r="X13" s="41">
        <v>6.04</v>
      </c>
      <c r="Y13" s="13" t="s">
        <v>1421</v>
      </c>
      <c r="Z13" s="13" t="s">
        <v>1422</v>
      </c>
      <c r="AA13" s="39">
        <v>45167</v>
      </c>
      <c r="AB13" s="13" t="s">
        <v>1423</v>
      </c>
      <c r="AC13" s="13" t="s">
        <v>1424</v>
      </c>
      <c r="AD13" s="13" t="s">
        <v>1425</v>
      </c>
      <c r="AE13" s="13" t="s">
        <v>1426</v>
      </c>
      <c r="AF13" s="13" t="s">
        <v>1427</v>
      </c>
      <c r="AG13" s="41">
        <v>-0.26</v>
      </c>
      <c r="AI13" s="42" t="s">
        <v>1439</v>
      </c>
      <c r="AJ13" s="13" t="s">
        <v>1428</v>
      </c>
      <c r="AK13" s="13" t="s">
        <v>1429</v>
      </c>
      <c r="AL13" s="41">
        <v>2.54</v>
      </c>
      <c r="AM13" s="41">
        <v>2.29</v>
      </c>
      <c r="AN13" s="41">
        <v>3.5</v>
      </c>
      <c r="AO13" s="41">
        <v>3.75</v>
      </c>
      <c r="AQ13" s="13" t="s">
        <v>1430</v>
      </c>
      <c r="AR13" s="13" t="s">
        <v>1431</v>
      </c>
      <c r="AS13" s="13" t="s">
        <v>1438</v>
      </c>
      <c r="AT13" s="13" t="s">
        <v>1425</v>
      </c>
      <c r="AU13" s="13" t="s">
        <v>1432</v>
      </c>
      <c r="AV13" s="39">
        <v>45279</v>
      </c>
      <c r="AW13" s="13" t="s">
        <v>1440</v>
      </c>
      <c r="AY13" s="41">
        <v>2.41</v>
      </c>
      <c r="AZ13" s="41">
        <v>18</v>
      </c>
      <c r="BA13" s="41">
        <v>14.6</v>
      </c>
      <c r="BB13" s="41">
        <v>23.4</v>
      </c>
      <c r="BP13" s="15"/>
      <c r="BQ13" s="15"/>
      <c r="BR13" s="15"/>
      <c r="BS13" s="15"/>
    </row>
    <row r="14" spans="1:461">
      <c r="A14" s="14">
        <v>5</v>
      </c>
      <c r="B14" s="15" t="str">
        <f>IF(ISBLANK(D[[#This Row],[CLAS_GRONDSOORT]]),"ONWAAR","WAAR")</f>
        <v>WAAR</v>
      </c>
      <c r="C14" s="15" t="str">
        <f>IF(ISBLANK(D[[#This Row],[CLAS_VN_HOOFDNAAM]]),"ONWAAR","WAAR")</f>
        <v>ONWAAR</v>
      </c>
      <c r="D14" s="15" t="str">
        <f>IF(ISBLANK(D[[#This Row],[KV_GRONDSOORT]]),"ONWAAR","WAAR")</f>
        <v>ONWAAR</v>
      </c>
      <c r="E14" s="15" t="str">
        <f>IF(ISBLANK(D[[#This Row],[CPT_QNET]]),"ONWAAR","WAAR")</f>
        <v>ONWAAR</v>
      </c>
      <c r="F14" s="15" t="str">
        <f>IF(ISBLANK(D[[#This Row],[CRS_GRONDSOORT]]),"ONWAAR","WAAR")</f>
        <v>ONWAAR</v>
      </c>
      <c r="G14" s="15" t="str">
        <f>IF(ISBLANK(D[[#This Row],[SD_GRONDSOORT]]),"ONWAAR","WAAR")</f>
        <v>ONWAAR</v>
      </c>
      <c r="H14" s="15" t="str">
        <f>IF(ISBLANK(D[[#This Row],[DSS_GRONDSOORT]]),"ONWAAR","WAAR")</f>
        <v>ONWAAR</v>
      </c>
      <c r="I14" s="15" t="str">
        <f>IF(ISBLANK(D[[#This Row],[TXT_SS_GRONDSOORT]]),"ONWAAR","WAAR")</f>
        <v>ONWAAR</v>
      </c>
      <c r="J14" s="13" t="s">
        <v>1441</v>
      </c>
      <c r="L14" s="13" t="s">
        <v>1418</v>
      </c>
      <c r="M14" s="13" t="s">
        <v>1419</v>
      </c>
      <c r="P14" s="13" t="s">
        <v>1420</v>
      </c>
      <c r="V14" s="41">
        <v>133397.91</v>
      </c>
      <c r="W14" s="41">
        <v>414057.58</v>
      </c>
      <c r="X14" s="41">
        <v>6.04</v>
      </c>
      <c r="Y14" s="13" t="s">
        <v>1421</v>
      </c>
      <c r="Z14" s="13" t="s">
        <v>1422</v>
      </c>
      <c r="AA14" s="39">
        <v>45167</v>
      </c>
      <c r="AB14" s="13" t="s">
        <v>1423</v>
      </c>
      <c r="AC14" s="13" t="s">
        <v>1424</v>
      </c>
      <c r="AD14" s="13" t="s">
        <v>1425</v>
      </c>
      <c r="AE14" s="13" t="s">
        <v>1426</v>
      </c>
      <c r="AF14" s="13" t="s">
        <v>1427</v>
      </c>
      <c r="AG14" s="41">
        <v>-0.26</v>
      </c>
      <c r="AI14" s="42" t="s">
        <v>1442</v>
      </c>
      <c r="AJ14" s="13" t="s">
        <v>1428</v>
      </c>
      <c r="AK14" s="13" t="s">
        <v>1429</v>
      </c>
      <c r="AL14" s="41">
        <v>2.29</v>
      </c>
      <c r="AM14" s="41">
        <v>2.14</v>
      </c>
      <c r="AN14" s="41">
        <v>3.75</v>
      </c>
      <c r="AO14" s="41">
        <v>3.9</v>
      </c>
      <c r="AQ14" s="13" t="s">
        <v>1430</v>
      </c>
      <c r="AR14" s="13" t="s">
        <v>1431</v>
      </c>
      <c r="AS14" s="13" t="s">
        <v>1441</v>
      </c>
      <c r="AT14" s="13" t="s">
        <v>1425</v>
      </c>
      <c r="AU14" s="13" t="s">
        <v>1432</v>
      </c>
      <c r="AV14" s="39">
        <v>45279</v>
      </c>
      <c r="AW14" s="13" t="s">
        <v>1443</v>
      </c>
      <c r="AY14" s="41">
        <v>2.2200000000000002</v>
      </c>
      <c r="AZ14" s="41"/>
      <c r="BA14" s="41"/>
      <c r="BB14" s="41"/>
      <c r="BP14" s="15"/>
      <c r="BQ14" s="15"/>
      <c r="BR14" s="15"/>
      <c r="BS14" s="15"/>
    </row>
    <row r="15" spans="1:461">
      <c r="A15" s="14">
        <v>6</v>
      </c>
      <c r="B15" s="15" t="str">
        <f>IF(ISBLANK(D[[#This Row],[CLAS_GRONDSOORT]]),"ONWAAR","WAAR")</f>
        <v>WAAR</v>
      </c>
      <c r="C15" s="15" t="str">
        <f>IF(ISBLANK(D[[#This Row],[CLAS_VN_HOOFDNAAM]]),"ONWAAR","WAAR")</f>
        <v>ONWAAR</v>
      </c>
      <c r="D15" s="15" t="str">
        <f>IF(ISBLANK(D[[#This Row],[KV_GRONDSOORT]]),"ONWAAR","WAAR")</f>
        <v>ONWAAR</v>
      </c>
      <c r="E15" s="15" t="str">
        <f>IF(ISBLANK(D[[#This Row],[CPT_QNET]]),"ONWAAR","WAAR")</f>
        <v>ONWAAR</v>
      </c>
      <c r="F15" s="15" t="str">
        <f>IF(ISBLANK(D[[#This Row],[CRS_GRONDSOORT]]),"ONWAAR","WAAR")</f>
        <v>ONWAAR</v>
      </c>
      <c r="G15" s="15" t="str">
        <f>IF(ISBLANK(D[[#This Row],[SD_GRONDSOORT]]),"ONWAAR","WAAR")</f>
        <v>ONWAAR</v>
      </c>
      <c r="H15" s="15" t="str">
        <f>IF(ISBLANK(D[[#This Row],[DSS_GRONDSOORT]]),"ONWAAR","WAAR")</f>
        <v>ONWAAR</v>
      </c>
      <c r="I15" s="15" t="str">
        <f>IF(ISBLANK(D[[#This Row],[TXT_SS_GRONDSOORT]]),"ONWAAR","WAAR")</f>
        <v>ONWAAR</v>
      </c>
      <c r="J15" s="13" t="s">
        <v>1444</v>
      </c>
      <c r="L15" s="13" t="s">
        <v>1418</v>
      </c>
      <c r="M15" s="13" t="s">
        <v>1419</v>
      </c>
      <c r="P15" s="13" t="s">
        <v>1420</v>
      </c>
      <c r="V15" s="41">
        <v>133397.91</v>
      </c>
      <c r="W15" s="41">
        <v>414057.58</v>
      </c>
      <c r="X15" s="41">
        <v>6.04</v>
      </c>
      <c r="Y15" s="13" t="s">
        <v>1421</v>
      </c>
      <c r="Z15" s="13" t="s">
        <v>1422</v>
      </c>
      <c r="AA15" s="39">
        <v>45167</v>
      </c>
      <c r="AB15" s="13" t="s">
        <v>1423</v>
      </c>
      <c r="AC15" s="13" t="s">
        <v>1424</v>
      </c>
      <c r="AD15" s="13" t="s">
        <v>1425</v>
      </c>
      <c r="AE15" s="13" t="s">
        <v>1426</v>
      </c>
      <c r="AF15" s="13" t="s">
        <v>1427</v>
      </c>
      <c r="AG15" s="41">
        <v>-0.26</v>
      </c>
      <c r="AI15" s="42">
        <v>7</v>
      </c>
      <c r="AJ15" s="13" t="s">
        <v>1428</v>
      </c>
      <c r="AK15" s="13" t="s">
        <v>1429</v>
      </c>
      <c r="AL15" s="41">
        <v>0.54</v>
      </c>
      <c r="AM15" s="41">
        <v>0.14000000000000001</v>
      </c>
      <c r="AN15" s="41">
        <v>5.5</v>
      </c>
      <c r="AO15" s="41">
        <v>5.9</v>
      </c>
      <c r="AQ15" s="13" t="s">
        <v>1430</v>
      </c>
      <c r="AR15" s="13" t="s">
        <v>1431</v>
      </c>
      <c r="AS15" s="13" t="s">
        <v>1444</v>
      </c>
      <c r="AT15" s="13" t="s">
        <v>1425</v>
      </c>
      <c r="AU15" s="13" t="s">
        <v>1432</v>
      </c>
      <c r="AV15" s="39">
        <v>45279</v>
      </c>
      <c r="AW15" s="13" t="s">
        <v>1445</v>
      </c>
      <c r="AY15" s="41">
        <v>0.34</v>
      </c>
      <c r="AZ15" s="41"/>
      <c r="BA15" s="41"/>
      <c r="BB15" s="41"/>
      <c r="BP15" s="15"/>
      <c r="BQ15" s="15"/>
      <c r="BR15" s="15"/>
      <c r="BS15" s="15"/>
    </row>
    <row r="16" spans="1:461">
      <c r="A16" s="14">
        <v>7</v>
      </c>
      <c r="B16" s="15" t="str">
        <f>IF(ISBLANK(D[[#This Row],[CLAS_GRONDSOORT]]),"ONWAAR","WAAR")</f>
        <v>WAAR</v>
      </c>
      <c r="C16" s="15" t="str">
        <f>IF(ISBLANK(D[[#This Row],[CLAS_VN_HOOFDNAAM]]),"ONWAAR","WAAR")</f>
        <v>ONWAAR</v>
      </c>
      <c r="D16" s="15" t="str">
        <f>IF(ISBLANK(D[[#This Row],[KV_GRONDSOORT]]),"ONWAAR","WAAR")</f>
        <v>ONWAAR</v>
      </c>
      <c r="E16" s="15" t="str">
        <f>IF(ISBLANK(D[[#This Row],[CPT_QNET]]),"ONWAAR","WAAR")</f>
        <v>ONWAAR</v>
      </c>
      <c r="F16" s="15" t="str">
        <f>IF(ISBLANK(D[[#This Row],[CRS_GRONDSOORT]]),"ONWAAR","WAAR")</f>
        <v>ONWAAR</v>
      </c>
      <c r="G16" s="15" t="str">
        <f>IF(ISBLANK(D[[#This Row],[SD_GRONDSOORT]]),"ONWAAR","WAAR")</f>
        <v>ONWAAR</v>
      </c>
      <c r="H16" s="15" t="str">
        <f>IF(ISBLANK(D[[#This Row],[DSS_GRONDSOORT]]),"ONWAAR","WAAR")</f>
        <v>ONWAAR</v>
      </c>
      <c r="I16" s="15" t="str">
        <f>IF(ISBLANK(D[[#This Row],[TXT_SS_GRONDSOORT]]),"ONWAAR","WAAR")</f>
        <v>ONWAAR</v>
      </c>
      <c r="J16" s="13" t="s">
        <v>1446</v>
      </c>
      <c r="L16" s="13" t="s">
        <v>1418</v>
      </c>
      <c r="M16" s="13" t="s">
        <v>1419</v>
      </c>
      <c r="P16" s="13" t="s">
        <v>1420</v>
      </c>
      <c r="V16" s="41">
        <v>133397.91</v>
      </c>
      <c r="W16" s="41">
        <v>414057.58</v>
      </c>
      <c r="X16" s="41">
        <v>6.04</v>
      </c>
      <c r="Y16" s="13" t="s">
        <v>1421</v>
      </c>
      <c r="Z16" s="13" t="s">
        <v>1422</v>
      </c>
      <c r="AA16" s="39">
        <v>45167</v>
      </c>
      <c r="AB16" s="13" t="s">
        <v>1423</v>
      </c>
      <c r="AC16" s="13" t="s">
        <v>1424</v>
      </c>
      <c r="AD16" s="13" t="s">
        <v>1425</v>
      </c>
      <c r="AE16" s="13" t="s">
        <v>1426</v>
      </c>
      <c r="AF16" s="13" t="s">
        <v>1427</v>
      </c>
      <c r="AG16" s="41">
        <v>-0.26</v>
      </c>
      <c r="AI16" s="42">
        <v>8</v>
      </c>
      <c r="AJ16" s="13" t="s">
        <v>1428</v>
      </c>
      <c r="AK16" s="13" t="s">
        <v>1429</v>
      </c>
      <c r="AL16" s="41">
        <v>0.04</v>
      </c>
      <c r="AM16" s="41">
        <v>-0.36</v>
      </c>
      <c r="AN16" s="41">
        <v>6</v>
      </c>
      <c r="AO16" s="41">
        <v>6.4</v>
      </c>
      <c r="AQ16" s="13" t="s">
        <v>1430</v>
      </c>
      <c r="AR16" s="13" t="s">
        <v>1431</v>
      </c>
      <c r="AS16" s="13" t="s">
        <v>1446</v>
      </c>
      <c r="AT16" s="13" t="s">
        <v>1425</v>
      </c>
      <c r="AU16" s="13" t="s">
        <v>1432</v>
      </c>
      <c r="AV16" s="39">
        <v>45279</v>
      </c>
      <c r="AW16" s="13" t="s">
        <v>1447</v>
      </c>
      <c r="AY16" s="41">
        <v>-0.16</v>
      </c>
      <c r="AZ16" s="41"/>
      <c r="BA16" s="41"/>
      <c r="BB16" s="41"/>
      <c r="BP16" s="15"/>
      <c r="BQ16" s="15"/>
      <c r="BR16" s="15"/>
      <c r="BS16" s="15"/>
    </row>
    <row r="17" spans="1:425">
      <c r="A17" s="14">
        <v>8</v>
      </c>
      <c r="B17" s="15" t="str">
        <f>IF(ISBLANK(D[[#This Row],[CLAS_GRONDSOORT]]),"ONWAAR","WAAR")</f>
        <v>WAAR</v>
      </c>
      <c r="C17" s="15" t="str">
        <f>IF(ISBLANK(D[[#This Row],[CLAS_VN_HOOFDNAAM]]),"ONWAAR","WAAR")</f>
        <v>ONWAAR</v>
      </c>
      <c r="D17" s="15" t="str">
        <f>IF(ISBLANK(D[[#This Row],[KV_GRONDSOORT]]),"ONWAAR","WAAR")</f>
        <v>ONWAAR</v>
      </c>
      <c r="E17" s="15" t="str">
        <f>IF(ISBLANK(D[[#This Row],[CPT_QNET]]),"ONWAAR","WAAR")</f>
        <v>ONWAAR</v>
      </c>
      <c r="F17" s="15" t="str">
        <f>IF(ISBLANK(D[[#This Row],[CRS_GRONDSOORT]]),"ONWAAR","WAAR")</f>
        <v>WAAR</v>
      </c>
      <c r="G17" s="15" t="str">
        <f>IF(ISBLANK(D[[#This Row],[SD_GRONDSOORT]]),"ONWAAR","WAAR")</f>
        <v>ONWAAR</v>
      </c>
      <c r="H17" s="15" t="str">
        <f>IF(ISBLANK(D[[#This Row],[DSS_GRONDSOORT]]),"ONWAAR","WAAR")</f>
        <v>ONWAAR</v>
      </c>
      <c r="I17" s="15" t="str">
        <f>IF(ISBLANK(D[[#This Row],[TXT_SS_GRONDSOORT]]),"ONWAAR","WAAR")</f>
        <v>WAAR</v>
      </c>
      <c r="J17" s="13" t="s">
        <v>1448</v>
      </c>
      <c r="L17" s="13" t="s">
        <v>1418</v>
      </c>
      <c r="M17" s="13" t="s">
        <v>1419</v>
      </c>
      <c r="P17" s="13" t="s">
        <v>1420</v>
      </c>
      <c r="V17" s="41">
        <v>133397.91</v>
      </c>
      <c r="W17" s="41">
        <v>414057.58</v>
      </c>
      <c r="X17" s="41">
        <v>6.04</v>
      </c>
      <c r="Y17" s="13" t="s">
        <v>1421</v>
      </c>
      <c r="Z17" s="13" t="s">
        <v>1422</v>
      </c>
      <c r="AA17" s="39">
        <v>45167</v>
      </c>
      <c r="AB17" s="13" t="s">
        <v>1423</v>
      </c>
      <c r="AC17" s="13" t="s">
        <v>1424</v>
      </c>
      <c r="AD17" s="13" t="s">
        <v>1425</v>
      </c>
      <c r="AE17" s="13" t="s">
        <v>1426</v>
      </c>
      <c r="AF17" s="13" t="s">
        <v>1427</v>
      </c>
      <c r="AG17" s="41">
        <v>-0.26</v>
      </c>
      <c r="AI17" s="42" t="s">
        <v>1449</v>
      </c>
      <c r="AJ17" s="13" t="s">
        <v>1428</v>
      </c>
      <c r="AK17" s="13" t="s">
        <v>1429</v>
      </c>
      <c r="AL17" s="41">
        <v>-0.46</v>
      </c>
      <c r="AM17" s="41">
        <v>-0.76</v>
      </c>
      <c r="AN17" s="41">
        <v>6.5</v>
      </c>
      <c r="AO17" s="41">
        <v>6.8</v>
      </c>
      <c r="AQ17" s="13" t="s">
        <v>1430</v>
      </c>
      <c r="AR17" s="13" t="s">
        <v>1431</v>
      </c>
      <c r="AS17" s="13" t="s">
        <v>1448</v>
      </c>
      <c r="AT17" s="13" t="s">
        <v>1425</v>
      </c>
      <c r="AU17" s="13" t="s">
        <v>1432</v>
      </c>
      <c r="AV17" s="39">
        <v>45279</v>
      </c>
      <c r="AW17" s="13" t="s">
        <v>1450</v>
      </c>
      <c r="AY17" s="41">
        <v>-0.51</v>
      </c>
      <c r="AZ17" s="41">
        <v>17</v>
      </c>
      <c r="BA17" s="41">
        <v>11.7</v>
      </c>
      <c r="BB17" s="41">
        <v>45.7</v>
      </c>
      <c r="BP17" s="15"/>
      <c r="BQ17" s="15"/>
      <c r="BR17" s="15"/>
      <c r="BS17" s="15"/>
      <c r="EA17" s="13" t="s">
        <v>1451</v>
      </c>
      <c r="EB17" s="13" t="s">
        <v>1452</v>
      </c>
      <c r="EC17" s="13" t="s">
        <v>1453</v>
      </c>
      <c r="ED17" s="13" t="s">
        <v>1454</v>
      </c>
      <c r="EE17" s="13" t="s">
        <v>1455</v>
      </c>
      <c r="EF17" s="39">
        <v>45183</v>
      </c>
      <c r="EG17" s="13" t="s">
        <v>1456</v>
      </c>
      <c r="EH17" s="13" t="s">
        <v>1457</v>
      </c>
      <c r="EI17" s="41">
        <v>-0.48</v>
      </c>
      <c r="EJ17" s="41">
        <v>122.9</v>
      </c>
      <c r="EK17" s="41">
        <v>14.06</v>
      </c>
      <c r="EL17" s="41">
        <v>7</v>
      </c>
      <c r="EM17" s="41">
        <v>100.9</v>
      </c>
      <c r="EN17" s="41">
        <v>55.57</v>
      </c>
      <c r="EO17" s="41">
        <v>102.1</v>
      </c>
      <c r="EP17" s="13">
        <v>21.7</v>
      </c>
      <c r="EQ17" s="13">
        <v>19.8</v>
      </c>
      <c r="ER17" s="13">
        <v>65.44</v>
      </c>
      <c r="ES17" s="41">
        <v>18.8</v>
      </c>
      <c r="ET17" s="41">
        <v>18.46</v>
      </c>
      <c r="EU17" s="41">
        <v>10.66</v>
      </c>
      <c r="EV17" s="13">
        <v>0.5</v>
      </c>
      <c r="EW17" s="44">
        <v>-0.2</v>
      </c>
      <c r="EX17" s="13">
        <v>16</v>
      </c>
      <c r="EY17" s="41">
        <v>726.8</v>
      </c>
      <c r="EZ17" s="41">
        <v>549</v>
      </c>
      <c r="FA17" s="41">
        <v>436.9</v>
      </c>
      <c r="FB17" s="41">
        <v>244.5</v>
      </c>
      <c r="FC17" s="41">
        <v>1227</v>
      </c>
      <c r="FD17" s="41">
        <v>1.98</v>
      </c>
      <c r="FE17" s="41">
        <v>157.6</v>
      </c>
      <c r="FF17" s="41">
        <v>19.920000000000002</v>
      </c>
      <c r="FG17" s="41">
        <v>865.5</v>
      </c>
      <c r="FH17" s="45">
        <v>1.2699999999999999E-2</v>
      </c>
      <c r="FI17" s="45">
        <v>0.186</v>
      </c>
      <c r="FJ17" s="45">
        <v>1.2E-2</v>
      </c>
      <c r="NH17" s="13" t="s">
        <v>1458</v>
      </c>
      <c r="NI17" s="13" t="s">
        <v>1459</v>
      </c>
      <c r="NJ17" s="13" t="s">
        <v>1460</v>
      </c>
      <c r="NK17" s="13" t="s">
        <v>1454</v>
      </c>
      <c r="NL17" s="13" t="s">
        <v>1461</v>
      </c>
      <c r="NM17" s="39">
        <v>45198</v>
      </c>
      <c r="NN17" s="13" t="s">
        <v>1462</v>
      </c>
      <c r="NP17" s="41">
        <v>-0.51</v>
      </c>
      <c r="NQ17" s="41">
        <v>122.9</v>
      </c>
      <c r="NR17" s="41">
        <v>16.989999999999998</v>
      </c>
      <c r="NS17" s="41">
        <v>11.66</v>
      </c>
      <c r="NT17" s="41">
        <v>44.32</v>
      </c>
      <c r="NU17" s="41">
        <v>45.69</v>
      </c>
      <c r="NV17" s="41">
        <v>108.83</v>
      </c>
      <c r="NW17" s="41">
        <v>1</v>
      </c>
      <c r="NX17" s="44">
        <v>2373</v>
      </c>
      <c r="NY17" s="44">
        <v>21.3</v>
      </c>
      <c r="NZ17" s="44">
        <v>21.3</v>
      </c>
      <c r="OA17" s="44">
        <v>50</v>
      </c>
      <c r="OB17" s="44">
        <v>100</v>
      </c>
      <c r="OC17" s="41" t="s">
        <v>1463</v>
      </c>
      <c r="OD17" s="41" t="s">
        <v>1464</v>
      </c>
      <c r="OE17" s="41" t="s">
        <v>1465</v>
      </c>
      <c r="OF17" s="43">
        <v>299</v>
      </c>
      <c r="OG17" s="41" t="s">
        <v>1466</v>
      </c>
      <c r="OH17" s="41">
        <v>0.62</v>
      </c>
      <c r="OI17" s="41" t="s">
        <v>1467</v>
      </c>
      <c r="OJ17" s="41">
        <v>76.88</v>
      </c>
      <c r="OK17" s="41">
        <v>0.88</v>
      </c>
      <c r="OL17" s="41">
        <v>98.66</v>
      </c>
      <c r="OM17" s="41">
        <v>23.77</v>
      </c>
      <c r="ON17" s="41">
        <v>98.66</v>
      </c>
      <c r="OO17" s="41">
        <v>23.77</v>
      </c>
      <c r="OP17" s="43">
        <v>1</v>
      </c>
      <c r="OQ17" s="41">
        <v>3.27</v>
      </c>
      <c r="OR17" s="41">
        <v>9.14</v>
      </c>
      <c r="OS17" s="41" t="s">
        <v>1468</v>
      </c>
      <c r="OT17" s="41">
        <v>0.93</v>
      </c>
      <c r="OU17" s="41">
        <v>96.77</v>
      </c>
      <c r="OV17" s="41">
        <v>55.08</v>
      </c>
      <c r="OW17" s="41">
        <v>91.11</v>
      </c>
      <c r="OX17" s="41">
        <v>56.32</v>
      </c>
      <c r="OY17" s="41">
        <v>82.85</v>
      </c>
      <c r="OZ17" s="41">
        <v>52.56</v>
      </c>
      <c r="PA17" s="41">
        <v>91.25</v>
      </c>
      <c r="PB17" s="41">
        <v>56.35</v>
      </c>
      <c r="PC17" s="41">
        <v>4.92</v>
      </c>
      <c r="PD17" s="41">
        <v>75.73</v>
      </c>
      <c r="PE17" s="41">
        <v>47.34</v>
      </c>
      <c r="PF17" s="43">
        <v>25</v>
      </c>
      <c r="PG17" s="41">
        <v>27.77</v>
      </c>
      <c r="PH17" s="41">
        <v>0.12</v>
      </c>
      <c r="PI17" s="41">
        <v>0.36</v>
      </c>
    </row>
    <row r="18" spans="1:425">
      <c r="A18" s="14">
        <v>9</v>
      </c>
      <c r="B18" s="15" t="str">
        <f>IF(ISBLANK(D[[#This Row],[CLAS_GRONDSOORT]]),"ONWAAR","WAAR")</f>
        <v>WAAR</v>
      </c>
      <c r="C18" s="15" t="str">
        <f>IF(ISBLANK(D[[#This Row],[CLAS_VN_HOOFDNAAM]]),"ONWAAR","WAAR")</f>
        <v>ONWAAR</v>
      </c>
      <c r="D18" s="15" t="str">
        <f>IF(ISBLANK(D[[#This Row],[KV_GRONDSOORT]]),"ONWAAR","WAAR")</f>
        <v>ONWAAR</v>
      </c>
      <c r="E18" s="15" t="str">
        <f>IF(ISBLANK(D[[#This Row],[CPT_QNET]]),"ONWAAR","WAAR")</f>
        <v>ONWAAR</v>
      </c>
      <c r="F18" s="15" t="str">
        <f>IF(ISBLANK(D[[#This Row],[CRS_GRONDSOORT]]),"ONWAAR","WAAR")</f>
        <v>ONWAAR</v>
      </c>
      <c r="G18" s="15" t="str">
        <f>IF(ISBLANK(D[[#This Row],[SD_GRONDSOORT]]),"ONWAAR","WAAR")</f>
        <v>ONWAAR</v>
      </c>
      <c r="H18" s="15" t="str">
        <f>IF(ISBLANK(D[[#This Row],[DSS_GRONDSOORT]]),"ONWAAR","WAAR")</f>
        <v>ONWAAR</v>
      </c>
      <c r="I18" s="15" t="str">
        <f>IF(ISBLANK(D[[#This Row],[TXT_SS_GRONDSOORT]]),"ONWAAR","WAAR")</f>
        <v>ONWAAR</v>
      </c>
      <c r="J18" s="13" t="s">
        <v>1469</v>
      </c>
      <c r="L18" s="13" t="s">
        <v>1418</v>
      </c>
      <c r="M18" s="13" t="s">
        <v>1419</v>
      </c>
      <c r="P18" s="13" t="s">
        <v>1420</v>
      </c>
      <c r="V18" s="41">
        <v>133397.91</v>
      </c>
      <c r="W18" s="41">
        <v>414057.58</v>
      </c>
      <c r="X18" s="41">
        <v>6.04</v>
      </c>
      <c r="Y18" s="13" t="s">
        <v>1421</v>
      </c>
      <c r="Z18" s="13" t="s">
        <v>1422</v>
      </c>
      <c r="AA18" s="39">
        <v>45167</v>
      </c>
      <c r="AB18" s="13" t="s">
        <v>1423</v>
      </c>
      <c r="AC18" s="13" t="s">
        <v>1424</v>
      </c>
      <c r="AD18" s="13" t="s">
        <v>1425</v>
      </c>
      <c r="AE18" s="13" t="s">
        <v>1426</v>
      </c>
      <c r="AF18" s="13" t="s">
        <v>1427</v>
      </c>
      <c r="AG18" s="41">
        <v>-0.26</v>
      </c>
      <c r="AI18" s="42" t="s">
        <v>1470</v>
      </c>
      <c r="AJ18" s="13" t="s">
        <v>1428</v>
      </c>
      <c r="AK18" s="13" t="s">
        <v>1429</v>
      </c>
      <c r="AL18" s="41">
        <v>-0.76</v>
      </c>
      <c r="AM18" s="41">
        <v>-0.86</v>
      </c>
      <c r="AN18" s="41">
        <v>6.8</v>
      </c>
      <c r="AO18" s="41">
        <v>6.9</v>
      </c>
      <c r="AQ18" s="13" t="s">
        <v>1430</v>
      </c>
      <c r="AR18" s="13" t="s">
        <v>1431</v>
      </c>
      <c r="AS18" s="13" t="s">
        <v>1469</v>
      </c>
      <c r="AT18" s="13" t="s">
        <v>1425</v>
      </c>
      <c r="AU18" s="13" t="s">
        <v>1432</v>
      </c>
      <c r="AV18" s="39">
        <v>45279</v>
      </c>
      <c r="AW18" s="13" t="s">
        <v>1471</v>
      </c>
      <c r="AY18" s="41">
        <v>-0.79</v>
      </c>
      <c r="AZ18" s="41">
        <v>19.899999999999999</v>
      </c>
      <c r="BA18" s="41">
        <v>16.2</v>
      </c>
      <c r="BB18" s="41">
        <v>22.6</v>
      </c>
      <c r="BP18" s="15"/>
      <c r="BQ18" s="15"/>
      <c r="BR18" s="15"/>
      <c r="BS18" s="15"/>
    </row>
    <row r="19" spans="1:425">
      <c r="A19" s="14">
        <v>10</v>
      </c>
      <c r="B19" s="15" t="str">
        <f>IF(ISBLANK(D[[#This Row],[CLAS_GRONDSOORT]]),"ONWAAR","WAAR")</f>
        <v>WAAR</v>
      </c>
      <c r="C19" s="15" t="str">
        <f>IF(ISBLANK(D[[#This Row],[CLAS_VN_HOOFDNAAM]]),"ONWAAR","WAAR")</f>
        <v>ONWAAR</v>
      </c>
      <c r="D19" s="15" t="str">
        <f>IF(ISBLANK(D[[#This Row],[KV_GRONDSOORT]]),"ONWAAR","WAAR")</f>
        <v>ONWAAR</v>
      </c>
      <c r="E19" s="15" t="str">
        <f>IF(ISBLANK(D[[#This Row],[CPT_QNET]]),"ONWAAR","WAAR")</f>
        <v>ONWAAR</v>
      </c>
      <c r="F19" s="15" t="str">
        <f>IF(ISBLANK(D[[#This Row],[CRS_GRONDSOORT]]),"ONWAAR","WAAR")</f>
        <v>ONWAAR</v>
      </c>
      <c r="G19" s="15" t="str">
        <f>IF(ISBLANK(D[[#This Row],[SD_GRONDSOORT]]),"ONWAAR","WAAR")</f>
        <v>ONWAAR</v>
      </c>
      <c r="H19" s="15" t="str">
        <f>IF(ISBLANK(D[[#This Row],[DSS_GRONDSOORT]]),"ONWAAR","WAAR")</f>
        <v>ONWAAR</v>
      </c>
      <c r="I19" s="15" t="str">
        <f>IF(ISBLANK(D[[#This Row],[TXT_SS_GRONDSOORT]]),"ONWAAR","WAAR")</f>
        <v>ONWAAR</v>
      </c>
      <c r="J19" s="13" t="s">
        <v>1472</v>
      </c>
      <c r="L19" s="13" t="s">
        <v>1418</v>
      </c>
      <c r="M19" s="13" t="s">
        <v>1419</v>
      </c>
      <c r="P19" s="13" t="s">
        <v>1420</v>
      </c>
      <c r="V19" s="41">
        <v>136410</v>
      </c>
      <c r="W19" s="41">
        <v>416228.74</v>
      </c>
      <c r="X19" s="41">
        <v>8.56</v>
      </c>
      <c r="Y19" s="13" t="s">
        <v>1473</v>
      </c>
      <c r="Z19" s="13" t="s">
        <v>1422</v>
      </c>
      <c r="AA19" s="39">
        <v>45162</v>
      </c>
      <c r="AB19" s="13" t="s">
        <v>1474</v>
      </c>
      <c r="AC19" s="13" t="s">
        <v>1475</v>
      </c>
      <c r="AD19" s="13" t="s">
        <v>1425</v>
      </c>
      <c r="AE19" s="13" t="s">
        <v>1476</v>
      </c>
      <c r="AF19" s="13" t="s">
        <v>1427</v>
      </c>
      <c r="AG19" s="41">
        <v>1.06</v>
      </c>
      <c r="AI19" s="42">
        <v>1</v>
      </c>
      <c r="AJ19" s="13" t="s">
        <v>1428</v>
      </c>
      <c r="AK19" s="13" t="s">
        <v>1429</v>
      </c>
      <c r="AL19" s="41">
        <v>7.76</v>
      </c>
      <c r="AM19" s="41">
        <v>7.36</v>
      </c>
      <c r="AN19" s="41">
        <v>0.8</v>
      </c>
      <c r="AO19" s="41">
        <v>1.2</v>
      </c>
      <c r="AQ19" s="13" t="s">
        <v>1477</v>
      </c>
      <c r="AR19" s="13" t="s">
        <v>1431</v>
      </c>
      <c r="AS19" s="13" t="s">
        <v>1472</v>
      </c>
      <c r="AT19" s="13" t="s">
        <v>1425</v>
      </c>
      <c r="AU19" s="13" t="s">
        <v>1432</v>
      </c>
      <c r="AV19" s="39">
        <v>45279</v>
      </c>
      <c r="AW19" s="13" t="s">
        <v>1478</v>
      </c>
      <c r="AY19" s="41">
        <v>7.69</v>
      </c>
      <c r="AZ19" s="41">
        <v>18.3</v>
      </c>
      <c r="BA19" s="41">
        <v>14.5</v>
      </c>
      <c r="BB19" s="41">
        <v>26</v>
      </c>
      <c r="BP19" s="15"/>
      <c r="BQ19" s="15"/>
      <c r="BR19" s="15"/>
      <c r="BS19" s="15"/>
    </row>
    <row r="20" spans="1:425">
      <c r="A20" s="14">
        <v>11</v>
      </c>
      <c r="B20" s="15" t="str">
        <f>IF(ISBLANK(D[[#This Row],[CLAS_GRONDSOORT]]),"ONWAAR","WAAR")</f>
        <v>WAAR</v>
      </c>
      <c r="C20" s="15" t="str">
        <f>IF(ISBLANK(D[[#This Row],[CLAS_VN_HOOFDNAAM]]),"ONWAAR","WAAR")</f>
        <v>ONWAAR</v>
      </c>
      <c r="D20" s="15" t="str">
        <f>IF(ISBLANK(D[[#This Row],[KV_GRONDSOORT]]),"ONWAAR","WAAR")</f>
        <v>ONWAAR</v>
      </c>
      <c r="E20" s="15" t="str">
        <f>IF(ISBLANK(D[[#This Row],[CPT_QNET]]),"ONWAAR","WAAR")</f>
        <v>ONWAAR</v>
      </c>
      <c r="F20" s="15" t="str">
        <f>IF(ISBLANK(D[[#This Row],[CRS_GRONDSOORT]]),"ONWAAR","WAAR")</f>
        <v>ONWAAR</v>
      </c>
      <c r="G20" s="15" t="str">
        <f>IF(ISBLANK(D[[#This Row],[SD_GRONDSOORT]]),"ONWAAR","WAAR")</f>
        <v>ONWAAR</v>
      </c>
      <c r="H20" s="15" t="str">
        <f>IF(ISBLANK(D[[#This Row],[DSS_GRONDSOORT]]),"ONWAAR","WAAR")</f>
        <v>ONWAAR</v>
      </c>
      <c r="I20" s="15" t="str">
        <f>IF(ISBLANK(D[[#This Row],[TXT_SS_GRONDSOORT]]),"ONWAAR","WAAR")</f>
        <v>ONWAAR</v>
      </c>
      <c r="J20" s="13" t="s">
        <v>1479</v>
      </c>
      <c r="L20" s="13" t="s">
        <v>1418</v>
      </c>
      <c r="M20" s="13" t="s">
        <v>1419</v>
      </c>
      <c r="P20" s="13" t="s">
        <v>1420</v>
      </c>
      <c r="V20" s="41">
        <v>136410</v>
      </c>
      <c r="W20" s="41">
        <v>416228.74</v>
      </c>
      <c r="X20" s="41">
        <v>8.56</v>
      </c>
      <c r="Y20" s="13" t="s">
        <v>1473</v>
      </c>
      <c r="Z20" s="13" t="s">
        <v>1422</v>
      </c>
      <c r="AA20" s="39">
        <v>45162</v>
      </c>
      <c r="AB20" s="13" t="s">
        <v>1474</v>
      </c>
      <c r="AC20" s="13" t="s">
        <v>1475</v>
      </c>
      <c r="AD20" s="13" t="s">
        <v>1425</v>
      </c>
      <c r="AE20" s="13" t="s">
        <v>1476</v>
      </c>
      <c r="AF20" s="13" t="s">
        <v>1427</v>
      </c>
      <c r="AG20" s="41">
        <v>1.06</v>
      </c>
      <c r="AI20" s="42" t="s">
        <v>1480</v>
      </c>
      <c r="AJ20" s="13" t="s">
        <v>1428</v>
      </c>
      <c r="AK20" s="13" t="s">
        <v>1429</v>
      </c>
      <c r="AL20" s="41">
        <v>6.76</v>
      </c>
      <c r="AM20" s="41">
        <v>6.66</v>
      </c>
      <c r="AN20" s="41">
        <v>1.8</v>
      </c>
      <c r="AO20" s="41">
        <v>1.9</v>
      </c>
      <c r="AQ20" s="13" t="s">
        <v>1477</v>
      </c>
      <c r="AR20" s="13" t="s">
        <v>1431</v>
      </c>
      <c r="AS20" s="13" t="s">
        <v>1479</v>
      </c>
      <c r="AT20" s="13" t="s">
        <v>1425</v>
      </c>
      <c r="AU20" s="13" t="s">
        <v>1432</v>
      </c>
      <c r="AV20" s="39">
        <v>45279</v>
      </c>
      <c r="AW20" s="13" t="s">
        <v>1481</v>
      </c>
      <c r="AY20" s="41">
        <v>6.73</v>
      </c>
      <c r="AZ20" s="41">
        <v>19.8</v>
      </c>
      <c r="BA20" s="41">
        <v>16.100000000000001</v>
      </c>
      <c r="BB20" s="41">
        <v>22.3</v>
      </c>
      <c r="BP20" s="15"/>
      <c r="BQ20" s="15"/>
      <c r="BR20" s="15"/>
      <c r="BS20" s="15"/>
    </row>
    <row r="21" spans="1:425">
      <c r="A21" s="14">
        <v>12</v>
      </c>
      <c r="B21" s="15" t="str">
        <f>IF(ISBLANK(D[[#This Row],[CLAS_GRONDSOORT]]),"ONWAAR","WAAR")</f>
        <v>WAAR</v>
      </c>
      <c r="C21" s="15" t="str">
        <f>IF(ISBLANK(D[[#This Row],[CLAS_VN_HOOFDNAAM]]),"ONWAAR","WAAR")</f>
        <v>ONWAAR</v>
      </c>
      <c r="D21" s="15" t="str">
        <f>IF(ISBLANK(D[[#This Row],[KV_GRONDSOORT]]),"ONWAAR","WAAR")</f>
        <v>ONWAAR</v>
      </c>
      <c r="E21" s="15" t="str">
        <f>IF(ISBLANK(D[[#This Row],[CPT_QNET]]),"ONWAAR","WAAR")</f>
        <v>ONWAAR</v>
      </c>
      <c r="F21" s="15" t="str">
        <f>IF(ISBLANK(D[[#This Row],[CRS_GRONDSOORT]]),"ONWAAR","WAAR")</f>
        <v>ONWAAR</v>
      </c>
      <c r="G21" s="15" t="str">
        <f>IF(ISBLANK(D[[#This Row],[SD_GRONDSOORT]]),"ONWAAR","WAAR")</f>
        <v>ONWAAR</v>
      </c>
      <c r="H21" s="15" t="str">
        <f>IF(ISBLANK(D[[#This Row],[DSS_GRONDSOORT]]),"ONWAAR","WAAR")</f>
        <v>ONWAAR</v>
      </c>
      <c r="I21" s="15" t="str">
        <f>IF(ISBLANK(D[[#This Row],[TXT_SS_GRONDSOORT]]),"ONWAAR","WAAR")</f>
        <v>ONWAAR</v>
      </c>
      <c r="J21" s="13" t="s">
        <v>1482</v>
      </c>
      <c r="L21" s="13" t="s">
        <v>1418</v>
      </c>
      <c r="M21" s="13" t="s">
        <v>1419</v>
      </c>
      <c r="P21" s="13" t="s">
        <v>1420</v>
      </c>
      <c r="V21" s="41">
        <v>136410</v>
      </c>
      <c r="W21" s="41">
        <v>416228.74</v>
      </c>
      <c r="X21" s="41">
        <v>8.56</v>
      </c>
      <c r="Y21" s="13" t="s">
        <v>1473</v>
      </c>
      <c r="Z21" s="13" t="s">
        <v>1422</v>
      </c>
      <c r="AA21" s="39">
        <v>45162</v>
      </c>
      <c r="AB21" s="13" t="s">
        <v>1474</v>
      </c>
      <c r="AC21" s="13" t="s">
        <v>1475</v>
      </c>
      <c r="AD21" s="13" t="s">
        <v>1425</v>
      </c>
      <c r="AE21" s="13" t="s">
        <v>1476</v>
      </c>
      <c r="AF21" s="13" t="s">
        <v>1427</v>
      </c>
      <c r="AG21" s="41">
        <v>1.06</v>
      </c>
      <c r="AI21" s="42" t="s">
        <v>1483</v>
      </c>
      <c r="AJ21" s="13" t="s">
        <v>1428</v>
      </c>
      <c r="AK21" s="13" t="s">
        <v>1429</v>
      </c>
      <c r="AL21" s="41">
        <v>6.66</v>
      </c>
      <c r="AM21" s="41">
        <v>6.36</v>
      </c>
      <c r="AN21" s="41">
        <v>1.9</v>
      </c>
      <c r="AO21" s="41">
        <v>2.2000000000000002</v>
      </c>
      <c r="AQ21" s="13" t="s">
        <v>1477</v>
      </c>
      <c r="AR21" s="13" t="s">
        <v>1431</v>
      </c>
      <c r="AS21" s="13" t="s">
        <v>1482</v>
      </c>
      <c r="AT21" s="13" t="s">
        <v>1425</v>
      </c>
      <c r="AU21" s="13" t="s">
        <v>1432</v>
      </c>
      <c r="AV21" s="39">
        <v>45279</v>
      </c>
      <c r="AW21" s="13" t="s">
        <v>1484</v>
      </c>
      <c r="AY21" s="41">
        <v>6.51</v>
      </c>
      <c r="AZ21" s="41"/>
      <c r="BA21" s="41"/>
      <c r="BB21" s="41"/>
      <c r="BP21" s="15"/>
      <c r="BQ21" s="15"/>
      <c r="BR21" s="15"/>
      <c r="BS21" s="15"/>
    </row>
    <row r="22" spans="1:425">
      <c r="A22" s="14">
        <v>13</v>
      </c>
      <c r="B22" s="15" t="str">
        <f>IF(ISBLANK(D[[#This Row],[CLAS_GRONDSOORT]]),"ONWAAR","WAAR")</f>
        <v>WAAR</v>
      </c>
      <c r="C22" s="15" t="str">
        <f>IF(ISBLANK(D[[#This Row],[CLAS_VN_HOOFDNAAM]]),"ONWAAR","WAAR")</f>
        <v>ONWAAR</v>
      </c>
      <c r="D22" s="15" t="str">
        <f>IF(ISBLANK(D[[#This Row],[KV_GRONDSOORT]]),"ONWAAR","WAAR")</f>
        <v>ONWAAR</v>
      </c>
      <c r="E22" s="15" t="str">
        <f>IF(ISBLANK(D[[#This Row],[CPT_QNET]]),"ONWAAR","WAAR")</f>
        <v>ONWAAR</v>
      </c>
      <c r="F22" s="15" t="str">
        <f>IF(ISBLANK(D[[#This Row],[CRS_GRONDSOORT]]),"ONWAAR","WAAR")</f>
        <v>ONWAAR</v>
      </c>
      <c r="G22" s="15" t="str">
        <f>IF(ISBLANK(D[[#This Row],[SD_GRONDSOORT]]),"ONWAAR","WAAR")</f>
        <v>ONWAAR</v>
      </c>
      <c r="H22" s="15" t="str">
        <f>IF(ISBLANK(D[[#This Row],[DSS_GRONDSOORT]]),"ONWAAR","WAAR")</f>
        <v>ONWAAR</v>
      </c>
      <c r="I22" s="15" t="str">
        <f>IF(ISBLANK(D[[#This Row],[TXT_SS_GRONDSOORT]]),"ONWAAR","WAAR")</f>
        <v>ONWAAR</v>
      </c>
      <c r="J22" s="13" t="s">
        <v>1485</v>
      </c>
      <c r="L22" s="13" t="s">
        <v>1418</v>
      </c>
      <c r="M22" s="13" t="s">
        <v>1419</v>
      </c>
      <c r="P22" s="13" t="s">
        <v>1420</v>
      </c>
      <c r="V22" s="41">
        <v>136410</v>
      </c>
      <c r="W22" s="41">
        <v>416228.74</v>
      </c>
      <c r="X22" s="41">
        <v>8.56</v>
      </c>
      <c r="Y22" s="13" t="s">
        <v>1473</v>
      </c>
      <c r="Z22" s="13" t="s">
        <v>1422</v>
      </c>
      <c r="AA22" s="39">
        <v>45162</v>
      </c>
      <c r="AB22" s="13" t="s">
        <v>1474</v>
      </c>
      <c r="AC22" s="13" t="s">
        <v>1475</v>
      </c>
      <c r="AD22" s="13" t="s">
        <v>1425</v>
      </c>
      <c r="AE22" s="13" t="s">
        <v>1476</v>
      </c>
      <c r="AF22" s="13" t="s">
        <v>1427</v>
      </c>
      <c r="AG22" s="41">
        <v>1.06</v>
      </c>
      <c r="AI22" s="42" t="s">
        <v>1486</v>
      </c>
      <c r="AJ22" s="13" t="s">
        <v>1428</v>
      </c>
      <c r="AK22" s="13" t="s">
        <v>1429</v>
      </c>
      <c r="AL22" s="41">
        <v>5.76</v>
      </c>
      <c r="AM22" s="41">
        <v>5.56</v>
      </c>
      <c r="AN22" s="41">
        <v>2.8</v>
      </c>
      <c r="AO22" s="41">
        <v>3</v>
      </c>
      <c r="AQ22" s="13" t="s">
        <v>1477</v>
      </c>
      <c r="AR22" s="13" t="s">
        <v>1431</v>
      </c>
      <c r="AS22" s="13" t="s">
        <v>1485</v>
      </c>
      <c r="AT22" s="13" t="s">
        <v>1425</v>
      </c>
      <c r="AU22" s="13" t="s">
        <v>1432</v>
      </c>
      <c r="AV22" s="39">
        <v>45279</v>
      </c>
      <c r="AW22" s="13" t="s">
        <v>1481</v>
      </c>
      <c r="AY22" s="41">
        <v>5.66</v>
      </c>
      <c r="AZ22" s="41"/>
      <c r="BA22" s="41"/>
      <c r="BB22" s="41"/>
      <c r="BP22" s="15"/>
      <c r="BQ22" s="15"/>
      <c r="BR22" s="15"/>
      <c r="BS22" s="15"/>
    </row>
    <row r="23" spans="1:425">
      <c r="A23" s="14">
        <v>14</v>
      </c>
      <c r="B23" s="15" t="str">
        <f>IF(ISBLANK(D[[#This Row],[CLAS_GRONDSOORT]]),"ONWAAR","WAAR")</f>
        <v>WAAR</v>
      </c>
      <c r="C23" s="15" t="str">
        <f>IF(ISBLANK(D[[#This Row],[CLAS_VN_HOOFDNAAM]]),"ONWAAR","WAAR")</f>
        <v>ONWAAR</v>
      </c>
      <c r="D23" s="15" t="str">
        <f>IF(ISBLANK(D[[#This Row],[KV_GRONDSOORT]]),"ONWAAR","WAAR")</f>
        <v>ONWAAR</v>
      </c>
      <c r="E23" s="15" t="str">
        <f>IF(ISBLANK(D[[#This Row],[CPT_QNET]]),"ONWAAR","WAAR")</f>
        <v>ONWAAR</v>
      </c>
      <c r="F23" s="15" t="str">
        <f>IF(ISBLANK(D[[#This Row],[CRS_GRONDSOORT]]),"ONWAAR","WAAR")</f>
        <v>ONWAAR</v>
      </c>
      <c r="G23" s="15" t="str">
        <f>IF(ISBLANK(D[[#This Row],[SD_GRONDSOORT]]),"ONWAAR","WAAR")</f>
        <v>ONWAAR</v>
      </c>
      <c r="H23" s="15" t="str">
        <f>IF(ISBLANK(D[[#This Row],[DSS_GRONDSOORT]]),"ONWAAR","WAAR")</f>
        <v>ONWAAR</v>
      </c>
      <c r="I23" s="15" t="str">
        <f>IF(ISBLANK(D[[#This Row],[TXT_SS_GRONDSOORT]]),"ONWAAR","WAAR")</f>
        <v>ONWAAR</v>
      </c>
      <c r="J23" s="13" t="s">
        <v>1487</v>
      </c>
      <c r="L23" s="13" t="s">
        <v>1418</v>
      </c>
      <c r="M23" s="13" t="s">
        <v>1419</v>
      </c>
      <c r="P23" s="13" t="s">
        <v>1420</v>
      </c>
      <c r="V23" s="41">
        <v>136410</v>
      </c>
      <c r="W23" s="41">
        <v>416228.74</v>
      </c>
      <c r="X23" s="41">
        <v>8.56</v>
      </c>
      <c r="Y23" s="13" t="s">
        <v>1473</v>
      </c>
      <c r="Z23" s="13" t="s">
        <v>1422</v>
      </c>
      <c r="AA23" s="39">
        <v>45162</v>
      </c>
      <c r="AB23" s="13" t="s">
        <v>1474</v>
      </c>
      <c r="AC23" s="13" t="s">
        <v>1475</v>
      </c>
      <c r="AD23" s="13" t="s">
        <v>1425</v>
      </c>
      <c r="AE23" s="13" t="s">
        <v>1476</v>
      </c>
      <c r="AF23" s="13" t="s">
        <v>1427</v>
      </c>
      <c r="AG23" s="41">
        <v>1.06</v>
      </c>
      <c r="AI23" s="42" t="s">
        <v>1488</v>
      </c>
      <c r="AJ23" s="13" t="s">
        <v>1428</v>
      </c>
      <c r="AK23" s="13" t="s">
        <v>1429</v>
      </c>
      <c r="AL23" s="41">
        <v>5.56</v>
      </c>
      <c r="AM23" s="41">
        <v>5.36</v>
      </c>
      <c r="AN23" s="41">
        <v>3</v>
      </c>
      <c r="AO23" s="41">
        <v>3.2</v>
      </c>
      <c r="AQ23" s="13" t="s">
        <v>1477</v>
      </c>
      <c r="AR23" s="13" t="s">
        <v>1431</v>
      </c>
      <c r="AS23" s="13" t="s">
        <v>1487</v>
      </c>
      <c r="AT23" s="13" t="s">
        <v>1425</v>
      </c>
      <c r="AU23" s="13" t="s">
        <v>1432</v>
      </c>
      <c r="AV23" s="39">
        <v>45279</v>
      </c>
      <c r="AW23" s="13" t="s">
        <v>1489</v>
      </c>
      <c r="AY23" s="41">
        <v>5.46</v>
      </c>
      <c r="AZ23" s="41"/>
      <c r="BA23" s="41"/>
      <c r="BB23" s="41"/>
      <c r="BP23" s="15"/>
      <c r="BQ23" s="15"/>
      <c r="BR23" s="15"/>
      <c r="BS23" s="15"/>
    </row>
    <row r="24" spans="1:425">
      <c r="A24" s="14">
        <v>15</v>
      </c>
      <c r="B24" s="15" t="str">
        <f>IF(ISBLANK(D[[#This Row],[CLAS_GRONDSOORT]]),"ONWAAR","WAAR")</f>
        <v>WAAR</v>
      </c>
      <c r="C24" s="15" t="str">
        <f>IF(ISBLANK(D[[#This Row],[CLAS_VN_HOOFDNAAM]]),"ONWAAR","WAAR")</f>
        <v>ONWAAR</v>
      </c>
      <c r="D24" s="15" t="str">
        <f>IF(ISBLANK(D[[#This Row],[KV_GRONDSOORT]]),"ONWAAR","WAAR")</f>
        <v>ONWAAR</v>
      </c>
      <c r="E24" s="15" t="str">
        <f>IF(ISBLANK(D[[#This Row],[CPT_QNET]]),"ONWAAR","WAAR")</f>
        <v>ONWAAR</v>
      </c>
      <c r="F24" s="15" t="str">
        <f>IF(ISBLANK(D[[#This Row],[CRS_GRONDSOORT]]),"ONWAAR","WAAR")</f>
        <v>ONWAAR</v>
      </c>
      <c r="G24" s="15" t="str">
        <f>IF(ISBLANK(D[[#This Row],[SD_GRONDSOORT]]),"ONWAAR","WAAR")</f>
        <v>ONWAAR</v>
      </c>
      <c r="H24" s="15" t="str">
        <f>IF(ISBLANK(D[[#This Row],[DSS_GRONDSOORT]]),"ONWAAR","WAAR")</f>
        <v>ONWAAR</v>
      </c>
      <c r="I24" s="15" t="str">
        <f>IF(ISBLANK(D[[#This Row],[TXT_SS_GRONDSOORT]]),"ONWAAR","WAAR")</f>
        <v>ONWAAR</v>
      </c>
      <c r="J24" s="13" t="s">
        <v>1490</v>
      </c>
      <c r="L24" s="13" t="s">
        <v>1418</v>
      </c>
      <c r="M24" s="13" t="s">
        <v>1419</v>
      </c>
      <c r="P24" s="13" t="s">
        <v>1420</v>
      </c>
      <c r="V24" s="41">
        <v>136410</v>
      </c>
      <c r="W24" s="41">
        <v>416228.74</v>
      </c>
      <c r="X24" s="41">
        <v>8.56</v>
      </c>
      <c r="Y24" s="13" t="s">
        <v>1473</v>
      </c>
      <c r="Z24" s="13" t="s">
        <v>1422</v>
      </c>
      <c r="AA24" s="39">
        <v>45162</v>
      </c>
      <c r="AB24" s="13" t="s">
        <v>1474</v>
      </c>
      <c r="AC24" s="13" t="s">
        <v>1475</v>
      </c>
      <c r="AD24" s="13" t="s">
        <v>1425</v>
      </c>
      <c r="AE24" s="13" t="s">
        <v>1476</v>
      </c>
      <c r="AF24" s="13" t="s">
        <v>1427</v>
      </c>
      <c r="AG24" s="41">
        <v>1.06</v>
      </c>
      <c r="AI24" s="42">
        <v>4</v>
      </c>
      <c r="AJ24" s="13" t="s">
        <v>1428</v>
      </c>
      <c r="AK24" s="13" t="s">
        <v>1429</v>
      </c>
      <c r="AL24" s="41">
        <v>5.0599999999999996</v>
      </c>
      <c r="AM24" s="41">
        <v>4.66</v>
      </c>
      <c r="AN24" s="41">
        <v>3.5</v>
      </c>
      <c r="AO24" s="41">
        <v>3.9</v>
      </c>
      <c r="AQ24" s="13" t="s">
        <v>1477</v>
      </c>
      <c r="AR24" s="13" t="s">
        <v>1431</v>
      </c>
      <c r="AS24" s="13" t="s">
        <v>1490</v>
      </c>
      <c r="AT24" s="13" t="s">
        <v>1425</v>
      </c>
      <c r="AU24" s="13" t="s">
        <v>1432</v>
      </c>
      <c r="AV24" s="39">
        <v>45279</v>
      </c>
      <c r="AW24" s="13" t="s">
        <v>1491</v>
      </c>
      <c r="AY24" s="41">
        <v>5</v>
      </c>
      <c r="AZ24" s="41">
        <v>18.7</v>
      </c>
      <c r="BA24" s="41">
        <v>14.4</v>
      </c>
      <c r="BB24" s="41">
        <v>30.3</v>
      </c>
      <c r="BP24" s="15"/>
      <c r="BQ24" s="15"/>
      <c r="BR24" s="15"/>
      <c r="BS24" s="15"/>
    </row>
    <row r="25" spans="1:425">
      <c r="A25" s="14">
        <v>16</v>
      </c>
      <c r="B25" s="15" t="str">
        <f>IF(ISBLANK(D[[#This Row],[CLAS_GRONDSOORT]]),"ONWAAR","WAAR")</f>
        <v>WAAR</v>
      </c>
      <c r="C25" s="15" t="str">
        <f>IF(ISBLANK(D[[#This Row],[CLAS_VN_HOOFDNAAM]]),"ONWAAR","WAAR")</f>
        <v>ONWAAR</v>
      </c>
      <c r="D25" s="15" t="str">
        <f>IF(ISBLANK(D[[#This Row],[KV_GRONDSOORT]]),"ONWAAR","WAAR")</f>
        <v>ONWAAR</v>
      </c>
      <c r="E25" s="15" t="str">
        <f>IF(ISBLANK(D[[#This Row],[CPT_QNET]]),"ONWAAR","WAAR")</f>
        <v>ONWAAR</v>
      </c>
      <c r="F25" s="15" t="str">
        <f>IF(ISBLANK(D[[#This Row],[CRS_GRONDSOORT]]),"ONWAAR","WAAR")</f>
        <v>ONWAAR</v>
      </c>
      <c r="G25" s="15" t="str">
        <f>IF(ISBLANK(D[[#This Row],[SD_GRONDSOORT]]),"ONWAAR","WAAR")</f>
        <v>ONWAAR</v>
      </c>
      <c r="H25" s="15" t="str">
        <f>IF(ISBLANK(D[[#This Row],[DSS_GRONDSOORT]]),"ONWAAR","WAAR")</f>
        <v>ONWAAR</v>
      </c>
      <c r="I25" s="15" t="str">
        <f>IF(ISBLANK(D[[#This Row],[TXT_SS_GRONDSOORT]]),"ONWAAR","WAAR")</f>
        <v>WAAR</v>
      </c>
      <c r="J25" s="13" t="s">
        <v>1492</v>
      </c>
      <c r="L25" s="13" t="s">
        <v>1418</v>
      </c>
      <c r="M25" s="13" t="s">
        <v>1419</v>
      </c>
      <c r="P25" s="13" t="s">
        <v>1420</v>
      </c>
      <c r="V25" s="41">
        <v>136410</v>
      </c>
      <c r="W25" s="41">
        <v>416228.74</v>
      </c>
      <c r="X25" s="41">
        <v>8.56</v>
      </c>
      <c r="Y25" s="13" t="s">
        <v>1473</v>
      </c>
      <c r="Z25" s="13" t="s">
        <v>1422</v>
      </c>
      <c r="AA25" s="39">
        <v>45162</v>
      </c>
      <c r="AB25" s="13" t="s">
        <v>1474</v>
      </c>
      <c r="AC25" s="13" t="s">
        <v>1475</v>
      </c>
      <c r="AD25" s="13" t="s">
        <v>1425</v>
      </c>
      <c r="AE25" s="13" t="s">
        <v>1476</v>
      </c>
      <c r="AF25" s="13" t="s">
        <v>1427</v>
      </c>
      <c r="AG25" s="41">
        <v>1.06</v>
      </c>
      <c r="AI25" s="42">
        <v>5</v>
      </c>
      <c r="AJ25" s="13" t="s">
        <v>1428</v>
      </c>
      <c r="AK25" s="13" t="s">
        <v>1429</v>
      </c>
      <c r="AL25" s="41">
        <v>4.0599999999999996</v>
      </c>
      <c r="AM25" s="41">
        <v>3.66</v>
      </c>
      <c r="AN25" s="41">
        <v>4.5</v>
      </c>
      <c r="AO25" s="41">
        <v>4.9000000000000004</v>
      </c>
      <c r="AQ25" s="13" t="s">
        <v>1477</v>
      </c>
      <c r="AR25" s="13" t="s">
        <v>1431</v>
      </c>
      <c r="AS25" s="13" t="s">
        <v>1492</v>
      </c>
      <c r="AT25" s="13" t="s">
        <v>1425</v>
      </c>
      <c r="AU25" s="13" t="s">
        <v>1432</v>
      </c>
      <c r="AV25" s="39">
        <v>45279</v>
      </c>
      <c r="AW25" s="13" t="s">
        <v>1493</v>
      </c>
      <c r="AY25" s="41">
        <v>3.95</v>
      </c>
      <c r="AZ25" s="41">
        <v>15.7</v>
      </c>
      <c r="BA25" s="41">
        <v>9.9</v>
      </c>
      <c r="BB25" s="41">
        <v>58.7</v>
      </c>
      <c r="BP25" s="15"/>
      <c r="BQ25" s="15"/>
      <c r="BR25" s="15"/>
      <c r="BS25" s="15"/>
      <c r="NH25" s="13" t="s">
        <v>1494</v>
      </c>
      <c r="NI25" s="13" t="s">
        <v>1495</v>
      </c>
      <c r="NJ25" s="13" t="s">
        <v>1496</v>
      </c>
      <c r="NK25" s="13" t="s">
        <v>1454</v>
      </c>
      <c r="NL25" s="13" t="s">
        <v>1461</v>
      </c>
      <c r="NM25" s="39">
        <v>45182</v>
      </c>
      <c r="NN25" s="13" t="s">
        <v>1456</v>
      </c>
      <c r="NO25" s="13" t="s">
        <v>1497</v>
      </c>
      <c r="NP25" s="41">
        <v>3.95</v>
      </c>
      <c r="NQ25" s="41">
        <v>86.7</v>
      </c>
      <c r="NR25" s="41">
        <v>15.65</v>
      </c>
      <c r="NS25" s="41">
        <v>9.86</v>
      </c>
      <c r="NT25" s="41">
        <v>74.45</v>
      </c>
      <c r="NU25" s="41">
        <v>58.71</v>
      </c>
      <c r="NV25" s="41">
        <v>98.04</v>
      </c>
      <c r="NW25" s="41">
        <v>1.51</v>
      </c>
      <c r="NX25" s="44">
        <v>2523</v>
      </c>
      <c r="NY25" s="44">
        <v>21.3</v>
      </c>
      <c r="NZ25" s="44">
        <v>21.3</v>
      </c>
      <c r="OA25" s="44">
        <v>50</v>
      </c>
      <c r="OB25" s="44">
        <v>100</v>
      </c>
      <c r="OC25" s="41" t="s">
        <v>1463</v>
      </c>
      <c r="OD25" s="41" t="s">
        <v>1464</v>
      </c>
      <c r="OE25" s="41" t="s">
        <v>1465</v>
      </c>
      <c r="OF25" s="43">
        <v>399</v>
      </c>
      <c r="OG25" s="41" t="s">
        <v>1466</v>
      </c>
      <c r="OH25" s="41">
        <v>0.92</v>
      </c>
      <c r="OI25" s="41" t="s">
        <v>1467</v>
      </c>
      <c r="OJ25" s="41">
        <v>78.680000000000007</v>
      </c>
      <c r="OK25" s="41">
        <v>0.68</v>
      </c>
      <c r="OL25" s="41">
        <v>81.349999999999994</v>
      </c>
      <c r="OM25" s="41">
        <v>3.67</v>
      </c>
      <c r="ON25" s="41">
        <v>81.349999999999994</v>
      </c>
      <c r="OO25" s="41">
        <v>3.67</v>
      </c>
      <c r="OP25" s="43">
        <v>1</v>
      </c>
      <c r="OQ25" s="41">
        <v>1.68</v>
      </c>
      <c r="OR25" s="41">
        <v>3.93</v>
      </c>
      <c r="OS25" s="41" t="s">
        <v>1468</v>
      </c>
      <c r="OT25" s="41">
        <v>0.97</v>
      </c>
      <c r="OU25" s="41">
        <v>93.65</v>
      </c>
      <c r="OV25" s="41">
        <v>58.67</v>
      </c>
      <c r="OW25" s="41">
        <v>92.68</v>
      </c>
      <c r="OX25" s="41">
        <v>43</v>
      </c>
      <c r="OY25" s="41">
        <v>103.6</v>
      </c>
      <c r="OZ25" s="41">
        <v>49.99</v>
      </c>
      <c r="PA25" s="41">
        <v>94.73</v>
      </c>
      <c r="PB25" s="41">
        <v>59.34</v>
      </c>
      <c r="PC25" s="41">
        <v>2.27</v>
      </c>
      <c r="PD25" s="41">
        <v>111.1</v>
      </c>
      <c r="PE25" s="41">
        <v>46.05</v>
      </c>
      <c r="PF25" s="43">
        <v>25</v>
      </c>
      <c r="PG25" s="41">
        <v>16.25</v>
      </c>
      <c r="PH25" s="41">
        <v>0.34</v>
      </c>
      <c r="PI25" s="41">
        <v>0.36</v>
      </c>
    </row>
    <row r="26" spans="1:425">
      <c r="A26" s="14">
        <v>17</v>
      </c>
      <c r="B26" s="15" t="str">
        <f>IF(ISBLANK(D[[#This Row],[CLAS_GRONDSOORT]]),"ONWAAR","WAAR")</f>
        <v>WAAR</v>
      </c>
      <c r="C26" s="15" t="str">
        <f>IF(ISBLANK(D[[#This Row],[CLAS_VN_HOOFDNAAM]]),"ONWAAR","WAAR")</f>
        <v>ONWAAR</v>
      </c>
      <c r="D26" s="15" t="str">
        <f>IF(ISBLANK(D[[#This Row],[KV_GRONDSOORT]]),"ONWAAR","WAAR")</f>
        <v>ONWAAR</v>
      </c>
      <c r="E26" s="15" t="str">
        <f>IF(ISBLANK(D[[#This Row],[CPT_QNET]]),"ONWAAR","WAAR")</f>
        <v>ONWAAR</v>
      </c>
      <c r="F26" s="15" t="str">
        <f>IF(ISBLANK(D[[#This Row],[CRS_GRONDSOORT]]),"ONWAAR","WAAR")</f>
        <v>ONWAAR</v>
      </c>
      <c r="G26" s="15" t="str">
        <f>IF(ISBLANK(D[[#This Row],[SD_GRONDSOORT]]),"ONWAAR","WAAR")</f>
        <v>ONWAAR</v>
      </c>
      <c r="H26" s="15" t="str">
        <f>IF(ISBLANK(D[[#This Row],[DSS_GRONDSOORT]]),"ONWAAR","WAAR")</f>
        <v>ONWAAR</v>
      </c>
      <c r="I26" s="15" t="str">
        <f>IF(ISBLANK(D[[#This Row],[TXT_SS_GRONDSOORT]]),"ONWAAR","WAAR")</f>
        <v>ONWAAR</v>
      </c>
      <c r="J26" s="13" t="s">
        <v>1498</v>
      </c>
      <c r="L26" s="13" t="s">
        <v>1418</v>
      </c>
      <c r="M26" s="13" t="s">
        <v>1419</v>
      </c>
      <c r="P26" s="13" t="s">
        <v>1420</v>
      </c>
      <c r="V26" s="41">
        <v>136410</v>
      </c>
      <c r="W26" s="41">
        <v>416228.74</v>
      </c>
      <c r="X26" s="41">
        <v>8.56</v>
      </c>
      <c r="Y26" s="13" t="s">
        <v>1473</v>
      </c>
      <c r="Z26" s="13" t="s">
        <v>1422</v>
      </c>
      <c r="AA26" s="39">
        <v>45162</v>
      </c>
      <c r="AB26" s="13" t="s">
        <v>1474</v>
      </c>
      <c r="AC26" s="13" t="s">
        <v>1475</v>
      </c>
      <c r="AD26" s="13" t="s">
        <v>1425</v>
      </c>
      <c r="AE26" s="13" t="s">
        <v>1476</v>
      </c>
      <c r="AF26" s="13" t="s">
        <v>1427</v>
      </c>
      <c r="AG26" s="41">
        <v>1.06</v>
      </c>
      <c r="AI26" s="42">
        <v>6</v>
      </c>
      <c r="AJ26" s="13" t="s">
        <v>1428</v>
      </c>
      <c r="AK26" s="13" t="s">
        <v>1429</v>
      </c>
      <c r="AL26" s="41">
        <v>3.06</v>
      </c>
      <c r="AM26" s="41">
        <v>2.66</v>
      </c>
      <c r="AN26" s="41">
        <v>5.5</v>
      </c>
      <c r="AO26" s="41">
        <v>5.9</v>
      </c>
      <c r="AQ26" s="13" t="s">
        <v>1477</v>
      </c>
      <c r="AR26" s="13" t="s">
        <v>1431</v>
      </c>
      <c r="AS26" s="13" t="s">
        <v>1498</v>
      </c>
      <c r="AT26" s="13" t="s">
        <v>1425</v>
      </c>
      <c r="AU26" s="13" t="s">
        <v>1432</v>
      </c>
      <c r="AV26" s="39">
        <v>45279</v>
      </c>
      <c r="AW26" s="13" t="s">
        <v>1499</v>
      </c>
      <c r="AY26" s="41">
        <v>3.01</v>
      </c>
      <c r="AZ26" s="41">
        <v>17</v>
      </c>
      <c r="BA26" s="41">
        <v>11.7</v>
      </c>
      <c r="BB26" s="41">
        <v>44.9</v>
      </c>
      <c r="BP26" s="15"/>
      <c r="BQ26" s="15"/>
      <c r="BR26" s="15"/>
      <c r="BS26" s="15"/>
    </row>
    <row r="27" spans="1:425">
      <c r="A27" s="14">
        <v>18</v>
      </c>
      <c r="B27" s="15" t="str">
        <f>IF(ISBLANK(D[[#This Row],[CLAS_GRONDSOORT]]),"ONWAAR","WAAR")</f>
        <v>WAAR</v>
      </c>
      <c r="C27" s="15" t="str">
        <f>IF(ISBLANK(D[[#This Row],[CLAS_VN_HOOFDNAAM]]),"ONWAAR","WAAR")</f>
        <v>ONWAAR</v>
      </c>
      <c r="D27" s="15" t="str">
        <f>IF(ISBLANK(D[[#This Row],[KV_GRONDSOORT]]),"ONWAAR","WAAR")</f>
        <v>ONWAAR</v>
      </c>
      <c r="E27" s="15" t="str">
        <f>IF(ISBLANK(D[[#This Row],[CPT_QNET]]),"ONWAAR","WAAR")</f>
        <v>ONWAAR</v>
      </c>
      <c r="F27" s="15" t="str">
        <f>IF(ISBLANK(D[[#This Row],[CRS_GRONDSOORT]]),"ONWAAR","WAAR")</f>
        <v>ONWAAR</v>
      </c>
      <c r="G27" s="15" t="str">
        <f>IF(ISBLANK(D[[#This Row],[SD_GRONDSOORT]]),"ONWAAR","WAAR")</f>
        <v>ONWAAR</v>
      </c>
      <c r="H27" s="15" t="str">
        <f>IF(ISBLANK(D[[#This Row],[DSS_GRONDSOORT]]),"ONWAAR","WAAR")</f>
        <v>ONWAAR</v>
      </c>
      <c r="I27" s="15" t="str">
        <f>IF(ISBLANK(D[[#This Row],[TXT_SS_GRONDSOORT]]),"ONWAAR","WAAR")</f>
        <v>ONWAAR</v>
      </c>
      <c r="J27" s="13" t="s">
        <v>1500</v>
      </c>
      <c r="L27" s="13" t="s">
        <v>1418</v>
      </c>
      <c r="M27" s="13" t="s">
        <v>1419</v>
      </c>
      <c r="P27" s="13" t="s">
        <v>1420</v>
      </c>
      <c r="V27" s="41">
        <v>136410</v>
      </c>
      <c r="W27" s="41">
        <v>416228.74</v>
      </c>
      <c r="X27" s="41">
        <v>8.56</v>
      </c>
      <c r="Y27" s="13" t="s">
        <v>1473</v>
      </c>
      <c r="Z27" s="13" t="s">
        <v>1422</v>
      </c>
      <c r="AA27" s="39">
        <v>45162</v>
      </c>
      <c r="AB27" s="13" t="s">
        <v>1474</v>
      </c>
      <c r="AC27" s="13" t="s">
        <v>1475</v>
      </c>
      <c r="AD27" s="13" t="s">
        <v>1425</v>
      </c>
      <c r="AE27" s="13" t="s">
        <v>1476</v>
      </c>
      <c r="AF27" s="13" t="s">
        <v>1427</v>
      </c>
      <c r="AG27" s="41">
        <v>1.06</v>
      </c>
      <c r="AI27" s="42" t="s">
        <v>1501</v>
      </c>
      <c r="AJ27" s="13" t="s">
        <v>1428</v>
      </c>
      <c r="AK27" s="13" t="s">
        <v>1429</v>
      </c>
      <c r="AL27" s="41">
        <v>2.06</v>
      </c>
      <c r="AM27" s="41">
        <v>1.96</v>
      </c>
      <c r="AN27" s="41">
        <v>6.5</v>
      </c>
      <c r="AO27" s="41">
        <v>6.6</v>
      </c>
      <c r="AQ27" s="13" t="s">
        <v>1477</v>
      </c>
      <c r="AR27" s="13" t="s">
        <v>1431</v>
      </c>
      <c r="AS27" s="13" t="s">
        <v>1500</v>
      </c>
      <c r="AT27" s="13" t="s">
        <v>1425</v>
      </c>
      <c r="AU27" s="13" t="s">
        <v>1432</v>
      </c>
      <c r="AV27" s="39">
        <v>45279</v>
      </c>
      <c r="AW27" s="13" t="s">
        <v>1502</v>
      </c>
      <c r="AY27" s="41">
        <v>2</v>
      </c>
      <c r="AZ27" s="41">
        <v>18.8</v>
      </c>
      <c r="BA27" s="41">
        <v>14.7</v>
      </c>
      <c r="BB27" s="41">
        <v>28.3</v>
      </c>
      <c r="BP27" s="15"/>
      <c r="BQ27" s="15"/>
      <c r="BR27" s="15"/>
      <c r="BS27" s="15"/>
    </row>
    <row r="28" spans="1:425">
      <c r="A28" s="14">
        <v>19</v>
      </c>
      <c r="B28" s="15" t="str">
        <f>IF(ISBLANK(D[[#This Row],[CLAS_GRONDSOORT]]),"ONWAAR","WAAR")</f>
        <v>WAAR</v>
      </c>
      <c r="C28" s="15" t="str">
        <f>IF(ISBLANK(D[[#This Row],[CLAS_VN_HOOFDNAAM]]),"ONWAAR","WAAR")</f>
        <v>ONWAAR</v>
      </c>
      <c r="D28" s="15" t="str">
        <f>IF(ISBLANK(D[[#This Row],[KV_GRONDSOORT]]),"ONWAAR","WAAR")</f>
        <v>ONWAAR</v>
      </c>
      <c r="E28" s="15" t="str">
        <f>IF(ISBLANK(D[[#This Row],[CPT_QNET]]),"ONWAAR","WAAR")</f>
        <v>ONWAAR</v>
      </c>
      <c r="F28" s="15" t="str">
        <f>IF(ISBLANK(D[[#This Row],[CRS_GRONDSOORT]]),"ONWAAR","WAAR")</f>
        <v>ONWAAR</v>
      </c>
      <c r="G28" s="15" t="str">
        <f>IF(ISBLANK(D[[#This Row],[SD_GRONDSOORT]]),"ONWAAR","WAAR")</f>
        <v>ONWAAR</v>
      </c>
      <c r="H28" s="15" t="str">
        <f>IF(ISBLANK(D[[#This Row],[DSS_GRONDSOORT]]),"ONWAAR","WAAR")</f>
        <v>ONWAAR</v>
      </c>
      <c r="I28" s="15" t="str">
        <f>IF(ISBLANK(D[[#This Row],[TXT_SS_GRONDSOORT]]),"ONWAAR","WAAR")</f>
        <v>ONWAAR</v>
      </c>
      <c r="J28" s="13" t="s">
        <v>1503</v>
      </c>
      <c r="L28" s="13" t="s">
        <v>1418</v>
      </c>
      <c r="M28" s="13" t="s">
        <v>1419</v>
      </c>
      <c r="P28" s="13" t="s">
        <v>1420</v>
      </c>
      <c r="V28" s="41">
        <v>136410</v>
      </c>
      <c r="W28" s="41">
        <v>416228.74</v>
      </c>
      <c r="X28" s="41">
        <v>8.56</v>
      </c>
      <c r="Y28" s="13" t="s">
        <v>1473</v>
      </c>
      <c r="Z28" s="13" t="s">
        <v>1422</v>
      </c>
      <c r="AA28" s="39">
        <v>45162</v>
      </c>
      <c r="AB28" s="13" t="s">
        <v>1474</v>
      </c>
      <c r="AC28" s="13" t="s">
        <v>1475</v>
      </c>
      <c r="AD28" s="13" t="s">
        <v>1425</v>
      </c>
      <c r="AE28" s="13" t="s">
        <v>1476</v>
      </c>
      <c r="AF28" s="13" t="s">
        <v>1427</v>
      </c>
      <c r="AG28" s="41">
        <v>1.06</v>
      </c>
      <c r="AI28" s="42" t="s">
        <v>1504</v>
      </c>
      <c r="AJ28" s="13" t="s">
        <v>1428</v>
      </c>
      <c r="AK28" s="13" t="s">
        <v>1429</v>
      </c>
      <c r="AL28" s="41">
        <v>1.96</v>
      </c>
      <c r="AM28" s="41">
        <v>1.66</v>
      </c>
      <c r="AN28" s="41">
        <v>6.6</v>
      </c>
      <c r="AO28" s="41">
        <v>6.9</v>
      </c>
      <c r="AQ28" s="13" t="s">
        <v>1477</v>
      </c>
      <c r="AR28" s="13" t="s">
        <v>1431</v>
      </c>
      <c r="AS28" s="13" t="s">
        <v>1503</v>
      </c>
      <c r="AT28" s="13" t="s">
        <v>1425</v>
      </c>
      <c r="AU28" s="13" t="s">
        <v>1432</v>
      </c>
      <c r="AV28" s="39">
        <v>45279</v>
      </c>
      <c r="AW28" s="13" t="s">
        <v>1505</v>
      </c>
      <c r="AY28" s="41">
        <v>1.81</v>
      </c>
      <c r="AZ28" s="41"/>
      <c r="BA28" s="41"/>
      <c r="BB28" s="41"/>
      <c r="BP28" s="15"/>
      <c r="BQ28" s="15"/>
      <c r="BR28" s="15"/>
      <c r="BS28" s="15"/>
    </row>
    <row r="29" spans="1:425">
      <c r="A29" s="14">
        <v>20</v>
      </c>
      <c r="B29" s="15" t="str">
        <f>IF(ISBLANK(D[[#This Row],[CLAS_GRONDSOORT]]),"ONWAAR","WAAR")</f>
        <v>WAAR</v>
      </c>
      <c r="C29" s="15" t="str">
        <f>IF(ISBLANK(D[[#This Row],[CLAS_VN_HOOFDNAAM]]),"ONWAAR","WAAR")</f>
        <v>ONWAAR</v>
      </c>
      <c r="D29" s="15" t="str">
        <f>IF(ISBLANK(D[[#This Row],[KV_GRONDSOORT]]),"ONWAAR","WAAR")</f>
        <v>ONWAAR</v>
      </c>
      <c r="E29" s="15" t="str">
        <f>IF(ISBLANK(D[[#This Row],[CPT_QNET]]),"ONWAAR","WAAR")</f>
        <v>ONWAAR</v>
      </c>
      <c r="F29" s="15" t="str">
        <f>IF(ISBLANK(D[[#This Row],[CRS_GRONDSOORT]]),"ONWAAR","WAAR")</f>
        <v>ONWAAR</v>
      </c>
      <c r="G29" s="15" t="str">
        <f>IF(ISBLANK(D[[#This Row],[SD_GRONDSOORT]]),"ONWAAR","WAAR")</f>
        <v>ONWAAR</v>
      </c>
      <c r="H29" s="15" t="str">
        <f>IF(ISBLANK(D[[#This Row],[DSS_GRONDSOORT]]),"ONWAAR","WAAR")</f>
        <v>ONWAAR</v>
      </c>
      <c r="I29" s="15" t="str">
        <f>IF(ISBLANK(D[[#This Row],[TXT_SS_GRONDSOORT]]),"ONWAAR","WAAR")</f>
        <v>ONWAAR</v>
      </c>
      <c r="J29" s="13" t="s">
        <v>1506</v>
      </c>
      <c r="L29" s="13" t="s">
        <v>1418</v>
      </c>
      <c r="M29" s="13" t="s">
        <v>1419</v>
      </c>
      <c r="P29" s="13" t="s">
        <v>1420</v>
      </c>
      <c r="V29" s="41">
        <v>136410</v>
      </c>
      <c r="W29" s="41">
        <v>416228.74</v>
      </c>
      <c r="X29" s="41">
        <v>8.56</v>
      </c>
      <c r="Y29" s="13" t="s">
        <v>1473</v>
      </c>
      <c r="Z29" s="13" t="s">
        <v>1422</v>
      </c>
      <c r="AA29" s="39">
        <v>45162</v>
      </c>
      <c r="AB29" s="13" t="s">
        <v>1474</v>
      </c>
      <c r="AC29" s="13" t="s">
        <v>1475</v>
      </c>
      <c r="AD29" s="13" t="s">
        <v>1425</v>
      </c>
      <c r="AE29" s="13" t="s">
        <v>1476</v>
      </c>
      <c r="AF29" s="13" t="s">
        <v>1427</v>
      </c>
      <c r="AG29" s="41">
        <v>1.06</v>
      </c>
      <c r="AI29" s="42">
        <v>8</v>
      </c>
      <c r="AJ29" s="13" t="s">
        <v>1428</v>
      </c>
      <c r="AK29" s="13" t="s">
        <v>1429</v>
      </c>
      <c r="AL29" s="41">
        <v>1.06</v>
      </c>
      <c r="AM29" s="41">
        <v>0.66</v>
      </c>
      <c r="AN29" s="41">
        <v>7.5</v>
      </c>
      <c r="AO29" s="41">
        <v>7.9</v>
      </c>
      <c r="AQ29" s="13" t="s">
        <v>1477</v>
      </c>
      <c r="AR29" s="13" t="s">
        <v>1431</v>
      </c>
      <c r="AS29" s="13" t="s">
        <v>1506</v>
      </c>
      <c r="AT29" s="13" t="s">
        <v>1425</v>
      </c>
      <c r="AU29" s="13" t="s">
        <v>1432</v>
      </c>
      <c r="AV29" s="39">
        <v>45279</v>
      </c>
      <c r="AW29" s="13" t="s">
        <v>1507</v>
      </c>
      <c r="AY29" s="41">
        <v>0.91</v>
      </c>
      <c r="AZ29" s="41">
        <v>15.7</v>
      </c>
      <c r="BA29" s="41">
        <v>9.6999999999999993</v>
      </c>
      <c r="BB29" s="41">
        <v>61</v>
      </c>
      <c r="BP29" s="15"/>
      <c r="BQ29" s="15"/>
      <c r="BR29" s="15"/>
      <c r="BS29" s="15"/>
    </row>
    <row r="30" spans="1:425">
      <c r="A30" s="14">
        <v>21</v>
      </c>
      <c r="B30" s="15" t="str">
        <f>IF(ISBLANK(D[[#This Row],[CLAS_GRONDSOORT]]),"ONWAAR","WAAR")</f>
        <v>WAAR</v>
      </c>
      <c r="C30" s="15" t="str">
        <f>IF(ISBLANK(D[[#This Row],[CLAS_VN_HOOFDNAAM]]),"ONWAAR","WAAR")</f>
        <v>ONWAAR</v>
      </c>
      <c r="D30" s="15" t="str">
        <f>IF(ISBLANK(D[[#This Row],[KV_GRONDSOORT]]),"ONWAAR","WAAR")</f>
        <v>ONWAAR</v>
      </c>
      <c r="E30" s="15" t="str">
        <f>IF(ISBLANK(D[[#This Row],[CPT_QNET]]),"ONWAAR","WAAR")</f>
        <v>ONWAAR</v>
      </c>
      <c r="F30" s="15" t="str">
        <f>IF(ISBLANK(D[[#This Row],[CRS_GRONDSOORT]]),"ONWAAR","WAAR")</f>
        <v>ONWAAR</v>
      </c>
      <c r="G30" s="15" t="str">
        <f>IF(ISBLANK(D[[#This Row],[SD_GRONDSOORT]]),"ONWAAR","WAAR")</f>
        <v>ONWAAR</v>
      </c>
      <c r="H30" s="15" t="str">
        <f>IF(ISBLANK(D[[#This Row],[DSS_GRONDSOORT]]),"ONWAAR","WAAR")</f>
        <v>ONWAAR</v>
      </c>
      <c r="I30" s="15" t="str">
        <f>IF(ISBLANK(D[[#This Row],[TXT_SS_GRONDSOORT]]),"ONWAAR","WAAR")</f>
        <v>ONWAAR</v>
      </c>
      <c r="J30" s="13" t="s">
        <v>1508</v>
      </c>
      <c r="L30" s="13" t="s">
        <v>1418</v>
      </c>
      <c r="M30" s="13" t="s">
        <v>1419</v>
      </c>
      <c r="P30" s="13" t="s">
        <v>1420</v>
      </c>
      <c r="V30" s="41">
        <v>136410</v>
      </c>
      <c r="W30" s="41">
        <v>416228.74</v>
      </c>
      <c r="X30" s="41">
        <v>8.56</v>
      </c>
      <c r="Y30" s="13" t="s">
        <v>1473</v>
      </c>
      <c r="Z30" s="13" t="s">
        <v>1422</v>
      </c>
      <c r="AA30" s="39">
        <v>45162</v>
      </c>
      <c r="AB30" s="13" t="s">
        <v>1474</v>
      </c>
      <c r="AC30" s="13" t="s">
        <v>1475</v>
      </c>
      <c r="AD30" s="13" t="s">
        <v>1425</v>
      </c>
      <c r="AE30" s="13" t="s">
        <v>1476</v>
      </c>
      <c r="AF30" s="13" t="s">
        <v>1427</v>
      </c>
      <c r="AG30" s="41">
        <v>1.06</v>
      </c>
      <c r="AI30" s="42">
        <v>9</v>
      </c>
      <c r="AJ30" s="13" t="s">
        <v>1428</v>
      </c>
      <c r="AK30" s="13" t="s">
        <v>1429</v>
      </c>
      <c r="AL30" s="41">
        <v>0.06</v>
      </c>
      <c r="AM30" s="41">
        <v>-0.34</v>
      </c>
      <c r="AN30" s="41">
        <v>8.5</v>
      </c>
      <c r="AO30" s="41">
        <v>8.9</v>
      </c>
      <c r="AQ30" s="13" t="s">
        <v>1477</v>
      </c>
      <c r="AR30" s="13" t="s">
        <v>1431</v>
      </c>
      <c r="AS30" s="13" t="s">
        <v>1508</v>
      </c>
      <c r="AT30" s="13" t="s">
        <v>1425</v>
      </c>
      <c r="AU30" s="13" t="s">
        <v>1432</v>
      </c>
      <c r="AV30" s="39">
        <v>45279</v>
      </c>
      <c r="AW30" s="13" t="s">
        <v>1509</v>
      </c>
      <c r="AY30" s="41">
        <v>-0.14000000000000001</v>
      </c>
      <c r="AZ30" s="41">
        <v>17</v>
      </c>
      <c r="BA30" s="41">
        <v>10.4</v>
      </c>
      <c r="BB30" s="41">
        <v>64.400000000000006</v>
      </c>
      <c r="BP30" s="15"/>
      <c r="BQ30" s="15"/>
      <c r="BR30" s="15"/>
      <c r="BS30" s="15"/>
    </row>
    <row r="31" spans="1:425">
      <c r="A31" s="14">
        <v>22</v>
      </c>
      <c r="B31" s="15" t="str">
        <f>IF(ISBLANK(D[[#This Row],[CLAS_GRONDSOORT]]),"ONWAAR","WAAR")</f>
        <v>WAAR</v>
      </c>
      <c r="C31" s="15" t="str">
        <f>IF(ISBLANK(D[[#This Row],[CLAS_VN_HOOFDNAAM]]),"ONWAAR","WAAR")</f>
        <v>ONWAAR</v>
      </c>
      <c r="D31" s="15" t="str">
        <f>IF(ISBLANK(D[[#This Row],[KV_GRONDSOORT]]),"ONWAAR","WAAR")</f>
        <v>ONWAAR</v>
      </c>
      <c r="E31" s="15" t="str">
        <f>IF(ISBLANK(D[[#This Row],[CPT_QNET]]),"ONWAAR","WAAR")</f>
        <v>ONWAAR</v>
      </c>
      <c r="F31" s="15" t="str">
        <f>IF(ISBLANK(D[[#This Row],[CRS_GRONDSOORT]]),"ONWAAR","WAAR")</f>
        <v>WAAR</v>
      </c>
      <c r="G31" s="15" t="str">
        <f>IF(ISBLANK(D[[#This Row],[SD_GRONDSOORT]]),"ONWAAR","WAAR")</f>
        <v>ONWAAR</v>
      </c>
      <c r="H31" s="15" t="str">
        <f>IF(ISBLANK(D[[#This Row],[DSS_GRONDSOORT]]),"ONWAAR","WAAR")</f>
        <v>ONWAAR</v>
      </c>
      <c r="I31" s="15" t="str">
        <f>IF(ISBLANK(D[[#This Row],[TXT_SS_GRONDSOORT]]),"ONWAAR","WAAR")</f>
        <v>WAAR</v>
      </c>
      <c r="J31" s="13" t="s">
        <v>1510</v>
      </c>
      <c r="L31" s="13" t="s">
        <v>1418</v>
      </c>
      <c r="M31" s="13" t="s">
        <v>1419</v>
      </c>
      <c r="P31" s="13" t="s">
        <v>1420</v>
      </c>
      <c r="V31" s="41">
        <v>136410</v>
      </c>
      <c r="W31" s="41">
        <v>416228.74</v>
      </c>
      <c r="X31" s="41">
        <v>8.56</v>
      </c>
      <c r="Y31" s="13" t="s">
        <v>1473</v>
      </c>
      <c r="Z31" s="13" t="s">
        <v>1422</v>
      </c>
      <c r="AA31" s="39">
        <v>45162</v>
      </c>
      <c r="AB31" s="13" t="s">
        <v>1474</v>
      </c>
      <c r="AC31" s="13" t="s">
        <v>1475</v>
      </c>
      <c r="AD31" s="13" t="s">
        <v>1425</v>
      </c>
      <c r="AE31" s="13" t="s">
        <v>1476</v>
      </c>
      <c r="AF31" s="13" t="s">
        <v>1427</v>
      </c>
      <c r="AG31" s="41">
        <v>1.06</v>
      </c>
      <c r="AI31" s="42">
        <v>10</v>
      </c>
      <c r="AJ31" s="13" t="s">
        <v>1428</v>
      </c>
      <c r="AK31" s="13" t="s">
        <v>1429</v>
      </c>
      <c r="AL31" s="41">
        <v>-0.44</v>
      </c>
      <c r="AM31" s="41">
        <v>-0.84</v>
      </c>
      <c r="AN31" s="41">
        <v>9</v>
      </c>
      <c r="AO31" s="41">
        <v>9.4</v>
      </c>
      <c r="AQ31" s="13" t="s">
        <v>1477</v>
      </c>
      <c r="AR31" s="13" t="s">
        <v>1431</v>
      </c>
      <c r="AS31" s="13" t="s">
        <v>1510</v>
      </c>
      <c r="AT31" s="13" t="s">
        <v>1425</v>
      </c>
      <c r="AU31" s="13" t="s">
        <v>1432</v>
      </c>
      <c r="AV31" s="39">
        <v>45279</v>
      </c>
      <c r="AW31" s="13" t="s">
        <v>1493</v>
      </c>
      <c r="AY31" s="41">
        <v>-0.56000000000000005</v>
      </c>
      <c r="AZ31" s="41">
        <v>17.5</v>
      </c>
      <c r="BA31" s="41">
        <v>12.3</v>
      </c>
      <c r="BB31" s="41">
        <v>41.8</v>
      </c>
      <c r="BP31" s="15"/>
      <c r="BQ31" s="15"/>
      <c r="BR31" s="15"/>
      <c r="BS31" s="15"/>
      <c r="EA31" s="13" t="s">
        <v>1511</v>
      </c>
      <c r="EB31" s="13" t="s">
        <v>1512</v>
      </c>
      <c r="EC31" s="13" t="s">
        <v>1513</v>
      </c>
      <c r="ED31" s="13" t="s">
        <v>1454</v>
      </c>
      <c r="EE31" s="13" t="s">
        <v>1455</v>
      </c>
      <c r="EF31" s="39">
        <v>45176</v>
      </c>
      <c r="EG31" s="13" t="s">
        <v>1456</v>
      </c>
      <c r="EI31" s="41">
        <v>-0.52</v>
      </c>
      <c r="EJ31" s="41">
        <v>147.80000000000001</v>
      </c>
      <c r="EK31" s="41">
        <v>16.82</v>
      </c>
      <c r="EL31" s="41">
        <v>11.46</v>
      </c>
      <c r="EM31" s="41">
        <v>46.81</v>
      </c>
      <c r="EN31" s="41">
        <v>29.79</v>
      </c>
      <c r="EO31" s="41">
        <v>97.46</v>
      </c>
      <c r="EP31" s="13">
        <v>21.7</v>
      </c>
      <c r="EQ31" s="13">
        <v>19.8</v>
      </c>
      <c r="ER31" s="13">
        <v>65.349999999999994</v>
      </c>
      <c r="ES31" s="41">
        <v>19</v>
      </c>
      <c r="ET31" s="41">
        <v>18.82</v>
      </c>
      <c r="EU31" s="41">
        <v>13.73</v>
      </c>
      <c r="EV31" s="13">
        <v>0.5</v>
      </c>
      <c r="EW31" s="44">
        <v>-0.2</v>
      </c>
      <c r="EX31" s="13">
        <v>16</v>
      </c>
      <c r="EY31" s="41">
        <v>875.9</v>
      </c>
      <c r="EZ31" s="41">
        <v>737.4</v>
      </c>
      <c r="FA31" s="41">
        <v>526.20000000000005</v>
      </c>
      <c r="FB31" s="41">
        <v>295.60000000000002</v>
      </c>
      <c r="FC31" s="41">
        <v>1446</v>
      </c>
      <c r="FD31" s="41">
        <v>2.67</v>
      </c>
      <c r="FE31" s="41">
        <v>217.4</v>
      </c>
      <c r="FF31" s="41">
        <v>9.51</v>
      </c>
      <c r="FG31" s="41">
        <v>1050.5</v>
      </c>
      <c r="FH31" s="45">
        <v>8.0999999999999996E-3</v>
      </c>
      <c r="FI31" s="45">
        <v>0.1232</v>
      </c>
      <c r="FJ31" s="45">
        <v>4.1000000000000003E-3</v>
      </c>
      <c r="NH31" s="13" t="s">
        <v>1514</v>
      </c>
      <c r="NI31" s="13" t="s">
        <v>1515</v>
      </c>
      <c r="NJ31" s="13" t="s">
        <v>1516</v>
      </c>
      <c r="NK31" s="13" t="s">
        <v>1454</v>
      </c>
      <c r="NL31" s="13" t="s">
        <v>1461</v>
      </c>
      <c r="NM31" s="39">
        <v>45190</v>
      </c>
      <c r="NN31" s="13" t="s">
        <v>1456</v>
      </c>
      <c r="NP31" s="41">
        <v>-0.56000000000000005</v>
      </c>
      <c r="NQ31" s="41">
        <v>147.80000000000001</v>
      </c>
      <c r="NR31" s="41">
        <v>17.45</v>
      </c>
      <c r="NS31" s="41">
        <v>12.31</v>
      </c>
      <c r="NT31" s="41">
        <v>39.130000000000003</v>
      </c>
      <c r="NU31" s="41">
        <v>41.78</v>
      </c>
      <c r="NV31" s="41">
        <v>100.98</v>
      </c>
      <c r="NW31" s="41">
        <v>1.08</v>
      </c>
      <c r="NX31" s="44">
        <v>2609</v>
      </c>
      <c r="NY31" s="44">
        <v>21.3</v>
      </c>
      <c r="NZ31" s="44">
        <v>21.3</v>
      </c>
      <c r="OA31" s="44">
        <v>50</v>
      </c>
      <c r="OB31" s="44">
        <v>100</v>
      </c>
      <c r="OC31" s="41" t="s">
        <v>1463</v>
      </c>
      <c r="OD31" s="41" t="s">
        <v>1464</v>
      </c>
      <c r="OE31" s="41" t="s">
        <v>1465</v>
      </c>
      <c r="OF31" s="43">
        <v>300</v>
      </c>
      <c r="OG31" s="41" t="s">
        <v>1466</v>
      </c>
      <c r="OH31" s="41">
        <v>0.59</v>
      </c>
      <c r="OI31" s="41" t="s">
        <v>1467</v>
      </c>
      <c r="OJ31" s="41">
        <v>85.75</v>
      </c>
      <c r="OK31" s="41">
        <v>0.75</v>
      </c>
      <c r="OL31" s="41">
        <v>113.7</v>
      </c>
      <c r="OM31" s="41">
        <v>29.61</v>
      </c>
      <c r="ON31" s="41">
        <v>113.7</v>
      </c>
      <c r="OO31" s="41">
        <v>29.61</v>
      </c>
      <c r="OP31" s="43">
        <v>1</v>
      </c>
      <c r="OQ31" s="41">
        <v>4.0199999999999996</v>
      </c>
      <c r="OR31" s="41">
        <v>8.26</v>
      </c>
      <c r="OS31" s="41" t="s">
        <v>1468</v>
      </c>
      <c r="OT31" s="41">
        <v>0.92</v>
      </c>
      <c r="OU31" s="41">
        <v>105.1</v>
      </c>
      <c r="OV31" s="41">
        <v>52.9</v>
      </c>
      <c r="OW31" s="41">
        <v>102.2</v>
      </c>
      <c r="OX31" s="41">
        <v>57.84</v>
      </c>
      <c r="OY31" s="41">
        <v>98.59</v>
      </c>
      <c r="OZ31" s="41">
        <v>50.7</v>
      </c>
      <c r="PA31" s="41">
        <v>103.6</v>
      </c>
      <c r="PB31" s="41">
        <v>58.95</v>
      </c>
      <c r="PC31" s="41">
        <v>7.46</v>
      </c>
      <c r="PD31" s="41">
        <v>91.76</v>
      </c>
      <c r="PE31" s="41">
        <v>43.57</v>
      </c>
      <c r="PF31" s="43">
        <v>25</v>
      </c>
      <c r="PG31" s="41">
        <v>8.9700000000000006</v>
      </c>
      <c r="PH31" s="41">
        <v>0.33</v>
      </c>
      <c r="PI31" s="41">
        <v>0.34</v>
      </c>
    </row>
    <row r="32" spans="1:425">
      <c r="A32" s="14">
        <v>23</v>
      </c>
      <c r="B32" s="15" t="str">
        <f>IF(ISBLANK(D[[#This Row],[CLAS_GRONDSOORT]]),"ONWAAR","WAAR")</f>
        <v>WAAR</v>
      </c>
      <c r="C32" s="15" t="str">
        <f>IF(ISBLANK(D[[#This Row],[CLAS_VN_HOOFDNAAM]]),"ONWAAR","WAAR")</f>
        <v>ONWAAR</v>
      </c>
      <c r="D32" s="15" t="str">
        <f>IF(ISBLANK(D[[#This Row],[KV_GRONDSOORT]]),"ONWAAR","WAAR")</f>
        <v>ONWAAR</v>
      </c>
      <c r="E32" s="15" t="str">
        <f>IF(ISBLANK(D[[#This Row],[CPT_QNET]]),"ONWAAR","WAAR")</f>
        <v>ONWAAR</v>
      </c>
      <c r="F32" s="15" t="str">
        <f>IF(ISBLANK(D[[#This Row],[CRS_GRONDSOORT]]),"ONWAAR","WAAR")</f>
        <v>ONWAAR</v>
      </c>
      <c r="G32" s="15" t="str">
        <f>IF(ISBLANK(D[[#This Row],[SD_GRONDSOORT]]),"ONWAAR","WAAR")</f>
        <v>ONWAAR</v>
      </c>
      <c r="H32" s="15" t="str">
        <f>IF(ISBLANK(D[[#This Row],[DSS_GRONDSOORT]]),"ONWAAR","WAAR")</f>
        <v>ONWAAR</v>
      </c>
      <c r="I32" s="15" t="str">
        <f>IF(ISBLANK(D[[#This Row],[TXT_SS_GRONDSOORT]]),"ONWAAR","WAAR")</f>
        <v>ONWAAR</v>
      </c>
      <c r="J32" s="13" t="s">
        <v>1517</v>
      </c>
      <c r="L32" s="13" t="s">
        <v>1418</v>
      </c>
      <c r="M32" s="13" t="s">
        <v>1419</v>
      </c>
      <c r="P32" s="13" t="s">
        <v>1420</v>
      </c>
      <c r="V32" s="41">
        <v>136410</v>
      </c>
      <c r="W32" s="41">
        <v>416228.74</v>
      </c>
      <c r="X32" s="41">
        <v>8.56</v>
      </c>
      <c r="Y32" s="13" t="s">
        <v>1473</v>
      </c>
      <c r="Z32" s="13" t="s">
        <v>1422</v>
      </c>
      <c r="AA32" s="39">
        <v>45162</v>
      </c>
      <c r="AB32" s="13" t="s">
        <v>1474</v>
      </c>
      <c r="AC32" s="13" t="s">
        <v>1475</v>
      </c>
      <c r="AD32" s="13" t="s">
        <v>1425</v>
      </c>
      <c r="AE32" s="13" t="s">
        <v>1476</v>
      </c>
      <c r="AF32" s="13" t="s">
        <v>1427</v>
      </c>
      <c r="AG32" s="41">
        <v>1.06</v>
      </c>
      <c r="AI32" s="42">
        <v>11</v>
      </c>
      <c r="AJ32" s="13" t="s">
        <v>1428</v>
      </c>
      <c r="AK32" s="13" t="s">
        <v>1429</v>
      </c>
      <c r="AL32" s="41">
        <v>-0.94</v>
      </c>
      <c r="AM32" s="41">
        <v>-1.34</v>
      </c>
      <c r="AN32" s="41">
        <v>9.5</v>
      </c>
      <c r="AO32" s="41">
        <v>9.9</v>
      </c>
      <c r="AQ32" s="13" t="s">
        <v>1477</v>
      </c>
      <c r="AR32" s="13" t="s">
        <v>1431</v>
      </c>
      <c r="AS32" s="13" t="s">
        <v>1517</v>
      </c>
      <c r="AT32" s="13" t="s">
        <v>1425</v>
      </c>
      <c r="AU32" s="13" t="s">
        <v>1432</v>
      </c>
      <c r="AV32" s="39">
        <v>45279</v>
      </c>
      <c r="AW32" s="13" t="s">
        <v>1518</v>
      </c>
      <c r="AY32" s="41">
        <v>-1.1399999999999999</v>
      </c>
      <c r="AZ32" s="41"/>
      <c r="BA32" s="41"/>
      <c r="BB32" s="41"/>
      <c r="BP32" s="15"/>
      <c r="BQ32" s="15"/>
      <c r="BR32" s="15"/>
      <c r="BS32" s="15"/>
    </row>
    <row r="33" spans="1:425">
      <c r="A33" s="14">
        <v>24</v>
      </c>
      <c r="B33" s="15" t="str">
        <f>IF(ISBLANK(D[[#This Row],[CLAS_GRONDSOORT]]),"ONWAAR","WAAR")</f>
        <v>WAAR</v>
      </c>
      <c r="C33" s="15" t="str">
        <f>IF(ISBLANK(D[[#This Row],[CLAS_VN_HOOFDNAAM]]),"ONWAAR","WAAR")</f>
        <v>ONWAAR</v>
      </c>
      <c r="D33" s="15" t="str">
        <f>IF(ISBLANK(D[[#This Row],[KV_GRONDSOORT]]),"ONWAAR","WAAR")</f>
        <v>ONWAAR</v>
      </c>
      <c r="E33" s="15" t="str">
        <f>IF(ISBLANK(D[[#This Row],[CPT_QNET]]),"ONWAAR","WAAR")</f>
        <v>ONWAAR</v>
      </c>
      <c r="F33" s="15" t="str">
        <f>IF(ISBLANK(D[[#This Row],[CRS_GRONDSOORT]]),"ONWAAR","WAAR")</f>
        <v>ONWAAR</v>
      </c>
      <c r="G33" s="15" t="str">
        <f>IF(ISBLANK(D[[#This Row],[SD_GRONDSOORT]]),"ONWAAR","WAAR")</f>
        <v>ONWAAR</v>
      </c>
      <c r="H33" s="15" t="str">
        <f>IF(ISBLANK(D[[#This Row],[DSS_GRONDSOORT]]),"ONWAAR","WAAR")</f>
        <v>ONWAAR</v>
      </c>
      <c r="I33" s="15" t="str">
        <f>IF(ISBLANK(D[[#This Row],[TXT_SS_GRONDSOORT]]),"ONWAAR","WAAR")</f>
        <v>ONWAAR</v>
      </c>
      <c r="J33" s="13" t="s">
        <v>1519</v>
      </c>
      <c r="L33" s="13" t="s">
        <v>1418</v>
      </c>
      <c r="M33" s="13" t="s">
        <v>1419</v>
      </c>
      <c r="P33" s="13" t="s">
        <v>1420</v>
      </c>
      <c r="V33" s="41">
        <v>136410</v>
      </c>
      <c r="W33" s="41">
        <v>416228.74</v>
      </c>
      <c r="X33" s="41">
        <v>8.56</v>
      </c>
      <c r="Y33" s="13" t="s">
        <v>1473</v>
      </c>
      <c r="Z33" s="13" t="s">
        <v>1422</v>
      </c>
      <c r="AA33" s="39">
        <v>45162</v>
      </c>
      <c r="AB33" s="13" t="s">
        <v>1474</v>
      </c>
      <c r="AC33" s="13" t="s">
        <v>1475</v>
      </c>
      <c r="AD33" s="13" t="s">
        <v>1425</v>
      </c>
      <c r="AE33" s="13" t="s">
        <v>1476</v>
      </c>
      <c r="AF33" s="13" t="s">
        <v>1427</v>
      </c>
      <c r="AG33" s="41">
        <v>1.06</v>
      </c>
      <c r="AI33" s="42">
        <v>12</v>
      </c>
      <c r="AJ33" s="13" t="s">
        <v>1428</v>
      </c>
      <c r="AK33" s="13" t="s">
        <v>1429</v>
      </c>
      <c r="AL33" s="41">
        <v>-1.44</v>
      </c>
      <c r="AM33" s="41">
        <v>-1.84</v>
      </c>
      <c r="AN33" s="41">
        <v>10</v>
      </c>
      <c r="AO33" s="41">
        <v>10.4</v>
      </c>
      <c r="AQ33" s="13" t="s">
        <v>1477</v>
      </c>
      <c r="AR33" s="13" t="s">
        <v>1431</v>
      </c>
      <c r="AS33" s="13" t="s">
        <v>1519</v>
      </c>
      <c r="AT33" s="13" t="s">
        <v>1425</v>
      </c>
      <c r="AU33" s="13" t="s">
        <v>1432</v>
      </c>
      <c r="AV33" s="39">
        <v>45279</v>
      </c>
      <c r="AW33" s="13" t="s">
        <v>1520</v>
      </c>
      <c r="AY33" s="41">
        <v>-1.64</v>
      </c>
      <c r="AZ33" s="41"/>
      <c r="BA33" s="41"/>
      <c r="BB33" s="41"/>
      <c r="BP33" s="15"/>
      <c r="BQ33" s="15"/>
      <c r="BR33" s="15"/>
      <c r="BS33" s="15"/>
    </row>
    <row r="34" spans="1:425">
      <c r="A34" s="14">
        <v>25</v>
      </c>
      <c r="B34" s="15" t="str">
        <f>IF(ISBLANK(D[[#This Row],[CLAS_GRONDSOORT]]),"ONWAAR","WAAR")</f>
        <v>WAAR</v>
      </c>
      <c r="C34" s="15" t="str">
        <f>IF(ISBLANK(D[[#This Row],[CLAS_VN_HOOFDNAAM]]),"ONWAAR","WAAR")</f>
        <v>ONWAAR</v>
      </c>
      <c r="D34" s="15" t="str">
        <f>IF(ISBLANK(D[[#This Row],[KV_GRONDSOORT]]),"ONWAAR","WAAR")</f>
        <v>WAAR</v>
      </c>
      <c r="E34" s="15" t="str">
        <f>IF(ISBLANK(D[[#This Row],[CPT_QNET]]),"ONWAAR","WAAR")</f>
        <v>ONWAAR</v>
      </c>
      <c r="F34" s="15" t="str">
        <f>IF(ISBLANK(D[[#This Row],[CRS_GRONDSOORT]]),"ONWAAR","WAAR")</f>
        <v>ONWAAR</v>
      </c>
      <c r="G34" s="15" t="str">
        <f>IF(ISBLANK(D[[#This Row],[SD_GRONDSOORT]]),"ONWAAR","WAAR")</f>
        <v>ONWAAR</v>
      </c>
      <c r="H34" s="15" t="str">
        <f>IF(ISBLANK(D[[#This Row],[DSS_GRONDSOORT]]),"ONWAAR","WAAR")</f>
        <v>ONWAAR</v>
      </c>
      <c r="I34" s="15" t="str">
        <f>IF(ISBLANK(D[[#This Row],[TXT_SS_GRONDSOORT]]),"ONWAAR","WAAR")</f>
        <v>ONWAAR</v>
      </c>
      <c r="J34" s="13" t="s">
        <v>1521</v>
      </c>
      <c r="L34" s="13" t="s">
        <v>1418</v>
      </c>
      <c r="M34" s="13" t="s">
        <v>1419</v>
      </c>
      <c r="P34" s="13" t="s">
        <v>1420</v>
      </c>
      <c r="V34" s="41">
        <v>136410</v>
      </c>
      <c r="W34" s="41">
        <v>416228.74</v>
      </c>
      <c r="X34" s="41">
        <v>8.56</v>
      </c>
      <c r="Y34" s="13" t="s">
        <v>1473</v>
      </c>
      <c r="Z34" s="13" t="s">
        <v>1422</v>
      </c>
      <c r="AA34" s="39">
        <v>45162</v>
      </c>
      <c r="AB34" s="13" t="s">
        <v>1474</v>
      </c>
      <c r="AC34" s="13" t="s">
        <v>1475</v>
      </c>
      <c r="AD34" s="13" t="s">
        <v>1425</v>
      </c>
      <c r="AE34" s="13" t="s">
        <v>1476</v>
      </c>
      <c r="AF34" s="13" t="s">
        <v>1427</v>
      </c>
      <c r="AG34" s="41">
        <v>1.06</v>
      </c>
      <c r="AI34" s="42">
        <v>13</v>
      </c>
      <c r="AJ34" s="13" t="s">
        <v>1428</v>
      </c>
      <c r="AK34" s="13" t="s">
        <v>1429</v>
      </c>
      <c r="AL34" s="41">
        <v>-1.94</v>
      </c>
      <c r="AM34" s="41">
        <v>-2.34</v>
      </c>
      <c r="AN34" s="41">
        <v>10.5</v>
      </c>
      <c r="AO34" s="41">
        <v>10.9</v>
      </c>
      <c r="AQ34" s="13" t="s">
        <v>1477</v>
      </c>
      <c r="AR34" s="13" t="s">
        <v>1431</v>
      </c>
      <c r="AS34" s="13" t="s">
        <v>1521</v>
      </c>
      <c r="AT34" s="13" t="s">
        <v>1425</v>
      </c>
      <c r="AU34" s="13" t="s">
        <v>1432</v>
      </c>
      <c r="AV34" s="39">
        <v>45279</v>
      </c>
      <c r="AW34" s="13" t="s">
        <v>1522</v>
      </c>
      <c r="AY34" s="41">
        <v>-2.14</v>
      </c>
      <c r="AZ34" s="41"/>
      <c r="BA34" s="41"/>
      <c r="BB34" s="41"/>
      <c r="BP34" s="15"/>
      <c r="BQ34" s="15"/>
      <c r="BR34" s="15"/>
      <c r="BS34" s="15"/>
      <c r="CE34" s="13" t="s">
        <v>1523</v>
      </c>
      <c r="CF34" s="13" t="s">
        <v>1431</v>
      </c>
      <c r="CG34" s="13" t="s">
        <v>1521</v>
      </c>
      <c r="CH34" s="13" t="s">
        <v>1425</v>
      </c>
      <c r="CI34" s="13" t="s">
        <v>1524</v>
      </c>
      <c r="CJ34" s="39">
        <v>45212</v>
      </c>
      <c r="CK34" s="13" t="s">
        <v>1525</v>
      </c>
      <c r="CM34" s="13">
        <v>308</v>
      </c>
      <c r="CN34" s="13">
        <v>305</v>
      </c>
      <c r="CO34" s="41">
        <v>0</v>
      </c>
      <c r="CP34" s="41">
        <v>97.62</v>
      </c>
      <c r="CQ34" s="41">
        <v>1.38</v>
      </c>
      <c r="CR34" s="41">
        <v>100</v>
      </c>
      <c r="CS34" s="41">
        <v>100</v>
      </c>
      <c r="CT34" s="41">
        <v>100</v>
      </c>
      <c r="CU34" s="41">
        <v>100</v>
      </c>
      <c r="CV34" s="41">
        <v>100</v>
      </c>
      <c r="CW34" s="41">
        <v>100</v>
      </c>
      <c r="CX34" s="41">
        <v>99.85</v>
      </c>
      <c r="CY34" s="41">
        <v>96.02</v>
      </c>
      <c r="CZ34" s="41">
        <v>24.06</v>
      </c>
      <c r="DA34" s="41">
        <v>7.51</v>
      </c>
      <c r="DB34" s="41">
        <v>3.3</v>
      </c>
      <c r="DC34" s="41">
        <v>2.38</v>
      </c>
      <c r="DD34" s="41">
        <v>1.7</v>
      </c>
      <c r="DE34" s="41">
        <v>1.56</v>
      </c>
      <c r="DF34" s="41">
        <v>1.5</v>
      </c>
      <c r="DG34" s="41">
        <v>1</v>
      </c>
      <c r="DH34" s="13">
        <v>349</v>
      </c>
      <c r="DI34" s="13">
        <v>328</v>
      </c>
      <c r="DJ34" s="13">
        <v>308</v>
      </c>
      <c r="DK34" s="13">
        <v>200</v>
      </c>
      <c r="DL34" s="13">
        <v>1.65</v>
      </c>
    </row>
    <row r="35" spans="1:425">
      <c r="A35" s="14">
        <v>26</v>
      </c>
      <c r="B35" s="15" t="str">
        <f>IF(ISBLANK(D[[#This Row],[CLAS_GRONDSOORT]]),"ONWAAR","WAAR")</f>
        <v>WAAR</v>
      </c>
      <c r="C35" s="15" t="str">
        <f>IF(ISBLANK(D[[#This Row],[CLAS_VN_HOOFDNAAM]]),"ONWAAR","WAAR")</f>
        <v>ONWAAR</v>
      </c>
      <c r="D35" s="15" t="str">
        <f>IF(ISBLANK(D[[#This Row],[KV_GRONDSOORT]]),"ONWAAR","WAAR")</f>
        <v>ONWAAR</v>
      </c>
      <c r="E35" s="15" t="str">
        <f>IF(ISBLANK(D[[#This Row],[CPT_QNET]]),"ONWAAR","WAAR")</f>
        <v>ONWAAR</v>
      </c>
      <c r="F35" s="15" t="str">
        <f>IF(ISBLANK(D[[#This Row],[CRS_GRONDSOORT]]),"ONWAAR","WAAR")</f>
        <v>ONWAAR</v>
      </c>
      <c r="G35" s="15" t="str">
        <f>IF(ISBLANK(D[[#This Row],[SD_GRONDSOORT]]),"ONWAAR","WAAR")</f>
        <v>ONWAAR</v>
      </c>
      <c r="H35" s="15" t="str">
        <f>IF(ISBLANK(D[[#This Row],[DSS_GRONDSOORT]]),"ONWAAR","WAAR")</f>
        <v>ONWAAR</v>
      </c>
      <c r="I35" s="15" t="str">
        <f>IF(ISBLANK(D[[#This Row],[TXT_SS_GRONDSOORT]]),"ONWAAR","WAAR")</f>
        <v>ONWAAR</v>
      </c>
      <c r="J35" s="13" t="s">
        <v>1526</v>
      </c>
      <c r="L35" s="13" t="s">
        <v>1418</v>
      </c>
      <c r="M35" s="13" t="s">
        <v>1419</v>
      </c>
      <c r="P35" s="13" t="s">
        <v>1420</v>
      </c>
      <c r="V35" s="41">
        <v>136410</v>
      </c>
      <c r="W35" s="41">
        <v>416228.74</v>
      </c>
      <c r="X35" s="41">
        <v>8.56</v>
      </c>
      <c r="Y35" s="13" t="s">
        <v>1473</v>
      </c>
      <c r="Z35" s="13" t="s">
        <v>1422</v>
      </c>
      <c r="AA35" s="39">
        <v>45162</v>
      </c>
      <c r="AB35" s="13" t="s">
        <v>1474</v>
      </c>
      <c r="AC35" s="13" t="s">
        <v>1475</v>
      </c>
      <c r="AD35" s="13" t="s">
        <v>1425</v>
      </c>
      <c r="AE35" s="13" t="s">
        <v>1476</v>
      </c>
      <c r="AF35" s="13" t="s">
        <v>1427</v>
      </c>
      <c r="AG35" s="41">
        <v>1.06</v>
      </c>
      <c r="AI35" s="42" t="s">
        <v>1527</v>
      </c>
      <c r="AJ35" s="13" t="s">
        <v>1428</v>
      </c>
      <c r="AK35" s="13" t="s">
        <v>1429</v>
      </c>
      <c r="AL35" s="41">
        <v>-8.44</v>
      </c>
      <c r="AM35" s="41">
        <v>-8.66</v>
      </c>
      <c r="AN35" s="41">
        <v>17</v>
      </c>
      <c r="AO35" s="41">
        <v>17.22</v>
      </c>
      <c r="AQ35" s="13" t="s">
        <v>1477</v>
      </c>
      <c r="AR35" s="13" t="s">
        <v>1431</v>
      </c>
      <c r="AS35" s="13" t="s">
        <v>1526</v>
      </c>
      <c r="AT35" s="13" t="s">
        <v>1425</v>
      </c>
      <c r="AU35" s="13" t="s">
        <v>1432</v>
      </c>
      <c r="AV35" s="39">
        <v>45279</v>
      </c>
      <c r="AW35" s="13" t="s">
        <v>1528</v>
      </c>
      <c r="AY35" s="41">
        <v>-8.73</v>
      </c>
      <c r="AZ35" s="41">
        <v>18.8</v>
      </c>
      <c r="BA35" s="41">
        <v>14.2</v>
      </c>
      <c r="BB35" s="41">
        <v>32.200000000000003</v>
      </c>
      <c r="BP35" s="15"/>
      <c r="BQ35" s="15"/>
      <c r="BR35" s="15"/>
      <c r="BS35" s="15"/>
    </row>
    <row r="36" spans="1:425">
      <c r="A36" s="14">
        <v>27</v>
      </c>
      <c r="B36" s="15" t="str">
        <f>IF(ISBLANK(D[[#This Row],[CLAS_GRONDSOORT]]),"ONWAAR","WAAR")</f>
        <v>WAAR</v>
      </c>
      <c r="C36" s="15" t="str">
        <f>IF(ISBLANK(D[[#This Row],[CLAS_VN_HOOFDNAAM]]),"ONWAAR","WAAR")</f>
        <v>ONWAAR</v>
      </c>
      <c r="D36" s="15" t="str">
        <f>IF(ISBLANK(D[[#This Row],[KV_GRONDSOORT]]),"ONWAAR","WAAR")</f>
        <v>WAAR</v>
      </c>
      <c r="E36" s="15" t="str">
        <f>IF(ISBLANK(D[[#This Row],[CPT_QNET]]),"ONWAAR","WAAR")</f>
        <v>ONWAAR</v>
      </c>
      <c r="F36" s="15" t="str">
        <f>IF(ISBLANK(D[[#This Row],[CRS_GRONDSOORT]]),"ONWAAR","WAAR")</f>
        <v>ONWAAR</v>
      </c>
      <c r="G36" s="15" t="str">
        <f>IF(ISBLANK(D[[#This Row],[SD_GRONDSOORT]]),"ONWAAR","WAAR")</f>
        <v>ONWAAR</v>
      </c>
      <c r="H36" s="15" t="str">
        <f>IF(ISBLANK(D[[#This Row],[DSS_GRONDSOORT]]),"ONWAAR","WAAR")</f>
        <v>ONWAAR</v>
      </c>
      <c r="I36" s="15" t="str">
        <f>IF(ISBLANK(D[[#This Row],[TXT_SS_GRONDSOORT]]),"ONWAAR","WAAR")</f>
        <v>ONWAAR</v>
      </c>
      <c r="J36" s="13" t="s">
        <v>1529</v>
      </c>
      <c r="L36" s="13" t="s">
        <v>1418</v>
      </c>
      <c r="M36" s="13" t="s">
        <v>1419</v>
      </c>
      <c r="P36" s="13" t="s">
        <v>1420</v>
      </c>
      <c r="V36" s="41">
        <v>136410</v>
      </c>
      <c r="W36" s="41">
        <v>416228.74</v>
      </c>
      <c r="X36" s="41">
        <v>8.56</v>
      </c>
      <c r="Y36" s="13" t="s">
        <v>1473</v>
      </c>
      <c r="Z36" s="13" t="s">
        <v>1422</v>
      </c>
      <c r="AA36" s="39">
        <v>45162</v>
      </c>
      <c r="AB36" s="13" t="s">
        <v>1474</v>
      </c>
      <c r="AC36" s="13" t="s">
        <v>1475</v>
      </c>
      <c r="AD36" s="13" t="s">
        <v>1425</v>
      </c>
      <c r="AE36" s="13" t="s">
        <v>1476</v>
      </c>
      <c r="AF36" s="13" t="s">
        <v>1427</v>
      </c>
      <c r="AG36" s="41">
        <v>1.06</v>
      </c>
      <c r="AI36" s="42" t="s">
        <v>1530</v>
      </c>
      <c r="AJ36" s="13" t="s">
        <v>1428</v>
      </c>
      <c r="AK36" s="13" t="s">
        <v>1429</v>
      </c>
      <c r="AL36" s="41">
        <v>-8.66</v>
      </c>
      <c r="AM36" s="41">
        <v>-8.84</v>
      </c>
      <c r="AN36" s="41">
        <v>17.22</v>
      </c>
      <c r="AO36" s="41">
        <v>17.399999999999999</v>
      </c>
      <c r="AQ36" s="13" t="s">
        <v>1477</v>
      </c>
      <c r="AR36" s="13" t="s">
        <v>1431</v>
      </c>
      <c r="AS36" s="13" t="s">
        <v>1529</v>
      </c>
      <c r="AT36" s="13" t="s">
        <v>1425</v>
      </c>
      <c r="AU36" s="13" t="s">
        <v>1432</v>
      </c>
      <c r="AV36" s="39">
        <v>45279</v>
      </c>
      <c r="AW36" s="13" t="s">
        <v>1531</v>
      </c>
      <c r="AY36" s="41">
        <v>-8.75</v>
      </c>
      <c r="AZ36" s="41"/>
      <c r="BA36" s="41"/>
      <c r="BB36" s="41"/>
      <c r="BI36" s="13">
        <v>3.3</v>
      </c>
      <c r="BM36" s="40">
        <v>6.2530041073347142E-6</v>
      </c>
      <c r="BP36" s="15"/>
      <c r="BQ36" s="15"/>
      <c r="BR36" s="15"/>
      <c r="BS36" s="15"/>
      <c r="CE36" s="13" t="s">
        <v>1532</v>
      </c>
      <c r="CF36" s="13" t="s">
        <v>1431</v>
      </c>
      <c r="CG36" s="13" t="s">
        <v>1529</v>
      </c>
      <c r="CH36" s="13" t="s">
        <v>1425</v>
      </c>
      <c r="CI36" s="13" t="s">
        <v>1524</v>
      </c>
      <c r="CJ36" s="39">
        <v>45212</v>
      </c>
      <c r="CK36" s="13" t="s">
        <v>1533</v>
      </c>
      <c r="CM36" s="13">
        <v>232</v>
      </c>
      <c r="CN36" s="13">
        <v>207</v>
      </c>
      <c r="CO36" s="41">
        <v>0.01</v>
      </c>
      <c r="CP36" s="41">
        <v>85.87</v>
      </c>
      <c r="CQ36" s="41">
        <v>10.92</v>
      </c>
      <c r="CR36" s="41">
        <v>100</v>
      </c>
      <c r="CS36" s="41">
        <v>100</v>
      </c>
      <c r="CT36" s="41">
        <v>100</v>
      </c>
      <c r="CU36" s="41">
        <v>100</v>
      </c>
      <c r="CV36" s="41">
        <v>100</v>
      </c>
      <c r="CW36" s="41">
        <v>99.99</v>
      </c>
      <c r="CX36" s="41">
        <v>99.23</v>
      </c>
      <c r="CY36" s="41">
        <v>95.39</v>
      </c>
      <c r="CZ36" s="41">
        <v>62.28</v>
      </c>
      <c r="DA36" s="41">
        <v>42.46</v>
      </c>
      <c r="DB36" s="41">
        <v>25.1</v>
      </c>
      <c r="DC36" s="41">
        <v>14.12</v>
      </c>
      <c r="DD36" s="41">
        <v>6.7</v>
      </c>
      <c r="DE36" s="41">
        <v>4.87</v>
      </c>
      <c r="DF36" s="41">
        <v>4</v>
      </c>
      <c r="DG36" s="41">
        <v>3.2</v>
      </c>
      <c r="DH36" s="13">
        <v>300</v>
      </c>
      <c r="DI36" s="13">
        <v>264</v>
      </c>
      <c r="DJ36" s="13">
        <v>232</v>
      </c>
      <c r="DK36" s="13">
        <v>113</v>
      </c>
      <c r="DL36" s="13">
        <v>2.34</v>
      </c>
    </row>
    <row r="37" spans="1:425">
      <c r="A37" s="14">
        <v>28</v>
      </c>
      <c r="B37" s="15" t="str">
        <f>IF(ISBLANK(D[[#This Row],[CLAS_GRONDSOORT]]),"ONWAAR","WAAR")</f>
        <v>WAAR</v>
      </c>
      <c r="C37" s="15" t="str">
        <f>IF(ISBLANK(D[[#This Row],[CLAS_VN_HOOFDNAAM]]),"ONWAAR","WAAR")</f>
        <v>ONWAAR</v>
      </c>
      <c r="D37" s="15" t="str">
        <f>IF(ISBLANK(D[[#This Row],[KV_GRONDSOORT]]),"ONWAAR","WAAR")</f>
        <v>ONWAAR</v>
      </c>
      <c r="E37" s="15" t="str">
        <f>IF(ISBLANK(D[[#This Row],[CPT_QNET]]),"ONWAAR","WAAR")</f>
        <v>ONWAAR</v>
      </c>
      <c r="F37" s="15" t="str">
        <f>IF(ISBLANK(D[[#This Row],[CRS_GRONDSOORT]]),"ONWAAR","WAAR")</f>
        <v>ONWAAR</v>
      </c>
      <c r="G37" s="15" t="str">
        <f>IF(ISBLANK(D[[#This Row],[SD_GRONDSOORT]]),"ONWAAR","WAAR")</f>
        <v>ONWAAR</v>
      </c>
      <c r="H37" s="15" t="str">
        <f>IF(ISBLANK(D[[#This Row],[DSS_GRONDSOORT]]),"ONWAAR","WAAR")</f>
        <v>ONWAAR</v>
      </c>
      <c r="I37" s="15" t="str">
        <f>IF(ISBLANK(D[[#This Row],[TXT_SS_GRONDSOORT]]),"ONWAAR","WAAR")</f>
        <v>ONWAAR</v>
      </c>
      <c r="J37" s="13" t="s">
        <v>1534</v>
      </c>
      <c r="L37" s="13" t="s">
        <v>1418</v>
      </c>
      <c r="M37" s="13" t="s">
        <v>1419</v>
      </c>
      <c r="P37" s="13" t="s">
        <v>1420</v>
      </c>
      <c r="V37" s="41">
        <v>136410</v>
      </c>
      <c r="W37" s="41">
        <v>416228.74</v>
      </c>
      <c r="X37" s="41">
        <v>8.56</v>
      </c>
      <c r="Y37" s="13" t="s">
        <v>1473</v>
      </c>
      <c r="Z37" s="13" t="s">
        <v>1422</v>
      </c>
      <c r="AA37" s="39">
        <v>45162</v>
      </c>
      <c r="AB37" s="13" t="s">
        <v>1474</v>
      </c>
      <c r="AC37" s="13" t="s">
        <v>1475</v>
      </c>
      <c r="AD37" s="13" t="s">
        <v>1425</v>
      </c>
      <c r="AE37" s="13" t="s">
        <v>1476</v>
      </c>
      <c r="AF37" s="13" t="s">
        <v>1427</v>
      </c>
      <c r="AG37" s="41">
        <v>1.06</v>
      </c>
      <c r="AI37" s="42">
        <v>15</v>
      </c>
      <c r="AJ37" s="13" t="s">
        <v>1428</v>
      </c>
      <c r="AK37" s="13" t="s">
        <v>1429</v>
      </c>
      <c r="AL37" s="41">
        <v>-10.44</v>
      </c>
      <c r="AM37" s="41">
        <v>-10.84</v>
      </c>
      <c r="AN37" s="41">
        <v>19</v>
      </c>
      <c r="AO37" s="41">
        <v>19.399999999999999</v>
      </c>
      <c r="AQ37" s="13" t="s">
        <v>1477</v>
      </c>
      <c r="AR37" s="13" t="s">
        <v>1431</v>
      </c>
      <c r="AS37" s="13" t="s">
        <v>1534</v>
      </c>
      <c r="AT37" s="13" t="s">
        <v>1425</v>
      </c>
      <c r="AU37" s="13" t="s">
        <v>1432</v>
      </c>
      <c r="AV37" s="39">
        <v>45279</v>
      </c>
      <c r="AW37" s="13" t="s">
        <v>1535</v>
      </c>
      <c r="AY37" s="41">
        <v>-10.64</v>
      </c>
      <c r="AZ37" s="41"/>
      <c r="BA37" s="41"/>
      <c r="BB37" s="41"/>
      <c r="BP37" s="15"/>
      <c r="BQ37" s="15"/>
      <c r="BR37" s="15"/>
      <c r="BS37" s="15"/>
    </row>
    <row r="38" spans="1:425">
      <c r="A38" s="14">
        <v>29</v>
      </c>
      <c r="B38" s="15" t="str">
        <f>IF(ISBLANK(D[[#This Row],[CLAS_GRONDSOORT]]),"ONWAAR","WAAR")</f>
        <v>WAAR</v>
      </c>
      <c r="C38" s="15" t="str">
        <f>IF(ISBLANK(D[[#This Row],[CLAS_VN_HOOFDNAAM]]),"ONWAAR","WAAR")</f>
        <v>ONWAAR</v>
      </c>
      <c r="D38" s="15" t="str">
        <f>IF(ISBLANK(D[[#This Row],[KV_GRONDSOORT]]),"ONWAAR","WAAR")</f>
        <v>ONWAAR</v>
      </c>
      <c r="E38" s="15" t="str">
        <f>IF(ISBLANK(D[[#This Row],[CPT_QNET]]),"ONWAAR","WAAR")</f>
        <v>ONWAAR</v>
      </c>
      <c r="F38" s="15" t="str">
        <f>IF(ISBLANK(D[[#This Row],[CRS_GRONDSOORT]]),"ONWAAR","WAAR")</f>
        <v>ONWAAR</v>
      </c>
      <c r="G38" s="15" t="str">
        <f>IF(ISBLANK(D[[#This Row],[SD_GRONDSOORT]]),"ONWAAR","WAAR")</f>
        <v>ONWAAR</v>
      </c>
      <c r="H38" s="15" t="str">
        <f>IF(ISBLANK(D[[#This Row],[DSS_GRONDSOORT]]),"ONWAAR","WAAR")</f>
        <v>ONWAAR</v>
      </c>
      <c r="I38" s="15" t="str">
        <f>IF(ISBLANK(D[[#This Row],[TXT_SS_GRONDSOORT]]),"ONWAAR","WAAR")</f>
        <v>ONWAAR</v>
      </c>
      <c r="J38" s="13" t="s">
        <v>1536</v>
      </c>
      <c r="L38" s="13" t="s">
        <v>1418</v>
      </c>
      <c r="M38" s="13" t="s">
        <v>1419</v>
      </c>
      <c r="P38" s="13" t="s">
        <v>1420</v>
      </c>
      <c r="V38" s="41">
        <v>135949.51999999999</v>
      </c>
      <c r="W38" s="41">
        <v>416050.62</v>
      </c>
      <c r="X38" s="41">
        <v>6.52</v>
      </c>
      <c r="Y38" s="13" t="s">
        <v>1537</v>
      </c>
      <c r="Z38" s="13" t="s">
        <v>1422</v>
      </c>
      <c r="AA38" s="39">
        <v>45166</v>
      </c>
      <c r="AB38" s="13" t="s">
        <v>1538</v>
      </c>
      <c r="AC38" s="13" t="s">
        <v>1539</v>
      </c>
      <c r="AD38" s="13" t="s">
        <v>1425</v>
      </c>
      <c r="AE38" s="13" t="s">
        <v>1476</v>
      </c>
      <c r="AF38" s="13" t="s">
        <v>1427</v>
      </c>
      <c r="AG38" s="41">
        <v>1.02</v>
      </c>
      <c r="AI38" s="42">
        <v>1</v>
      </c>
      <c r="AJ38" s="13" t="s">
        <v>1428</v>
      </c>
      <c r="AK38" s="13" t="s">
        <v>1429</v>
      </c>
      <c r="AL38" s="41">
        <v>5.62</v>
      </c>
      <c r="AM38" s="41">
        <v>5.22</v>
      </c>
      <c r="AN38" s="41">
        <v>0.9</v>
      </c>
      <c r="AO38" s="41">
        <v>1.3</v>
      </c>
      <c r="AQ38" s="13" t="s">
        <v>1540</v>
      </c>
      <c r="AR38" s="13" t="s">
        <v>1431</v>
      </c>
      <c r="AS38" s="13" t="s">
        <v>1536</v>
      </c>
      <c r="AT38" s="13" t="s">
        <v>1425</v>
      </c>
      <c r="AU38" s="13" t="s">
        <v>1432</v>
      </c>
      <c r="AV38" s="39">
        <v>45279</v>
      </c>
      <c r="AW38" s="13" t="s">
        <v>1541</v>
      </c>
      <c r="AY38" s="41">
        <v>5.59</v>
      </c>
      <c r="AZ38" s="41">
        <v>17.3</v>
      </c>
      <c r="BA38" s="41">
        <v>14.5</v>
      </c>
      <c r="BB38" s="41">
        <v>19.2</v>
      </c>
      <c r="BP38" s="15"/>
      <c r="BQ38" s="15"/>
      <c r="BR38" s="15"/>
      <c r="BS38" s="15"/>
    </row>
    <row r="39" spans="1:425">
      <c r="A39" s="14">
        <v>30</v>
      </c>
      <c r="B39" s="15" t="str">
        <f>IF(ISBLANK(D[[#This Row],[CLAS_GRONDSOORT]]),"ONWAAR","WAAR")</f>
        <v>WAAR</v>
      </c>
      <c r="C39" s="15" t="str">
        <f>IF(ISBLANK(D[[#This Row],[CLAS_VN_HOOFDNAAM]]),"ONWAAR","WAAR")</f>
        <v>ONWAAR</v>
      </c>
      <c r="D39" s="15" t="str">
        <f>IF(ISBLANK(D[[#This Row],[KV_GRONDSOORT]]),"ONWAAR","WAAR")</f>
        <v>ONWAAR</v>
      </c>
      <c r="E39" s="15" t="str">
        <f>IF(ISBLANK(D[[#This Row],[CPT_QNET]]),"ONWAAR","WAAR")</f>
        <v>ONWAAR</v>
      </c>
      <c r="F39" s="15" t="str">
        <f>IF(ISBLANK(D[[#This Row],[CRS_GRONDSOORT]]),"ONWAAR","WAAR")</f>
        <v>ONWAAR</v>
      </c>
      <c r="G39" s="15" t="str">
        <f>IF(ISBLANK(D[[#This Row],[SD_GRONDSOORT]]),"ONWAAR","WAAR")</f>
        <v>ONWAAR</v>
      </c>
      <c r="H39" s="15" t="str">
        <f>IF(ISBLANK(D[[#This Row],[DSS_GRONDSOORT]]),"ONWAAR","WAAR")</f>
        <v>ONWAAR</v>
      </c>
      <c r="I39" s="15" t="str">
        <f>IF(ISBLANK(D[[#This Row],[TXT_SS_GRONDSOORT]]),"ONWAAR","WAAR")</f>
        <v>ONWAAR</v>
      </c>
      <c r="J39" s="13" t="s">
        <v>1542</v>
      </c>
      <c r="L39" s="13" t="s">
        <v>1418</v>
      </c>
      <c r="M39" s="13" t="s">
        <v>1419</v>
      </c>
      <c r="P39" s="13" t="s">
        <v>1420</v>
      </c>
      <c r="V39" s="41">
        <v>135949.51999999999</v>
      </c>
      <c r="W39" s="41">
        <v>416050.62</v>
      </c>
      <c r="X39" s="41">
        <v>6.52</v>
      </c>
      <c r="Y39" s="13" t="s">
        <v>1537</v>
      </c>
      <c r="Z39" s="13" t="s">
        <v>1422</v>
      </c>
      <c r="AA39" s="39">
        <v>45166</v>
      </c>
      <c r="AB39" s="13" t="s">
        <v>1538</v>
      </c>
      <c r="AC39" s="13" t="s">
        <v>1539</v>
      </c>
      <c r="AD39" s="13" t="s">
        <v>1425</v>
      </c>
      <c r="AE39" s="13" t="s">
        <v>1476</v>
      </c>
      <c r="AF39" s="13" t="s">
        <v>1427</v>
      </c>
      <c r="AG39" s="41">
        <v>1.02</v>
      </c>
      <c r="AI39" s="42">
        <v>2</v>
      </c>
      <c r="AJ39" s="13" t="s">
        <v>1428</v>
      </c>
      <c r="AK39" s="13" t="s">
        <v>1429</v>
      </c>
      <c r="AL39" s="41">
        <v>4.72</v>
      </c>
      <c r="AM39" s="41">
        <v>4.32</v>
      </c>
      <c r="AN39" s="41">
        <v>1.8</v>
      </c>
      <c r="AO39" s="41">
        <v>2.2000000000000002</v>
      </c>
      <c r="AQ39" s="13" t="s">
        <v>1540</v>
      </c>
      <c r="AR39" s="13" t="s">
        <v>1431</v>
      </c>
      <c r="AS39" s="13" t="s">
        <v>1542</v>
      </c>
      <c r="AT39" s="13" t="s">
        <v>1425</v>
      </c>
      <c r="AU39" s="13" t="s">
        <v>1432</v>
      </c>
      <c r="AV39" s="39">
        <v>45279</v>
      </c>
      <c r="AW39" s="13" t="s">
        <v>1543</v>
      </c>
      <c r="AY39" s="41">
        <v>4.66</v>
      </c>
      <c r="AZ39" s="41">
        <v>12.9</v>
      </c>
      <c r="BA39" s="41">
        <v>5.2</v>
      </c>
      <c r="BB39" s="41">
        <v>149</v>
      </c>
      <c r="BP39" s="15"/>
      <c r="BQ39" s="15"/>
      <c r="BR39" s="15"/>
      <c r="BS39" s="15"/>
    </row>
    <row r="40" spans="1:425">
      <c r="A40" s="14">
        <v>31</v>
      </c>
      <c r="B40" s="15" t="str">
        <f>IF(ISBLANK(D[[#This Row],[CLAS_GRONDSOORT]]),"ONWAAR","WAAR")</f>
        <v>WAAR</v>
      </c>
      <c r="C40" s="15" t="str">
        <f>IF(ISBLANK(D[[#This Row],[CLAS_VN_HOOFDNAAM]]),"ONWAAR","WAAR")</f>
        <v>ONWAAR</v>
      </c>
      <c r="D40" s="15" t="str">
        <f>IF(ISBLANK(D[[#This Row],[KV_GRONDSOORT]]),"ONWAAR","WAAR")</f>
        <v>ONWAAR</v>
      </c>
      <c r="E40" s="15" t="str">
        <f>IF(ISBLANK(D[[#This Row],[CPT_QNET]]),"ONWAAR","WAAR")</f>
        <v>ONWAAR</v>
      </c>
      <c r="F40" s="15" t="str">
        <f>IF(ISBLANK(D[[#This Row],[CRS_GRONDSOORT]]),"ONWAAR","WAAR")</f>
        <v>WAAR</v>
      </c>
      <c r="G40" s="15" t="str">
        <f>IF(ISBLANK(D[[#This Row],[SD_GRONDSOORT]]),"ONWAAR","WAAR")</f>
        <v>ONWAAR</v>
      </c>
      <c r="H40" s="15" t="str">
        <f>IF(ISBLANK(D[[#This Row],[DSS_GRONDSOORT]]),"ONWAAR","WAAR")</f>
        <v>ONWAAR</v>
      </c>
      <c r="I40" s="15" t="str">
        <f>IF(ISBLANK(D[[#This Row],[TXT_SS_GRONDSOORT]]),"ONWAAR","WAAR")</f>
        <v>WAAR</v>
      </c>
      <c r="J40" s="13" t="s">
        <v>1544</v>
      </c>
      <c r="L40" s="13" t="s">
        <v>1418</v>
      </c>
      <c r="M40" s="13" t="s">
        <v>1419</v>
      </c>
      <c r="P40" s="13" t="s">
        <v>1420</v>
      </c>
      <c r="V40" s="41">
        <v>135949.51999999999</v>
      </c>
      <c r="W40" s="41">
        <v>416050.62</v>
      </c>
      <c r="X40" s="41">
        <v>6.52</v>
      </c>
      <c r="Y40" s="13" t="s">
        <v>1537</v>
      </c>
      <c r="Z40" s="13" t="s">
        <v>1422</v>
      </c>
      <c r="AA40" s="39">
        <v>45166</v>
      </c>
      <c r="AB40" s="13" t="s">
        <v>1538</v>
      </c>
      <c r="AC40" s="13" t="s">
        <v>1539</v>
      </c>
      <c r="AD40" s="13" t="s">
        <v>1425</v>
      </c>
      <c r="AE40" s="13" t="s">
        <v>1476</v>
      </c>
      <c r="AF40" s="13" t="s">
        <v>1427</v>
      </c>
      <c r="AG40" s="41">
        <v>1.02</v>
      </c>
      <c r="AI40" s="42">
        <v>3</v>
      </c>
      <c r="AJ40" s="13" t="s">
        <v>1428</v>
      </c>
      <c r="AK40" s="13" t="s">
        <v>1429</v>
      </c>
      <c r="AL40" s="41">
        <v>3.82</v>
      </c>
      <c r="AM40" s="41">
        <v>3.42</v>
      </c>
      <c r="AN40" s="41">
        <v>2.7</v>
      </c>
      <c r="AO40" s="41">
        <v>3.1</v>
      </c>
      <c r="AQ40" s="13" t="s">
        <v>1540</v>
      </c>
      <c r="AR40" s="13" t="s">
        <v>1431</v>
      </c>
      <c r="AS40" s="13" t="s">
        <v>1544</v>
      </c>
      <c r="AT40" s="13" t="s">
        <v>1425</v>
      </c>
      <c r="AU40" s="13" t="s">
        <v>1432</v>
      </c>
      <c r="AV40" s="39">
        <v>45279</v>
      </c>
      <c r="AW40" s="13" t="s">
        <v>1545</v>
      </c>
      <c r="AY40" s="41">
        <v>3.57</v>
      </c>
      <c r="AZ40" s="41">
        <v>15.8</v>
      </c>
      <c r="BA40" s="41">
        <v>9.1999999999999993</v>
      </c>
      <c r="BB40" s="41">
        <v>72.2</v>
      </c>
      <c r="BP40" s="15"/>
      <c r="BQ40" s="15"/>
      <c r="BR40" s="15"/>
      <c r="BS40" s="15"/>
      <c r="EA40" s="13" t="s">
        <v>1546</v>
      </c>
      <c r="EB40" s="13" t="s">
        <v>1547</v>
      </c>
      <c r="EC40" s="13" t="s">
        <v>1548</v>
      </c>
      <c r="ED40" s="13" t="s">
        <v>1454</v>
      </c>
      <c r="EE40" s="13" t="s">
        <v>1455</v>
      </c>
      <c r="EF40" s="39">
        <v>45176</v>
      </c>
      <c r="EG40" s="13" t="s">
        <v>1456</v>
      </c>
      <c r="EH40" s="13" t="s">
        <v>1457</v>
      </c>
      <c r="EI40" s="41">
        <v>3.76</v>
      </c>
      <c r="EJ40" s="41">
        <v>45.8</v>
      </c>
      <c r="EK40" s="41">
        <v>12.83</v>
      </c>
      <c r="EL40" s="41">
        <v>7.03</v>
      </c>
      <c r="EM40" s="41">
        <v>82.33</v>
      </c>
      <c r="EN40" s="41">
        <v>89.85</v>
      </c>
      <c r="EO40" s="41">
        <v>82.32</v>
      </c>
      <c r="EP40" s="13">
        <v>21.7</v>
      </c>
      <c r="EQ40" s="13">
        <v>19.8</v>
      </c>
      <c r="ER40" s="13">
        <v>65.44</v>
      </c>
      <c r="ES40" s="41">
        <v>18.8</v>
      </c>
      <c r="ET40" s="41">
        <v>18.149999999999999</v>
      </c>
      <c r="EU40" s="41">
        <v>10.220000000000001</v>
      </c>
      <c r="EV40" s="13">
        <v>0.5</v>
      </c>
      <c r="EW40" s="44">
        <v>-0.2</v>
      </c>
      <c r="EX40" s="13">
        <v>16</v>
      </c>
      <c r="EY40" s="41">
        <v>267.7</v>
      </c>
      <c r="EZ40" s="41">
        <v>202.6</v>
      </c>
      <c r="FA40" s="41">
        <v>164.1</v>
      </c>
      <c r="FB40" s="41">
        <v>91.55</v>
      </c>
      <c r="FC40" s="41">
        <v>732.2</v>
      </c>
      <c r="FD40" s="41">
        <v>2.61</v>
      </c>
      <c r="FE40" s="41">
        <v>87</v>
      </c>
      <c r="FF40" s="41">
        <v>12.9</v>
      </c>
      <c r="FG40" s="41">
        <v>315.2</v>
      </c>
      <c r="FH40" s="45">
        <v>1.4999999999999999E-2</v>
      </c>
      <c r="FI40" s="45">
        <v>0.23980000000000001</v>
      </c>
      <c r="FJ40" s="45">
        <v>1.8499999999999999E-2</v>
      </c>
      <c r="NH40" s="13" t="s">
        <v>1549</v>
      </c>
      <c r="NI40" s="13" t="s">
        <v>1550</v>
      </c>
      <c r="NJ40" s="13" t="s">
        <v>1551</v>
      </c>
      <c r="NK40" s="13" t="s">
        <v>1454</v>
      </c>
      <c r="NL40" s="13" t="s">
        <v>1461</v>
      </c>
      <c r="NM40" s="39">
        <v>45196</v>
      </c>
      <c r="NN40" s="13" t="s">
        <v>1456</v>
      </c>
      <c r="NP40" s="41">
        <v>3.57</v>
      </c>
      <c r="NQ40" s="41">
        <v>45.8</v>
      </c>
      <c r="NR40" s="41">
        <v>15.84</v>
      </c>
      <c r="NS40" s="41">
        <v>9.1999999999999993</v>
      </c>
      <c r="NT40" s="41">
        <v>64.180000000000007</v>
      </c>
      <c r="NU40" s="41">
        <v>72.17</v>
      </c>
      <c r="NV40" s="41">
        <v>108.6</v>
      </c>
      <c r="NW40" s="41">
        <v>1.65</v>
      </c>
      <c r="NX40" s="44">
        <v>2487</v>
      </c>
      <c r="NY40" s="44">
        <v>21.3</v>
      </c>
      <c r="NZ40" s="44">
        <v>21.3</v>
      </c>
      <c r="OA40" s="44">
        <v>50</v>
      </c>
      <c r="OB40" s="44">
        <v>100</v>
      </c>
      <c r="OC40" s="41" t="s">
        <v>1463</v>
      </c>
      <c r="OD40" s="41" t="s">
        <v>1464</v>
      </c>
      <c r="OE40" s="41" t="s">
        <v>1465</v>
      </c>
      <c r="OF40" s="43">
        <v>300</v>
      </c>
      <c r="OG40" s="41" t="s">
        <v>1466</v>
      </c>
      <c r="OH40" s="41">
        <v>0.57999999999999996</v>
      </c>
      <c r="OI40" s="41" t="s">
        <v>1467</v>
      </c>
      <c r="OJ40" s="41">
        <v>26.78</v>
      </c>
      <c r="OK40" s="41">
        <v>0.78</v>
      </c>
      <c r="OL40" s="41">
        <v>35.229999999999997</v>
      </c>
      <c r="OM40" s="41">
        <v>9.91</v>
      </c>
      <c r="ON40" s="41">
        <v>35.229999999999997</v>
      </c>
      <c r="OO40" s="41">
        <v>9.91</v>
      </c>
      <c r="OP40" s="43">
        <v>1</v>
      </c>
      <c r="OQ40" s="41">
        <v>2.1800000000000002</v>
      </c>
      <c r="OR40" s="41">
        <v>5.38</v>
      </c>
      <c r="OS40" s="41" t="s">
        <v>1468</v>
      </c>
      <c r="OT40" s="41">
        <v>0.98</v>
      </c>
      <c r="OU40" s="41">
        <v>38.54</v>
      </c>
      <c r="OV40" s="41">
        <v>23.72</v>
      </c>
      <c r="OW40" s="41">
        <v>39.51</v>
      </c>
      <c r="OX40" s="41">
        <v>23.79</v>
      </c>
      <c r="OY40" s="41">
        <v>39.08</v>
      </c>
      <c r="OZ40" s="41">
        <v>20.96</v>
      </c>
      <c r="PA40" s="41">
        <v>39.18</v>
      </c>
      <c r="PB40" s="41">
        <v>24.17</v>
      </c>
      <c r="PC40" s="41">
        <v>3</v>
      </c>
      <c r="PD40" s="41">
        <v>37.46</v>
      </c>
      <c r="PE40" s="41">
        <v>18.14</v>
      </c>
      <c r="PF40" s="43">
        <v>25</v>
      </c>
      <c r="PG40" s="41">
        <v>9.1</v>
      </c>
      <c r="PH40" s="41">
        <v>0.16</v>
      </c>
      <c r="PI40" s="41">
        <v>0.21</v>
      </c>
    </row>
    <row r="41" spans="1:425">
      <c r="A41" s="14">
        <v>32</v>
      </c>
      <c r="B41" s="15" t="str">
        <f>IF(ISBLANK(D[[#This Row],[CLAS_GRONDSOORT]]),"ONWAAR","WAAR")</f>
        <v>WAAR</v>
      </c>
      <c r="C41" s="15" t="str">
        <f>IF(ISBLANK(D[[#This Row],[CLAS_VN_HOOFDNAAM]]),"ONWAAR","WAAR")</f>
        <v>ONWAAR</v>
      </c>
      <c r="D41" s="15" t="str">
        <f>IF(ISBLANK(D[[#This Row],[KV_GRONDSOORT]]),"ONWAAR","WAAR")</f>
        <v>ONWAAR</v>
      </c>
      <c r="E41" s="15" t="str">
        <f>IF(ISBLANK(D[[#This Row],[CPT_QNET]]),"ONWAAR","WAAR")</f>
        <v>ONWAAR</v>
      </c>
      <c r="F41" s="15" t="str">
        <f>IF(ISBLANK(D[[#This Row],[CRS_GRONDSOORT]]),"ONWAAR","WAAR")</f>
        <v>ONWAAR</v>
      </c>
      <c r="G41" s="15" t="str">
        <f>IF(ISBLANK(D[[#This Row],[SD_GRONDSOORT]]),"ONWAAR","WAAR")</f>
        <v>ONWAAR</v>
      </c>
      <c r="H41" s="15" t="str">
        <f>IF(ISBLANK(D[[#This Row],[DSS_GRONDSOORT]]),"ONWAAR","WAAR")</f>
        <v>ONWAAR</v>
      </c>
      <c r="I41" s="15" t="str">
        <f>IF(ISBLANK(D[[#This Row],[TXT_SS_GRONDSOORT]]),"ONWAAR","WAAR")</f>
        <v>ONWAAR</v>
      </c>
      <c r="J41" s="13" t="s">
        <v>1552</v>
      </c>
      <c r="L41" s="13" t="s">
        <v>1418</v>
      </c>
      <c r="M41" s="13" t="s">
        <v>1419</v>
      </c>
      <c r="P41" s="13" t="s">
        <v>1420</v>
      </c>
      <c r="V41" s="41">
        <v>135949.51999999999</v>
      </c>
      <c r="W41" s="41">
        <v>416050.62</v>
      </c>
      <c r="X41" s="41">
        <v>6.52</v>
      </c>
      <c r="Y41" s="13" t="s">
        <v>1537</v>
      </c>
      <c r="Z41" s="13" t="s">
        <v>1422</v>
      </c>
      <c r="AA41" s="39">
        <v>45166</v>
      </c>
      <c r="AB41" s="13" t="s">
        <v>1538</v>
      </c>
      <c r="AC41" s="13" t="s">
        <v>1539</v>
      </c>
      <c r="AD41" s="13" t="s">
        <v>1425</v>
      </c>
      <c r="AE41" s="13" t="s">
        <v>1476</v>
      </c>
      <c r="AF41" s="13" t="s">
        <v>1427</v>
      </c>
      <c r="AG41" s="41">
        <v>1.02</v>
      </c>
      <c r="AI41" s="42">
        <v>4</v>
      </c>
      <c r="AJ41" s="13" t="s">
        <v>1428</v>
      </c>
      <c r="AK41" s="13" t="s">
        <v>1429</v>
      </c>
      <c r="AL41" s="41">
        <v>2.92</v>
      </c>
      <c r="AM41" s="41">
        <v>2.52</v>
      </c>
      <c r="AN41" s="41">
        <v>3.6</v>
      </c>
      <c r="AO41" s="41">
        <v>4</v>
      </c>
      <c r="AQ41" s="13" t="s">
        <v>1540</v>
      </c>
      <c r="AR41" s="13" t="s">
        <v>1431</v>
      </c>
      <c r="AS41" s="13" t="s">
        <v>1552</v>
      </c>
      <c r="AT41" s="13" t="s">
        <v>1425</v>
      </c>
      <c r="AU41" s="13" t="s">
        <v>1432</v>
      </c>
      <c r="AV41" s="39">
        <v>45279</v>
      </c>
      <c r="AW41" s="13" t="s">
        <v>1543</v>
      </c>
      <c r="AY41" s="41">
        <v>2.88</v>
      </c>
      <c r="AZ41" s="41">
        <v>17.600000000000001</v>
      </c>
      <c r="BA41" s="41">
        <v>12.5</v>
      </c>
      <c r="BB41" s="41">
        <v>41.3</v>
      </c>
      <c r="BP41" s="15"/>
      <c r="BQ41" s="15"/>
      <c r="BR41" s="15"/>
      <c r="BS41" s="15"/>
    </row>
    <row r="42" spans="1:425">
      <c r="A42" s="14">
        <v>33</v>
      </c>
      <c r="B42" s="15" t="str">
        <f>IF(ISBLANK(D[[#This Row],[CLAS_GRONDSOORT]]),"ONWAAR","WAAR")</f>
        <v>WAAR</v>
      </c>
      <c r="C42" s="15" t="str">
        <f>IF(ISBLANK(D[[#This Row],[CLAS_VN_HOOFDNAAM]]),"ONWAAR","WAAR")</f>
        <v>ONWAAR</v>
      </c>
      <c r="D42" s="15" t="str">
        <f>IF(ISBLANK(D[[#This Row],[KV_GRONDSOORT]]),"ONWAAR","WAAR")</f>
        <v>ONWAAR</v>
      </c>
      <c r="E42" s="15" t="str">
        <f>IF(ISBLANK(D[[#This Row],[CPT_QNET]]),"ONWAAR","WAAR")</f>
        <v>ONWAAR</v>
      </c>
      <c r="F42" s="15" t="str">
        <f>IF(ISBLANK(D[[#This Row],[CRS_GRONDSOORT]]),"ONWAAR","WAAR")</f>
        <v>ONWAAR</v>
      </c>
      <c r="G42" s="15" t="str">
        <f>IF(ISBLANK(D[[#This Row],[SD_GRONDSOORT]]),"ONWAAR","WAAR")</f>
        <v>ONWAAR</v>
      </c>
      <c r="H42" s="15" t="str">
        <f>IF(ISBLANK(D[[#This Row],[DSS_GRONDSOORT]]),"ONWAAR","WAAR")</f>
        <v>ONWAAR</v>
      </c>
      <c r="I42" s="15" t="str">
        <f>IF(ISBLANK(D[[#This Row],[TXT_SS_GRONDSOORT]]),"ONWAAR","WAAR")</f>
        <v>ONWAAR</v>
      </c>
      <c r="J42" s="13" t="s">
        <v>1553</v>
      </c>
      <c r="L42" s="13" t="s">
        <v>1418</v>
      </c>
      <c r="M42" s="13" t="s">
        <v>1419</v>
      </c>
      <c r="P42" s="13" t="s">
        <v>1420</v>
      </c>
      <c r="V42" s="41">
        <v>135949.51999999999</v>
      </c>
      <c r="W42" s="41">
        <v>416050.62</v>
      </c>
      <c r="X42" s="41">
        <v>6.52</v>
      </c>
      <c r="Y42" s="13" t="s">
        <v>1537</v>
      </c>
      <c r="Z42" s="13" t="s">
        <v>1422</v>
      </c>
      <c r="AA42" s="39">
        <v>45166</v>
      </c>
      <c r="AB42" s="13" t="s">
        <v>1538</v>
      </c>
      <c r="AC42" s="13" t="s">
        <v>1539</v>
      </c>
      <c r="AD42" s="13" t="s">
        <v>1425</v>
      </c>
      <c r="AE42" s="13" t="s">
        <v>1476</v>
      </c>
      <c r="AF42" s="13" t="s">
        <v>1427</v>
      </c>
      <c r="AG42" s="41">
        <v>1.02</v>
      </c>
      <c r="AI42" s="42">
        <v>5</v>
      </c>
      <c r="AJ42" s="13" t="s">
        <v>1428</v>
      </c>
      <c r="AK42" s="13" t="s">
        <v>1429</v>
      </c>
      <c r="AL42" s="41">
        <v>2.02</v>
      </c>
      <c r="AM42" s="41">
        <v>1.62</v>
      </c>
      <c r="AN42" s="41">
        <v>4.5</v>
      </c>
      <c r="AO42" s="41">
        <v>4.9000000000000004</v>
      </c>
      <c r="AQ42" s="13" t="s">
        <v>1540</v>
      </c>
      <c r="AR42" s="13" t="s">
        <v>1431</v>
      </c>
      <c r="AS42" s="13" t="s">
        <v>1553</v>
      </c>
      <c r="AT42" s="13" t="s">
        <v>1425</v>
      </c>
      <c r="AU42" s="13" t="s">
        <v>1432</v>
      </c>
      <c r="AV42" s="39">
        <v>45279</v>
      </c>
      <c r="AW42" s="13" t="s">
        <v>1543</v>
      </c>
      <c r="AY42" s="41">
        <v>1.98</v>
      </c>
      <c r="AZ42" s="41">
        <v>14.5</v>
      </c>
      <c r="BA42" s="41">
        <v>7.8</v>
      </c>
      <c r="BB42" s="41">
        <v>85.8</v>
      </c>
      <c r="BP42" s="15"/>
      <c r="BQ42" s="15"/>
      <c r="BR42" s="15"/>
      <c r="BS42" s="15"/>
    </row>
    <row r="43" spans="1:425">
      <c r="A43" s="14">
        <v>34</v>
      </c>
      <c r="B43" s="15" t="str">
        <f>IF(ISBLANK(D[[#This Row],[CLAS_GRONDSOORT]]),"ONWAAR","WAAR")</f>
        <v>WAAR</v>
      </c>
      <c r="C43" s="15" t="str">
        <f>IF(ISBLANK(D[[#This Row],[CLAS_VN_HOOFDNAAM]]),"ONWAAR","WAAR")</f>
        <v>ONWAAR</v>
      </c>
      <c r="D43" s="15" t="str">
        <f>IF(ISBLANK(D[[#This Row],[KV_GRONDSOORT]]),"ONWAAR","WAAR")</f>
        <v>ONWAAR</v>
      </c>
      <c r="E43" s="15" t="str">
        <f>IF(ISBLANK(D[[#This Row],[CPT_QNET]]),"ONWAAR","WAAR")</f>
        <v>ONWAAR</v>
      </c>
      <c r="F43" s="15" t="str">
        <f>IF(ISBLANK(D[[#This Row],[CRS_GRONDSOORT]]),"ONWAAR","WAAR")</f>
        <v>ONWAAR</v>
      </c>
      <c r="G43" s="15" t="str">
        <f>IF(ISBLANK(D[[#This Row],[SD_GRONDSOORT]]),"ONWAAR","WAAR")</f>
        <v>ONWAAR</v>
      </c>
      <c r="H43" s="15" t="str">
        <f>IF(ISBLANK(D[[#This Row],[DSS_GRONDSOORT]]),"ONWAAR","WAAR")</f>
        <v>ONWAAR</v>
      </c>
      <c r="I43" s="15" t="str">
        <f>IF(ISBLANK(D[[#This Row],[TXT_SS_GRONDSOORT]]),"ONWAAR","WAAR")</f>
        <v>ONWAAR</v>
      </c>
      <c r="J43" s="13" t="s">
        <v>1554</v>
      </c>
      <c r="L43" s="13" t="s">
        <v>1418</v>
      </c>
      <c r="M43" s="13" t="s">
        <v>1419</v>
      </c>
      <c r="P43" s="13" t="s">
        <v>1420</v>
      </c>
      <c r="V43" s="41">
        <v>135949.51999999999</v>
      </c>
      <c r="W43" s="41">
        <v>416050.62</v>
      </c>
      <c r="X43" s="41">
        <v>6.52</v>
      </c>
      <c r="Y43" s="13" t="s">
        <v>1537</v>
      </c>
      <c r="Z43" s="13" t="s">
        <v>1422</v>
      </c>
      <c r="AA43" s="39">
        <v>45166</v>
      </c>
      <c r="AB43" s="13" t="s">
        <v>1538</v>
      </c>
      <c r="AC43" s="13" t="s">
        <v>1539</v>
      </c>
      <c r="AD43" s="13" t="s">
        <v>1425</v>
      </c>
      <c r="AE43" s="13" t="s">
        <v>1476</v>
      </c>
      <c r="AF43" s="13" t="s">
        <v>1427</v>
      </c>
      <c r="AG43" s="41">
        <v>1.02</v>
      </c>
      <c r="AI43" s="42">
        <v>6</v>
      </c>
      <c r="AJ43" s="13" t="s">
        <v>1428</v>
      </c>
      <c r="AK43" s="13" t="s">
        <v>1429</v>
      </c>
      <c r="AL43" s="41">
        <v>1.1200000000000001</v>
      </c>
      <c r="AM43" s="41">
        <v>0.72</v>
      </c>
      <c r="AN43" s="41">
        <v>5.4</v>
      </c>
      <c r="AO43" s="41">
        <v>5.8</v>
      </c>
      <c r="AQ43" s="13" t="s">
        <v>1540</v>
      </c>
      <c r="AR43" s="13" t="s">
        <v>1431</v>
      </c>
      <c r="AS43" s="13" t="s">
        <v>1554</v>
      </c>
      <c r="AT43" s="13" t="s">
        <v>1425</v>
      </c>
      <c r="AU43" s="13" t="s">
        <v>1432</v>
      </c>
      <c r="AV43" s="39">
        <v>45279</v>
      </c>
      <c r="AW43" s="13" t="s">
        <v>1555</v>
      </c>
      <c r="AY43" s="41">
        <v>1.07</v>
      </c>
      <c r="AZ43" s="41">
        <v>17.8</v>
      </c>
      <c r="BA43" s="41">
        <v>12.8</v>
      </c>
      <c r="BB43" s="41">
        <v>38.5</v>
      </c>
      <c r="BP43" s="15"/>
      <c r="BQ43" s="15"/>
      <c r="BR43" s="15"/>
      <c r="BS43" s="15"/>
    </row>
    <row r="44" spans="1:425">
      <c r="A44" s="14">
        <v>35</v>
      </c>
      <c r="B44" s="15" t="str">
        <f>IF(ISBLANK(D[[#This Row],[CLAS_GRONDSOORT]]),"ONWAAR","WAAR")</f>
        <v>WAAR</v>
      </c>
      <c r="C44" s="15" t="str">
        <f>IF(ISBLANK(D[[#This Row],[CLAS_VN_HOOFDNAAM]]),"ONWAAR","WAAR")</f>
        <v>ONWAAR</v>
      </c>
      <c r="D44" s="15" t="str">
        <f>IF(ISBLANK(D[[#This Row],[KV_GRONDSOORT]]),"ONWAAR","WAAR")</f>
        <v>ONWAAR</v>
      </c>
      <c r="E44" s="15" t="str">
        <f>IF(ISBLANK(D[[#This Row],[CPT_QNET]]),"ONWAAR","WAAR")</f>
        <v>ONWAAR</v>
      </c>
      <c r="F44" s="15" t="str">
        <f>IF(ISBLANK(D[[#This Row],[CRS_GRONDSOORT]]),"ONWAAR","WAAR")</f>
        <v>ONWAAR</v>
      </c>
      <c r="G44" s="15" t="str">
        <f>IF(ISBLANK(D[[#This Row],[SD_GRONDSOORT]]),"ONWAAR","WAAR")</f>
        <v>ONWAAR</v>
      </c>
      <c r="H44" s="15" t="str">
        <f>IF(ISBLANK(D[[#This Row],[DSS_GRONDSOORT]]),"ONWAAR","WAAR")</f>
        <v>ONWAAR</v>
      </c>
      <c r="I44" s="15" t="str">
        <f>IF(ISBLANK(D[[#This Row],[TXT_SS_GRONDSOORT]]),"ONWAAR","WAAR")</f>
        <v>WAAR</v>
      </c>
      <c r="J44" s="13" t="s">
        <v>1556</v>
      </c>
      <c r="L44" s="13" t="s">
        <v>1418</v>
      </c>
      <c r="M44" s="13" t="s">
        <v>1419</v>
      </c>
      <c r="P44" s="13" t="s">
        <v>1420</v>
      </c>
      <c r="V44" s="41">
        <v>135949.51999999999</v>
      </c>
      <c r="W44" s="41">
        <v>416050.62</v>
      </c>
      <c r="X44" s="41">
        <v>6.52</v>
      </c>
      <c r="Y44" s="13" t="s">
        <v>1537</v>
      </c>
      <c r="Z44" s="13" t="s">
        <v>1422</v>
      </c>
      <c r="AA44" s="39">
        <v>45166</v>
      </c>
      <c r="AB44" s="13" t="s">
        <v>1538</v>
      </c>
      <c r="AC44" s="13" t="s">
        <v>1539</v>
      </c>
      <c r="AD44" s="13" t="s">
        <v>1425</v>
      </c>
      <c r="AE44" s="13" t="s">
        <v>1476</v>
      </c>
      <c r="AF44" s="13" t="s">
        <v>1427</v>
      </c>
      <c r="AG44" s="41">
        <v>1.02</v>
      </c>
      <c r="AI44" s="42">
        <v>7</v>
      </c>
      <c r="AJ44" s="13" t="s">
        <v>1428</v>
      </c>
      <c r="AK44" s="13" t="s">
        <v>1429</v>
      </c>
      <c r="AL44" s="41">
        <v>0.22</v>
      </c>
      <c r="AM44" s="41">
        <v>-0.18</v>
      </c>
      <c r="AN44" s="41">
        <v>6.3</v>
      </c>
      <c r="AO44" s="41">
        <v>6.7</v>
      </c>
      <c r="AQ44" s="13" t="s">
        <v>1540</v>
      </c>
      <c r="AR44" s="13" t="s">
        <v>1431</v>
      </c>
      <c r="AS44" s="13" t="s">
        <v>1556</v>
      </c>
      <c r="AT44" s="13" t="s">
        <v>1425</v>
      </c>
      <c r="AU44" s="13" t="s">
        <v>1432</v>
      </c>
      <c r="AV44" s="39">
        <v>45279</v>
      </c>
      <c r="AW44" s="13" t="s">
        <v>1557</v>
      </c>
      <c r="AY44" s="41">
        <v>-0.04</v>
      </c>
      <c r="AZ44" s="41">
        <v>16.899999999999999</v>
      </c>
      <c r="BA44" s="41">
        <v>12.2</v>
      </c>
      <c r="BB44" s="41">
        <v>38.5</v>
      </c>
      <c r="BP44" s="15"/>
      <c r="BQ44" s="15"/>
      <c r="BR44" s="15"/>
      <c r="BS44" s="15"/>
      <c r="NH44" s="13" t="s">
        <v>1558</v>
      </c>
      <c r="NI44" s="13" t="s">
        <v>1559</v>
      </c>
      <c r="NJ44" s="13" t="s">
        <v>1560</v>
      </c>
      <c r="NK44" s="13" t="s">
        <v>1454</v>
      </c>
      <c r="NL44" s="13" t="s">
        <v>1461</v>
      </c>
      <c r="NM44" s="39">
        <v>45205</v>
      </c>
      <c r="NN44" s="13" t="s">
        <v>1456</v>
      </c>
      <c r="NO44" s="13" t="s">
        <v>1497</v>
      </c>
      <c r="NP44" s="41">
        <v>-0.04</v>
      </c>
      <c r="NQ44" s="41">
        <v>94.9</v>
      </c>
      <c r="NR44" s="41">
        <v>16.93</v>
      </c>
      <c r="NS44" s="41">
        <v>12.22</v>
      </c>
      <c r="NT44" s="41">
        <v>38.76</v>
      </c>
      <c r="NU44" s="41">
        <v>38.51</v>
      </c>
      <c r="NV44" s="41">
        <v>96.33</v>
      </c>
      <c r="NW44" s="41">
        <v>0.99</v>
      </c>
      <c r="NX44" s="44">
        <v>2482</v>
      </c>
      <c r="NY44" s="44">
        <v>21.3</v>
      </c>
      <c r="NZ44" s="44">
        <v>21.3</v>
      </c>
      <c r="OA44" s="44">
        <v>50</v>
      </c>
      <c r="OB44" s="44">
        <v>100</v>
      </c>
      <c r="OC44" s="41" t="s">
        <v>1463</v>
      </c>
      <c r="OD44" s="41" t="s">
        <v>1464</v>
      </c>
      <c r="OE44" s="41" t="s">
        <v>1465</v>
      </c>
      <c r="OF44" s="43">
        <v>299</v>
      </c>
      <c r="OG44" s="41" t="s">
        <v>1466</v>
      </c>
      <c r="OH44" s="41">
        <v>0.66</v>
      </c>
      <c r="OI44" s="41" t="s">
        <v>1467</v>
      </c>
      <c r="OJ44" s="41">
        <v>59.7</v>
      </c>
      <c r="OK44" s="41">
        <v>0.7</v>
      </c>
      <c r="OL44" s="41">
        <v>73.66</v>
      </c>
      <c r="OM44" s="41">
        <v>15.67</v>
      </c>
      <c r="ON44" s="41">
        <v>73.66</v>
      </c>
      <c r="OO44" s="41">
        <v>15.67</v>
      </c>
      <c r="OP44" s="43">
        <v>1</v>
      </c>
      <c r="OQ44" s="41">
        <v>3.63</v>
      </c>
      <c r="OR44" s="41">
        <v>7.79</v>
      </c>
      <c r="OS44" s="41" t="s">
        <v>1468</v>
      </c>
      <c r="OT44" s="41">
        <v>1.1000000000000001</v>
      </c>
      <c r="OU44" s="41">
        <v>63.63</v>
      </c>
      <c r="OV44" s="41">
        <v>33.24</v>
      </c>
      <c r="OW44" s="41">
        <v>67.42</v>
      </c>
      <c r="OX44" s="41">
        <v>40.67</v>
      </c>
      <c r="OY44" s="41">
        <v>79.73</v>
      </c>
      <c r="OZ44" s="41">
        <v>48.18</v>
      </c>
      <c r="PA44" s="41">
        <v>80.61</v>
      </c>
      <c r="PB44" s="41">
        <v>48.47</v>
      </c>
      <c r="PC44" s="41">
        <v>17.66</v>
      </c>
      <c r="PD44" s="41">
        <v>78.88</v>
      </c>
      <c r="PE44" s="41">
        <v>46.63</v>
      </c>
      <c r="PF44" s="43">
        <v>25</v>
      </c>
      <c r="PG44" s="41">
        <v>2</v>
      </c>
      <c r="PH44" s="41">
        <v>1.64</v>
      </c>
      <c r="PI44" s="41">
        <v>0.28000000000000003</v>
      </c>
    </row>
    <row r="45" spans="1:425">
      <c r="A45" s="14">
        <v>36</v>
      </c>
      <c r="B45" s="15" t="str">
        <f>IF(ISBLANK(D[[#This Row],[CLAS_GRONDSOORT]]),"ONWAAR","WAAR")</f>
        <v>WAAR</v>
      </c>
      <c r="C45" s="15" t="str">
        <f>IF(ISBLANK(D[[#This Row],[CLAS_VN_HOOFDNAAM]]),"ONWAAR","WAAR")</f>
        <v>ONWAAR</v>
      </c>
      <c r="D45" s="15" t="str">
        <f>IF(ISBLANK(D[[#This Row],[KV_GRONDSOORT]]),"ONWAAR","WAAR")</f>
        <v>ONWAAR</v>
      </c>
      <c r="E45" s="15" t="str">
        <f>IF(ISBLANK(D[[#This Row],[CPT_QNET]]),"ONWAAR","WAAR")</f>
        <v>ONWAAR</v>
      </c>
      <c r="F45" s="15" t="str">
        <f>IF(ISBLANK(D[[#This Row],[CRS_GRONDSOORT]]),"ONWAAR","WAAR")</f>
        <v>WAAR</v>
      </c>
      <c r="G45" s="15" t="str">
        <f>IF(ISBLANK(D[[#This Row],[SD_GRONDSOORT]]),"ONWAAR","WAAR")</f>
        <v>ONWAAR</v>
      </c>
      <c r="H45" s="15" t="str">
        <f>IF(ISBLANK(D[[#This Row],[DSS_GRONDSOORT]]),"ONWAAR","WAAR")</f>
        <v>ONWAAR</v>
      </c>
      <c r="I45" s="15" t="str">
        <f>IF(ISBLANK(D[[#This Row],[TXT_SS_GRONDSOORT]]),"ONWAAR","WAAR")</f>
        <v>ONWAAR</v>
      </c>
      <c r="J45" s="13" t="s">
        <v>1561</v>
      </c>
      <c r="L45" s="13" t="s">
        <v>1418</v>
      </c>
      <c r="M45" s="13" t="s">
        <v>1419</v>
      </c>
      <c r="P45" s="13" t="s">
        <v>1420</v>
      </c>
      <c r="V45" s="41">
        <v>135949.51999999999</v>
      </c>
      <c r="W45" s="41">
        <v>416050.62</v>
      </c>
      <c r="X45" s="41">
        <v>6.52</v>
      </c>
      <c r="Y45" s="13" t="s">
        <v>1537</v>
      </c>
      <c r="Z45" s="13" t="s">
        <v>1422</v>
      </c>
      <c r="AA45" s="39">
        <v>45166</v>
      </c>
      <c r="AB45" s="13" t="s">
        <v>1538</v>
      </c>
      <c r="AC45" s="13" t="s">
        <v>1539</v>
      </c>
      <c r="AD45" s="13" t="s">
        <v>1425</v>
      </c>
      <c r="AE45" s="13" t="s">
        <v>1476</v>
      </c>
      <c r="AF45" s="13" t="s">
        <v>1427</v>
      </c>
      <c r="AG45" s="41">
        <v>1.02</v>
      </c>
      <c r="AI45" s="42">
        <v>8</v>
      </c>
      <c r="AJ45" s="13" t="s">
        <v>1428</v>
      </c>
      <c r="AK45" s="13" t="s">
        <v>1429</v>
      </c>
      <c r="AL45" s="41">
        <v>-0.68</v>
      </c>
      <c r="AM45" s="41">
        <v>-1.08</v>
      </c>
      <c r="AN45" s="41">
        <v>7.2</v>
      </c>
      <c r="AO45" s="41">
        <v>7.6</v>
      </c>
      <c r="AQ45" s="13" t="s">
        <v>1540</v>
      </c>
      <c r="AR45" s="13" t="s">
        <v>1431</v>
      </c>
      <c r="AS45" s="13" t="s">
        <v>1561</v>
      </c>
      <c r="AT45" s="13" t="s">
        <v>1425</v>
      </c>
      <c r="AU45" s="13" t="s">
        <v>1432</v>
      </c>
      <c r="AV45" s="39">
        <v>45279</v>
      </c>
      <c r="AW45" s="13" t="s">
        <v>1562</v>
      </c>
      <c r="AY45" s="41">
        <v>-0.72</v>
      </c>
      <c r="AZ45" s="41">
        <v>19.5</v>
      </c>
      <c r="BA45" s="41">
        <v>15.3</v>
      </c>
      <c r="BB45" s="41">
        <v>27.3</v>
      </c>
      <c r="BP45" s="15"/>
      <c r="BQ45" s="15"/>
      <c r="BR45" s="15"/>
      <c r="BS45" s="15"/>
      <c r="EA45" s="13" t="s">
        <v>1563</v>
      </c>
      <c r="EB45" s="13" t="s">
        <v>1564</v>
      </c>
      <c r="EC45" s="13" t="s">
        <v>1565</v>
      </c>
      <c r="ED45" s="13" t="s">
        <v>1454</v>
      </c>
      <c r="EE45" s="13" t="s">
        <v>1455</v>
      </c>
      <c r="EF45" s="39">
        <v>45176</v>
      </c>
      <c r="EG45" s="13" t="s">
        <v>1456</v>
      </c>
      <c r="EI45" s="41">
        <v>-0.73</v>
      </c>
      <c r="EJ45" s="41">
        <v>101</v>
      </c>
      <c r="EK45" s="41">
        <v>19.079999999999998</v>
      </c>
      <c r="EL45" s="41">
        <v>15.08</v>
      </c>
      <c r="EM45" s="41">
        <v>26.56</v>
      </c>
      <c r="EN45" s="41">
        <v>22.34</v>
      </c>
      <c r="EO45" s="41">
        <v>94.78</v>
      </c>
      <c r="EP45" s="13">
        <v>21.7</v>
      </c>
      <c r="EQ45" s="13">
        <v>19.8</v>
      </c>
      <c r="ER45" s="13">
        <v>63.49</v>
      </c>
      <c r="ES45" s="41">
        <v>18.95</v>
      </c>
      <c r="ET45" s="41">
        <v>18.170000000000002</v>
      </c>
      <c r="EU45" s="41">
        <v>15.25</v>
      </c>
      <c r="EV45" s="13">
        <v>0.5</v>
      </c>
      <c r="EW45" s="44">
        <v>-0.2</v>
      </c>
      <c r="EX45" s="13">
        <v>16</v>
      </c>
      <c r="EY45" s="41">
        <v>593.6</v>
      </c>
      <c r="EZ45" s="41">
        <v>506.5</v>
      </c>
      <c r="FA45" s="41">
        <v>364.4</v>
      </c>
      <c r="FB45" s="41">
        <v>201.1</v>
      </c>
      <c r="FC45" s="41">
        <v>1008</v>
      </c>
      <c r="FD45" s="41">
        <v>1.29</v>
      </c>
      <c r="FE45" s="41">
        <v>171.6</v>
      </c>
      <c r="FF45" s="41">
        <v>9.1199999999999992</v>
      </c>
      <c r="FG45" s="41">
        <v>691</v>
      </c>
      <c r="FH45" s="45">
        <v>4.4999999999999997E-3</v>
      </c>
      <c r="FI45" s="45">
        <v>7.6899999999999996E-2</v>
      </c>
      <c r="FJ45" s="45">
        <v>2.5000000000000001E-3</v>
      </c>
    </row>
    <row r="46" spans="1:425">
      <c r="A46" s="14">
        <v>37</v>
      </c>
      <c r="B46" s="15" t="str">
        <f>IF(ISBLANK(D[[#This Row],[CLAS_GRONDSOORT]]),"ONWAAR","WAAR")</f>
        <v>WAAR</v>
      </c>
      <c r="C46" s="15" t="str">
        <f>IF(ISBLANK(D[[#This Row],[CLAS_VN_HOOFDNAAM]]),"ONWAAR","WAAR")</f>
        <v>ONWAAR</v>
      </c>
      <c r="D46" s="15" t="str">
        <f>IF(ISBLANK(D[[#This Row],[KV_GRONDSOORT]]),"ONWAAR","WAAR")</f>
        <v>ONWAAR</v>
      </c>
      <c r="E46" s="15" t="str">
        <f>IF(ISBLANK(D[[#This Row],[CPT_QNET]]),"ONWAAR","WAAR")</f>
        <v>ONWAAR</v>
      </c>
      <c r="F46" s="15" t="str">
        <f>IF(ISBLANK(D[[#This Row],[CRS_GRONDSOORT]]),"ONWAAR","WAAR")</f>
        <v>WAAR</v>
      </c>
      <c r="G46" s="15" t="str">
        <f>IF(ISBLANK(D[[#This Row],[SD_GRONDSOORT]]),"ONWAAR","WAAR")</f>
        <v>ONWAAR</v>
      </c>
      <c r="H46" s="15" t="str">
        <f>IF(ISBLANK(D[[#This Row],[DSS_GRONDSOORT]]),"ONWAAR","WAAR")</f>
        <v>WAAR</v>
      </c>
      <c r="I46" s="15" t="str">
        <f>IF(ISBLANK(D[[#This Row],[TXT_SS_GRONDSOORT]]),"ONWAAR","WAAR")</f>
        <v>ONWAAR</v>
      </c>
      <c r="J46" s="13" t="s">
        <v>1566</v>
      </c>
      <c r="L46" s="13" t="s">
        <v>1418</v>
      </c>
      <c r="M46" s="13" t="s">
        <v>1419</v>
      </c>
      <c r="P46" s="13" t="s">
        <v>1420</v>
      </c>
      <c r="V46" s="41">
        <v>135949.51999999999</v>
      </c>
      <c r="W46" s="41">
        <v>416050.62</v>
      </c>
      <c r="X46" s="41">
        <v>6.52</v>
      </c>
      <c r="Y46" s="13" t="s">
        <v>1537</v>
      </c>
      <c r="Z46" s="13" t="s">
        <v>1422</v>
      </c>
      <c r="AA46" s="39">
        <v>45166</v>
      </c>
      <c r="AB46" s="13" t="s">
        <v>1538</v>
      </c>
      <c r="AC46" s="13" t="s">
        <v>1539</v>
      </c>
      <c r="AD46" s="13" t="s">
        <v>1425</v>
      </c>
      <c r="AE46" s="13" t="s">
        <v>1476</v>
      </c>
      <c r="AF46" s="13" t="s">
        <v>1427</v>
      </c>
      <c r="AG46" s="41">
        <v>1.02</v>
      </c>
      <c r="AI46" s="42" t="s">
        <v>1567</v>
      </c>
      <c r="AJ46" s="13" t="s">
        <v>1428</v>
      </c>
      <c r="AK46" s="13" t="s">
        <v>1429</v>
      </c>
      <c r="AL46" s="41">
        <v>-1.58</v>
      </c>
      <c r="AM46" s="41">
        <v>-1.78</v>
      </c>
      <c r="AN46" s="41">
        <v>8.1</v>
      </c>
      <c r="AO46" s="41">
        <v>8.3000000000000007</v>
      </c>
      <c r="AQ46" s="13" t="s">
        <v>1540</v>
      </c>
      <c r="AR46" s="13" t="s">
        <v>1431</v>
      </c>
      <c r="AS46" s="13" t="s">
        <v>1566</v>
      </c>
      <c r="AT46" s="13" t="s">
        <v>1425</v>
      </c>
      <c r="AU46" s="13" t="s">
        <v>1432</v>
      </c>
      <c r="AV46" s="39">
        <v>45279</v>
      </c>
      <c r="AW46" s="13" t="s">
        <v>1568</v>
      </c>
      <c r="AY46" s="41">
        <v>-1.71</v>
      </c>
      <c r="AZ46" s="41">
        <v>11.1</v>
      </c>
      <c r="BA46" s="41">
        <v>3.6</v>
      </c>
      <c r="BB46" s="41">
        <v>211.6</v>
      </c>
      <c r="BP46" s="15"/>
      <c r="BQ46" s="15"/>
      <c r="BR46" s="15"/>
      <c r="BS46" s="15"/>
      <c r="EA46" s="13" t="s">
        <v>1569</v>
      </c>
      <c r="EB46" s="13" t="s">
        <v>1570</v>
      </c>
      <c r="EC46" s="13" t="s">
        <v>1571</v>
      </c>
      <c r="ED46" s="13" t="s">
        <v>1454</v>
      </c>
      <c r="EE46" s="13" t="s">
        <v>1455</v>
      </c>
      <c r="EF46" s="39">
        <v>45176</v>
      </c>
      <c r="EG46" s="13" t="s">
        <v>1572</v>
      </c>
      <c r="EH46" s="13" t="s">
        <v>1573</v>
      </c>
      <c r="EI46" s="41">
        <v>-1.76</v>
      </c>
      <c r="EJ46" s="41">
        <v>107.5</v>
      </c>
      <c r="EK46" s="41">
        <v>10.96</v>
      </c>
      <c r="EL46" s="41">
        <v>3.63</v>
      </c>
      <c r="EM46" s="41">
        <v>201.8</v>
      </c>
      <c r="EN46" s="41">
        <v>146.1</v>
      </c>
      <c r="EO46" s="41">
        <v>93.93</v>
      </c>
      <c r="EP46" s="13">
        <v>21.7</v>
      </c>
      <c r="EQ46" s="13">
        <v>19.8</v>
      </c>
      <c r="ER46" s="13">
        <v>50.03</v>
      </c>
      <c r="ES46" s="41">
        <v>18.89</v>
      </c>
      <c r="ET46" s="41">
        <v>18.87</v>
      </c>
      <c r="EU46" s="41">
        <v>10.16</v>
      </c>
      <c r="EV46" s="13">
        <v>0.5</v>
      </c>
      <c r="EW46" s="44">
        <v>-0.2</v>
      </c>
      <c r="EX46" s="13">
        <v>16</v>
      </c>
      <c r="EY46" s="41">
        <v>648.9</v>
      </c>
      <c r="EZ46" s="41">
        <v>487.8</v>
      </c>
      <c r="FA46" s="41">
        <v>396.5</v>
      </c>
      <c r="FB46" s="41">
        <v>226.8</v>
      </c>
      <c r="FC46" s="41">
        <v>1083</v>
      </c>
      <c r="FD46" s="41">
        <v>2.67</v>
      </c>
      <c r="FE46" s="41">
        <v>174.9</v>
      </c>
      <c r="FF46" s="41">
        <v>5.66</v>
      </c>
      <c r="FG46" s="41">
        <v>750.4</v>
      </c>
      <c r="FH46" s="45">
        <v>2.7400000000000001E-2</v>
      </c>
      <c r="FI46" s="45">
        <v>0.312</v>
      </c>
      <c r="FJ46" s="45">
        <v>2.7E-2</v>
      </c>
      <c r="LG46" s="13" t="s">
        <v>1574</v>
      </c>
      <c r="LH46" s="13" t="s">
        <v>1575</v>
      </c>
      <c r="LI46" s="13" t="s">
        <v>1566</v>
      </c>
      <c r="LJ46" s="13" t="s">
        <v>1576</v>
      </c>
      <c r="LK46" s="13" t="s">
        <v>1577</v>
      </c>
      <c r="LL46" s="39">
        <v>45180</v>
      </c>
      <c r="LM46" s="13" t="s">
        <v>1572</v>
      </c>
      <c r="LN46" s="13" t="s">
        <v>1573</v>
      </c>
      <c r="LO46" s="41">
        <v>-1.71</v>
      </c>
      <c r="LP46" s="41">
        <v>107.5</v>
      </c>
      <c r="LQ46" s="41">
        <v>11.14</v>
      </c>
      <c r="LR46" s="41">
        <v>3.57</v>
      </c>
      <c r="LS46" s="41">
        <v>211.9</v>
      </c>
      <c r="LT46" s="41">
        <v>232.7</v>
      </c>
      <c r="LU46" s="41">
        <v>0.97050000000000003</v>
      </c>
      <c r="LV46" s="41">
        <v>3.87</v>
      </c>
      <c r="LW46" s="41">
        <v>3.2639999999999998</v>
      </c>
      <c r="LX46" s="44">
        <v>1772.5</v>
      </c>
      <c r="LY46" s="44">
        <v>21.7</v>
      </c>
      <c r="LZ46" s="44">
        <v>19.8</v>
      </c>
      <c r="MA46" s="41">
        <v>65.319999999999993</v>
      </c>
      <c r="MB46" s="41">
        <v>27.93</v>
      </c>
      <c r="MC46" s="41">
        <v>24.45</v>
      </c>
      <c r="MD46" s="41" t="s">
        <v>1578</v>
      </c>
      <c r="ME46" s="41" t="s">
        <v>1579</v>
      </c>
      <c r="MF46" s="41">
        <v>107.5</v>
      </c>
      <c r="MG46" s="41">
        <v>107.5</v>
      </c>
      <c r="MH46" s="43">
        <v>1</v>
      </c>
      <c r="MI46" s="41">
        <v>12.45</v>
      </c>
      <c r="MJ46" s="43">
        <v>1</v>
      </c>
      <c r="MK46" s="41">
        <v>22.06</v>
      </c>
      <c r="ML46" s="41">
        <v>4.58</v>
      </c>
      <c r="MM46" s="41">
        <v>1.1200000000000001</v>
      </c>
      <c r="MN46" s="41">
        <v>97.16</v>
      </c>
      <c r="MO46" s="41">
        <v>16.34</v>
      </c>
      <c r="MP46" s="41">
        <v>87.82</v>
      </c>
      <c r="MQ46" s="41">
        <v>23.87</v>
      </c>
      <c r="MR46" s="41">
        <v>78.69</v>
      </c>
      <c r="MS46" s="41">
        <v>32.19</v>
      </c>
      <c r="MT46" s="41">
        <v>75.08</v>
      </c>
      <c r="MU46" s="41">
        <v>34.75</v>
      </c>
      <c r="MV46" s="41">
        <v>71.47</v>
      </c>
      <c r="MW46" s="41">
        <v>37.159999999999997</v>
      </c>
      <c r="MX46" s="41">
        <v>66.22</v>
      </c>
      <c r="MY46" s="41">
        <v>37.76</v>
      </c>
      <c r="MZ46" s="41">
        <v>29.32</v>
      </c>
      <c r="NA46" s="41">
        <v>54.64</v>
      </c>
      <c r="NB46" s="41">
        <v>34.44</v>
      </c>
      <c r="NC46" s="41">
        <v>45.8</v>
      </c>
      <c r="NG46" s="41">
        <v>694.6</v>
      </c>
    </row>
    <row r="47" spans="1:425">
      <c r="A47" s="14">
        <v>38</v>
      </c>
      <c r="B47" s="15" t="str">
        <f>IF(ISBLANK(D[[#This Row],[CLAS_GRONDSOORT]]),"ONWAAR","WAAR")</f>
        <v>WAAR</v>
      </c>
      <c r="C47" s="15" t="str">
        <f>IF(ISBLANK(D[[#This Row],[CLAS_VN_HOOFDNAAM]]),"ONWAAR","WAAR")</f>
        <v>ONWAAR</v>
      </c>
      <c r="D47" s="15" t="str">
        <f>IF(ISBLANK(D[[#This Row],[KV_GRONDSOORT]]),"ONWAAR","WAAR")</f>
        <v>ONWAAR</v>
      </c>
      <c r="E47" s="15" t="str">
        <f>IF(ISBLANK(D[[#This Row],[CPT_QNET]]),"ONWAAR","WAAR")</f>
        <v>ONWAAR</v>
      </c>
      <c r="F47" s="15" t="str">
        <f>IF(ISBLANK(D[[#This Row],[CRS_GRONDSOORT]]),"ONWAAR","WAAR")</f>
        <v>ONWAAR</v>
      </c>
      <c r="G47" s="15" t="str">
        <f>IF(ISBLANK(D[[#This Row],[SD_GRONDSOORT]]),"ONWAAR","WAAR")</f>
        <v>ONWAAR</v>
      </c>
      <c r="H47" s="15" t="str">
        <f>IF(ISBLANK(D[[#This Row],[DSS_GRONDSOORT]]),"ONWAAR","WAAR")</f>
        <v>WAAR</v>
      </c>
      <c r="I47" s="15" t="str">
        <f>IF(ISBLANK(D[[#This Row],[TXT_SS_GRONDSOORT]]),"ONWAAR","WAAR")</f>
        <v>ONWAAR</v>
      </c>
      <c r="J47" s="13" t="s">
        <v>1580</v>
      </c>
      <c r="L47" s="13" t="s">
        <v>1418</v>
      </c>
      <c r="M47" s="13" t="s">
        <v>1419</v>
      </c>
      <c r="P47" s="13" t="s">
        <v>1420</v>
      </c>
      <c r="V47" s="41">
        <v>135949.51999999999</v>
      </c>
      <c r="W47" s="41">
        <v>416050.62</v>
      </c>
      <c r="X47" s="41">
        <v>6.52</v>
      </c>
      <c r="Y47" s="13" t="s">
        <v>1537</v>
      </c>
      <c r="Z47" s="13" t="s">
        <v>1422</v>
      </c>
      <c r="AA47" s="39">
        <v>45166</v>
      </c>
      <c r="AB47" s="13" t="s">
        <v>1538</v>
      </c>
      <c r="AC47" s="13" t="s">
        <v>1539</v>
      </c>
      <c r="AD47" s="13" t="s">
        <v>1425</v>
      </c>
      <c r="AE47" s="13" t="s">
        <v>1476</v>
      </c>
      <c r="AF47" s="13" t="s">
        <v>1427</v>
      </c>
      <c r="AG47" s="41">
        <v>1.02</v>
      </c>
      <c r="AI47" s="42" t="s">
        <v>1581</v>
      </c>
      <c r="AJ47" s="13" t="s">
        <v>1428</v>
      </c>
      <c r="AK47" s="13" t="s">
        <v>1429</v>
      </c>
      <c r="AL47" s="41">
        <v>-1.78</v>
      </c>
      <c r="AM47" s="41">
        <v>-1.98</v>
      </c>
      <c r="AN47" s="41">
        <v>8.3000000000000007</v>
      </c>
      <c r="AO47" s="41">
        <v>8.5</v>
      </c>
      <c r="AQ47" s="13" t="s">
        <v>1540</v>
      </c>
      <c r="AR47" s="13" t="s">
        <v>1431</v>
      </c>
      <c r="AS47" s="13" t="s">
        <v>1580</v>
      </c>
      <c r="AT47" s="13" t="s">
        <v>1425</v>
      </c>
      <c r="AU47" s="13" t="s">
        <v>1432</v>
      </c>
      <c r="AV47" s="39">
        <v>45279</v>
      </c>
      <c r="AW47" s="13" t="s">
        <v>1568</v>
      </c>
      <c r="AY47" s="41">
        <v>-1.81</v>
      </c>
      <c r="AZ47" s="41">
        <v>11.1</v>
      </c>
      <c r="BA47" s="41">
        <v>3.4</v>
      </c>
      <c r="BB47" s="41">
        <v>228.1</v>
      </c>
      <c r="BP47" s="15"/>
      <c r="BQ47" s="15"/>
      <c r="BR47" s="15"/>
      <c r="BS47" s="15"/>
      <c r="LG47" s="13" t="s">
        <v>1582</v>
      </c>
      <c r="LH47" s="13" t="s">
        <v>1583</v>
      </c>
      <c r="LI47" s="13" t="s">
        <v>1580</v>
      </c>
      <c r="LJ47" s="13" t="s">
        <v>1576</v>
      </c>
      <c r="LK47" s="13" t="s">
        <v>1577</v>
      </c>
      <c r="LL47" s="39">
        <v>45201</v>
      </c>
      <c r="LM47" s="13" t="s">
        <v>1572</v>
      </c>
      <c r="LN47" s="13" t="s">
        <v>1573</v>
      </c>
      <c r="LO47" s="41">
        <v>-1.81</v>
      </c>
      <c r="LP47" s="41">
        <v>107.5</v>
      </c>
      <c r="LQ47" s="41">
        <v>11.14</v>
      </c>
      <c r="LR47" s="41">
        <v>3.4</v>
      </c>
      <c r="LS47" s="41">
        <v>228.1</v>
      </c>
      <c r="LT47" s="41">
        <v>181.1</v>
      </c>
      <c r="LU47" s="41">
        <v>0.98129999999999995</v>
      </c>
      <c r="LV47" s="41">
        <v>4.1210000000000004</v>
      </c>
      <c r="LW47" s="41">
        <v>1.0529999999999999</v>
      </c>
      <c r="LX47" s="44">
        <v>1772.6</v>
      </c>
      <c r="LY47" s="44">
        <v>21.7</v>
      </c>
      <c r="LZ47" s="44">
        <v>19.8</v>
      </c>
      <c r="MA47" s="41">
        <v>65.319999999999993</v>
      </c>
      <c r="MB47" s="41">
        <v>27.93</v>
      </c>
      <c r="MC47" s="41">
        <v>11.2</v>
      </c>
      <c r="MD47" s="41" t="s">
        <v>1578</v>
      </c>
      <c r="ME47" s="41" t="s">
        <v>1579</v>
      </c>
      <c r="MF47" s="41">
        <v>295.10000000000002</v>
      </c>
      <c r="MG47" s="41">
        <v>295</v>
      </c>
      <c r="MH47" s="43">
        <v>1</v>
      </c>
      <c r="MI47" s="41">
        <v>59.9</v>
      </c>
      <c r="MJ47" s="43">
        <v>1</v>
      </c>
      <c r="MK47" s="41">
        <v>24.55</v>
      </c>
      <c r="ML47" s="41">
        <v>4.6790000000000003</v>
      </c>
      <c r="MM47" s="41">
        <v>0.52410000000000001</v>
      </c>
      <c r="MN47" s="41">
        <v>285</v>
      </c>
      <c r="MO47" s="41">
        <v>23.14</v>
      </c>
      <c r="MP47" s="41">
        <v>272.8</v>
      </c>
      <c r="MQ47" s="41">
        <v>46.43</v>
      </c>
      <c r="MR47" s="41">
        <v>253.7</v>
      </c>
      <c r="MS47" s="41">
        <v>68.56</v>
      </c>
      <c r="MT47" s="41">
        <v>240</v>
      </c>
      <c r="MU47" s="41">
        <v>82.37</v>
      </c>
      <c r="MV47" s="41">
        <v>230.2</v>
      </c>
      <c r="MW47" s="41">
        <v>91.5</v>
      </c>
      <c r="MX47" s="41">
        <v>204.7</v>
      </c>
      <c r="MY47" s="41">
        <v>108.7</v>
      </c>
      <c r="MZ47" s="41">
        <v>46.48</v>
      </c>
      <c r="NA47" s="41">
        <v>205.1</v>
      </c>
      <c r="NB47" s="41">
        <v>108.7</v>
      </c>
      <c r="NC47" s="41">
        <v>46.8</v>
      </c>
      <c r="NG47" s="41">
        <v>843.7</v>
      </c>
    </row>
    <row r="48" spans="1:425">
      <c r="A48" s="14">
        <v>39</v>
      </c>
      <c r="B48" s="15" t="str">
        <f>IF(ISBLANK(D[[#This Row],[CLAS_GRONDSOORT]]),"ONWAAR","WAAR")</f>
        <v>WAAR</v>
      </c>
      <c r="C48" s="15" t="str">
        <f>IF(ISBLANK(D[[#This Row],[CLAS_VN_HOOFDNAAM]]),"ONWAAR","WAAR")</f>
        <v>ONWAAR</v>
      </c>
      <c r="D48" s="15" t="str">
        <f>IF(ISBLANK(D[[#This Row],[KV_GRONDSOORT]]),"ONWAAR","WAAR")</f>
        <v>WAAR</v>
      </c>
      <c r="E48" s="15" t="str">
        <f>IF(ISBLANK(D[[#This Row],[CPT_QNET]]),"ONWAAR","WAAR")</f>
        <v>ONWAAR</v>
      </c>
      <c r="F48" s="15" t="str">
        <f>IF(ISBLANK(D[[#This Row],[CRS_GRONDSOORT]]),"ONWAAR","WAAR")</f>
        <v>ONWAAR</v>
      </c>
      <c r="G48" s="15" t="str">
        <f>IF(ISBLANK(D[[#This Row],[SD_GRONDSOORT]]),"ONWAAR","WAAR")</f>
        <v>ONWAAR</v>
      </c>
      <c r="H48" s="15" t="str">
        <f>IF(ISBLANK(D[[#This Row],[DSS_GRONDSOORT]]),"ONWAAR","WAAR")</f>
        <v>ONWAAR</v>
      </c>
      <c r="I48" s="15" t="str">
        <f>IF(ISBLANK(D[[#This Row],[TXT_SS_GRONDSOORT]]),"ONWAAR","WAAR")</f>
        <v>ONWAAR</v>
      </c>
      <c r="J48" s="13" t="s">
        <v>1584</v>
      </c>
      <c r="L48" s="13" t="s">
        <v>1418</v>
      </c>
      <c r="M48" s="13" t="s">
        <v>1419</v>
      </c>
      <c r="P48" s="13" t="s">
        <v>1420</v>
      </c>
      <c r="V48" s="41">
        <v>135949.51999999999</v>
      </c>
      <c r="W48" s="41">
        <v>416050.62</v>
      </c>
      <c r="X48" s="41">
        <v>6.52</v>
      </c>
      <c r="Y48" s="13" t="s">
        <v>1537</v>
      </c>
      <c r="Z48" s="13" t="s">
        <v>1422</v>
      </c>
      <c r="AA48" s="39">
        <v>45166</v>
      </c>
      <c r="AB48" s="13" t="s">
        <v>1538</v>
      </c>
      <c r="AC48" s="13" t="s">
        <v>1539</v>
      </c>
      <c r="AD48" s="13" t="s">
        <v>1425</v>
      </c>
      <c r="AE48" s="13" t="s">
        <v>1476</v>
      </c>
      <c r="AF48" s="13" t="s">
        <v>1427</v>
      </c>
      <c r="AG48" s="41">
        <v>1.02</v>
      </c>
      <c r="AI48" s="42" t="s">
        <v>1585</v>
      </c>
      <c r="AJ48" s="13" t="s">
        <v>1428</v>
      </c>
      <c r="AK48" s="13" t="s">
        <v>1429</v>
      </c>
      <c r="AL48" s="41">
        <v>-6.98</v>
      </c>
      <c r="AM48" s="41">
        <v>-7.2</v>
      </c>
      <c r="AN48" s="41">
        <v>13.5</v>
      </c>
      <c r="AO48" s="41">
        <v>13.72</v>
      </c>
      <c r="AQ48" s="13" t="s">
        <v>1540</v>
      </c>
      <c r="AR48" s="13" t="s">
        <v>1431</v>
      </c>
      <c r="AS48" s="13" t="s">
        <v>1584</v>
      </c>
      <c r="AT48" s="13" t="s">
        <v>1425</v>
      </c>
      <c r="AU48" s="13" t="s">
        <v>1432</v>
      </c>
      <c r="AV48" s="39">
        <v>45279</v>
      </c>
      <c r="AW48" s="13" t="s">
        <v>1586</v>
      </c>
      <c r="AY48" s="41">
        <v>-7.09</v>
      </c>
      <c r="AZ48" s="41"/>
      <c r="BA48" s="41"/>
      <c r="BB48" s="41"/>
      <c r="BP48" s="15"/>
      <c r="BQ48" s="15"/>
      <c r="BR48" s="15"/>
      <c r="BS48" s="15"/>
      <c r="CE48" s="13" t="s">
        <v>1587</v>
      </c>
      <c r="CF48" s="13" t="s">
        <v>1431</v>
      </c>
      <c r="CG48" s="13" t="s">
        <v>1584</v>
      </c>
      <c r="CH48" s="13" t="s">
        <v>1425</v>
      </c>
      <c r="CI48" s="13" t="s">
        <v>1524</v>
      </c>
      <c r="CJ48" s="39">
        <v>45212</v>
      </c>
      <c r="CK48" s="13" t="s">
        <v>1588</v>
      </c>
      <c r="CM48" s="13">
        <v>263</v>
      </c>
      <c r="CN48" s="13">
        <v>258</v>
      </c>
      <c r="CO48" s="41">
        <v>0.77</v>
      </c>
      <c r="CP48" s="41">
        <v>95.61</v>
      </c>
      <c r="CQ48" s="41">
        <v>2.12</v>
      </c>
      <c r="CR48" s="41">
        <v>100</v>
      </c>
      <c r="CS48" s="41">
        <v>100</v>
      </c>
      <c r="CT48" s="41">
        <v>100</v>
      </c>
      <c r="CU48" s="41">
        <v>99.99</v>
      </c>
      <c r="CV48" s="41">
        <v>99.69</v>
      </c>
      <c r="CW48" s="41">
        <v>99.23</v>
      </c>
      <c r="CX48" s="41">
        <v>98.31</v>
      </c>
      <c r="CY48" s="41">
        <v>91.7</v>
      </c>
      <c r="CZ48" s="41">
        <v>47.66</v>
      </c>
      <c r="DA48" s="41">
        <v>20.53</v>
      </c>
      <c r="DB48" s="41">
        <v>8.92</v>
      </c>
      <c r="DC48" s="41">
        <v>3.62</v>
      </c>
      <c r="DD48" s="41">
        <v>2.5</v>
      </c>
      <c r="DE48" s="41">
        <v>2.16</v>
      </c>
      <c r="DF48" s="41">
        <v>2</v>
      </c>
      <c r="DG48" s="41">
        <v>1.5</v>
      </c>
      <c r="DH48" s="13">
        <v>332</v>
      </c>
      <c r="DI48" s="13">
        <v>298</v>
      </c>
      <c r="DJ48" s="13">
        <v>263</v>
      </c>
      <c r="DK48" s="13">
        <v>145</v>
      </c>
      <c r="DL48" s="13">
        <v>2.0499999999999998</v>
      </c>
    </row>
    <row r="49" spans="1:425">
      <c r="A49" s="14">
        <v>40</v>
      </c>
      <c r="B49" s="15" t="str">
        <f>IF(ISBLANK(D[[#This Row],[CLAS_GRONDSOORT]]),"ONWAAR","WAAR")</f>
        <v>WAAR</v>
      </c>
      <c r="C49" s="15" t="str">
        <f>IF(ISBLANK(D[[#This Row],[CLAS_VN_HOOFDNAAM]]),"ONWAAR","WAAR")</f>
        <v>ONWAAR</v>
      </c>
      <c r="D49" s="15" t="str">
        <f>IF(ISBLANK(D[[#This Row],[KV_GRONDSOORT]]),"ONWAAR","WAAR")</f>
        <v>ONWAAR</v>
      </c>
      <c r="E49" s="15" t="str">
        <f>IF(ISBLANK(D[[#This Row],[CPT_QNET]]),"ONWAAR","WAAR")</f>
        <v>ONWAAR</v>
      </c>
      <c r="F49" s="15" t="str">
        <f>IF(ISBLANK(D[[#This Row],[CRS_GRONDSOORT]]),"ONWAAR","WAAR")</f>
        <v>ONWAAR</v>
      </c>
      <c r="G49" s="15" t="str">
        <f>IF(ISBLANK(D[[#This Row],[SD_GRONDSOORT]]),"ONWAAR","WAAR")</f>
        <v>ONWAAR</v>
      </c>
      <c r="H49" s="15" t="str">
        <f>IF(ISBLANK(D[[#This Row],[DSS_GRONDSOORT]]),"ONWAAR","WAAR")</f>
        <v>ONWAAR</v>
      </c>
      <c r="I49" s="15" t="str">
        <f>IF(ISBLANK(D[[#This Row],[TXT_SS_GRONDSOORT]]),"ONWAAR","WAAR")</f>
        <v>ONWAAR</v>
      </c>
      <c r="J49" s="13" t="s">
        <v>1589</v>
      </c>
      <c r="L49" s="13" t="s">
        <v>1418</v>
      </c>
      <c r="M49" s="13" t="s">
        <v>1419</v>
      </c>
      <c r="P49" s="13" t="s">
        <v>1420</v>
      </c>
      <c r="V49" s="41">
        <v>135949.51999999999</v>
      </c>
      <c r="W49" s="41">
        <v>416050.62</v>
      </c>
      <c r="X49" s="41">
        <v>6.52</v>
      </c>
      <c r="Y49" s="13" t="s">
        <v>1537</v>
      </c>
      <c r="Z49" s="13" t="s">
        <v>1422</v>
      </c>
      <c r="AA49" s="39">
        <v>45166</v>
      </c>
      <c r="AB49" s="13" t="s">
        <v>1538</v>
      </c>
      <c r="AC49" s="13" t="s">
        <v>1539</v>
      </c>
      <c r="AD49" s="13" t="s">
        <v>1425</v>
      </c>
      <c r="AE49" s="13" t="s">
        <v>1476</v>
      </c>
      <c r="AF49" s="13" t="s">
        <v>1427</v>
      </c>
      <c r="AG49" s="41">
        <v>1.02</v>
      </c>
      <c r="AI49" s="42" t="s">
        <v>1590</v>
      </c>
      <c r="AJ49" s="13" t="s">
        <v>1428</v>
      </c>
      <c r="AK49" s="13" t="s">
        <v>1429</v>
      </c>
      <c r="AL49" s="41">
        <v>-7.2</v>
      </c>
      <c r="AM49" s="41">
        <v>-7.38</v>
      </c>
      <c r="AN49" s="41">
        <v>13.72</v>
      </c>
      <c r="AO49" s="41">
        <v>13.9</v>
      </c>
      <c r="AQ49" s="13" t="s">
        <v>1540</v>
      </c>
      <c r="AR49" s="13" t="s">
        <v>1431</v>
      </c>
      <c r="AS49" s="13" t="s">
        <v>1589</v>
      </c>
      <c r="AT49" s="13" t="s">
        <v>1425</v>
      </c>
      <c r="AU49" s="13" t="s">
        <v>1432</v>
      </c>
      <c r="AV49" s="39">
        <v>45279</v>
      </c>
      <c r="AW49" s="13" t="s">
        <v>1591</v>
      </c>
      <c r="AY49" s="41">
        <v>-7.29</v>
      </c>
      <c r="AZ49" s="41"/>
      <c r="BA49" s="41"/>
      <c r="BB49" s="41"/>
      <c r="BI49" s="13">
        <v>2</v>
      </c>
      <c r="BM49" s="40">
        <v>3.5990733823438608E-6</v>
      </c>
      <c r="BP49" s="15"/>
      <c r="BQ49" s="15"/>
      <c r="BR49" s="15"/>
      <c r="BS49" s="15"/>
    </row>
    <row r="50" spans="1:425">
      <c r="A50" s="14">
        <v>41</v>
      </c>
      <c r="B50" s="15" t="str">
        <f>IF(ISBLANK(D[[#This Row],[CLAS_GRONDSOORT]]),"ONWAAR","WAAR")</f>
        <v>WAAR</v>
      </c>
      <c r="C50" s="15" t="str">
        <f>IF(ISBLANK(D[[#This Row],[CLAS_VN_HOOFDNAAM]]),"ONWAAR","WAAR")</f>
        <v>ONWAAR</v>
      </c>
      <c r="D50" s="15" t="str">
        <f>IF(ISBLANK(D[[#This Row],[KV_GRONDSOORT]]),"ONWAAR","WAAR")</f>
        <v>ONWAAR</v>
      </c>
      <c r="E50" s="15" t="str">
        <f>IF(ISBLANK(D[[#This Row],[CPT_QNET]]),"ONWAAR","WAAR")</f>
        <v>ONWAAR</v>
      </c>
      <c r="F50" s="15" t="str">
        <f>IF(ISBLANK(D[[#This Row],[CRS_GRONDSOORT]]),"ONWAAR","WAAR")</f>
        <v>ONWAAR</v>
      </c>
      <c r="G50" s="15" t="str">
        <f>IF(ISBLANK(D[[#This Row],[SD_GRONDSOORT]]),"ONWAAR","WAAR")</f>
        <v>ONWAAR</v>
      </c>
      <c r="H50" s="15" t="str">
        <f>IF(ISBLANK(D[[#This Row],[DSS_GRONDSOORT]]),"ONWAAR","WAAR")</f>
        <v>ONWAAR</v>
      </c>
      <c r="I50" s="15" t="str">
        <f>IF(ISBLANK(D[[#This Row],[TXT_SS_GRONDSOORT]]),"ONWAAR","WAAR")</f>
        <v>ONWAAR</v>
      </c>
      <c r="J50" s="13" t="s">
        <v>1592</v>
      </c>
      <c r="L50" s="13" t="s">
        <v>1418</v>
      </c>
      <c r="M50" s="13" t="s">
        <v>1419</v>
      </c>
      <c r="P50" s="13" t="s">
        <v>1420</v>
      </c>
      <c r="V50" s="41">
        <v>135949.51999999999</v>
      </c>
      <c r="W50" s="41">
        <v>416050.62</v>
      </c>
      <c r="X50" s="41">
        <v>6.52</v>
      </c>
      <c r="Y50" s="13" t="s">
        <v>1537</v>
      </c>
      <c r="Z50" s="13" t="s">
        <v>1422</v>
      </c>
      <c r="AA50" s="39">
        <v>45166</v>
      </c>
      <c r="AB50" s="13" t="s">
        <v>1538</v>
      </c>
      <c r="AC50" s="13" t="s">
        <v>1539</v>
      </c>
      <c r="AD50" s="13" t="s">
        <v>1425</v>
      </c>
      <c r="AE50" s="13" t="s">
        <v>1476</v>
      </c>
      <c r="AF50" s="13" t="s">
        <v>1427</v>
      </c>
      <c r="AG50" s="41">
        <v>1.02</v>
      </c>
      <c r="AI50" s="42" t="s">
        <v>1593</v>
      </c>
      <c r="AJ50" s="13" t="s">
        <v>1428</v>
      </c>
      <c r="AK50" s="13" t="s">
        <v>1429</v>
      </c>
      <c r="AL50" s="41">
        <v>-7.48</v>
      </c>
      <c r="AM50" s="41">
        <v>-7.68</v>
      </c>
      <c r="AN50" s="41">
        <v>14</v>
      </c>
      <c r="AO50" s="41">
        <v>14.2</v>
      </c>
      <c r="AQ50" s="13" t="s">
        <v>1540</v>
      </c>
      <c r="AR50" s="13" t="s">
        <v>1431</v>
      </c>
      <c r="AS50" s="13" t="s">
        <v>1592</v>
      </c>
      <c r="AT50" s="13" t="s">
        <v>1425</v>
      </c>
      <c r="AU50" s="13" t="s">
        <v>1432</v>
      </c>
      <c r="AV50" s="39">
        <v>45279</v>
      </c>
      <c r="AW50" s="13" t="s">
        <v>1594</v>
      </c>
      <c r="AY50" s="41">
        <v>-7.58</v>
      </c>
      <c r="AZ50" s="41"/>
      <c r="BA50" s="41"/>
      <c r="BB50" s="41"/>
      <c r="BP50" s="15"/>
      <c r="BQ50" s="15"/>
      <c r="BR50" s="15"/>
      <c r="BS50" s="15"/>
    </row>
    <row r="51" spans="1:425">
      <c r="A51" s="14">
        <v>42</v>
      </c>
      <c r="B51" s="15" t="str">
        <f>IF(ISBLANK(D[[#This Row],[CLAS_GRONDSOORT]]),"ONWAAR","WAAR")</f>
        <v>WAAR</v>
      </c>
      <c r="C51" s="15" t="str">
        <f>IF(ISBLANK(D[[#This Row],[CLAS_VN_HOOFDNAAM]]),"ONWAAR","WAAR")</f>
        <v>ONWAAR</v>
      </c>
      <c r="D51" s="15" t="str">
        <f>IF(ISBLANK(D[[#This Row],[KV_GRONDSOORT]]),"ONWAAR","WAAR")</f>
        <v>ONWAAR</v>
      </c>
      <c r="E51" s="15" t="str">
        <f>IF(ISBLANK(D[[#This Row],[CPT_QNET]]),"ONWAAR","WAAR")</f>
        <v>ONWAAR</v>
      </c>
      <c r="F51" s="15" t="str">
        <f>IF(ISBLANK(D[[#This Row],[CRS_GRONDSOORT]]),"ONWAAR","WAAR")</f>
        <v>ONWAAR</v>
      </c>
      <c r="G51" s="15" t="str">
        <f>IF(ISBLANK(D[[#This Row],[SD_GRONDSOORT]]),"ONWAAR","WAAR")</f>
        <v>ONWAAR</v>
      </c>
      <c r="H51" s="15" t="str">
        <f>IF(ISBLANK(D[[#This Row],[DSS_GRONDSOORT]]),"ONWAAR","WAAR")</f>
        <v>ONWAAR</v>
      </c>
      <c r="I51" s="15" t="str">
        <f>IF(ISBLANK(D[[#This Row],[TXT_SS_GRONDSOORT]]),"ONWAAR","WAAR")</f>
        <v>ONWAAR</v>
      </c>
      <c r="J51" s="13" t="s">
        <v>1595</v>
      </c>
      <c r="L51" s="13" t="s">
        <v>1418</v>
      </c>
      <c r="M51" s="13" t="s">
        <v>1419</v>
      </c>
      <c r="P51" s="13" t="s">
        <v>1420</v>
      </c>
      <c r="V51" s="41">
        <v>135949.51999999999</v>
      </c>
      <c r="W51" s="41">
        <v>416050.62</v>
      </c>
      <c r="X51" s="41">
        <v>6.52</v>
      </c>
      <c r="Y51" s="13" t="s">
        <v>1537</v>
      </c>
      <c r="Z51" s="13" t="s">
        <v>1422</v>
      </c>
      <c r="AA51" s="39">
        <v>45166</v>
      </c>
      <c r="AB51" s="13" t="s">
        <v>1538</v>
      </c>
      <c r="AC51" s="13" t="s">
        <v>1539</v>
      </c>
      <c r="AD51" s="13" t="s">
        <v>1425</v>
      </c>
      <c r="AE51" s="13" t="s">
        <v>1476</v>
      </c>
      <c r="AF51" s="13" t="s">
        <v>1427</v>
      </c>
      <c r="AG51" s="41">
        <v>1.02</v>
      </c>
      <c r="AI51" s="42" t="s">
        <v>1596</v>
      </c>
      <c r="AJ51" s="13" t="s">
        <v>1428</v>
      </c>
      <c r="AK51" s="13" t="s">
        <v>1429</v>
      </c>
      <c r="AL51" s="41">
        <v>-7.68</v>
      </c>
      <c r="AM51" s="41">
        <v>-7.98</v>
      </c>
      <c r="AN51" s="41">
        <v>14.2</v>
      </c>
      <c r="AO51" s="41">
        <v>14.5</v>
      </c>
      <c r="AQ51" s="13" t="s">
        <v>1540</v>
      </c>
      <c r="AR51" s="13" t="s">
        <v>1431</v>
      </c>
      <c r="AS51" s="13" t="s">
        <v>1595</v>
      </c>
      <c r="AT51" s="13" t="s">
        <v>1425</v>
      </c>
      <c r="AU51" s="13" t="s">
        <v>1432</v>
      </c>
      <c r="AV51" s="39">
        <v>45279</v>
      </c>
      <c r="AW51" s="13" t="s">
        <v>1597</v>
      </c>
      <c r="AY51" s="41">
        <v>-7.83</v>
      </c>
      <c r="AZ51" s="41"/>
      <c r="BA51" s="41"/>
      <c r="BB51" s="41"/>
      <c r="BP51" s="15"/>
      <c r="BQ51" s="15"/>
      <c r="BR51" s="15"/>
      <c r="BS51" s="15"/>
    </row>
    <row r="52" spans="1:425">
      <c r="A52" s="14">
        <v>43</v>
      </c>
      <c r="B52" s="15" t="str">
        <f>IF(ISBLANK(D[[#This Row],[CLAS_GRONDSOORT]]),"ONWAAR","WAAR")</f>
        <v>WAAR</v>
      </c>
      <c r="C52" s="15" t="str">
        <f>IF(ISBLANK(D[[#This Row],[CLAS_VN_HOOFDNAAM]]),"ONWAAR","WAAR")</f>
        <v>ONWAAR</v>
      </c>
      <c r="D52" s="15" t="str">
        <f>IF(ISBLANK(D[[#This Row],[KV_GRONDSOORT]]),"ONWAAR","WAAR")</f>
        <v>ONWAAR</v>
      </c>
      <c r="E52" s="15" t="str">
        <f>IF(ISBLANK(D[[#This Row],[CPT_QNET]]),"ONWAAR","WAAR")</f>
        <v>ONWAAR</v>
      </c>
      <c r="F52" s="15" t="str">
        <f>IF(ISBLANK(D[[#This Row],[CRS_GRONDSOORT]]),"ONWAAR","WAAR")</f>
        <v>ONWAAR</v>
      </c>
      <c r="G52" s="15" t="str">
        <f>IF(ISBLANK(D[[#This Row],[SD_GRONDSOORT]]),"ONWAAR","WAAR")</f>
        <v>ONWAAR</v>
      </c>
      <c r="H52" s="15" t="str">
        <f>IF(ISBLANK(D[[#This Row],[DSS_GRONDSOORT]]),"ONWAAR","WAAR")</f>
        <v>ONWAAR</v>
      </c>
      <c r="I52" s="15" t="str">
        <f>IF(ISBLANK(D[[#This Row],[TXT_SS_GRONDSOORT]]),"ONWAAR","WAAR")</f>
        <v>ONWAAR</v>
      </c>
      <c r="J52" s="13" t="s">
        <v>1598</v>
      </c>
      <c r="L52" s="13" t="s">
        <v>1418</v>
      </c>
      <c r="M52" s="13" t="s">
        <v>1419</v>
      </c>
      <c r="P52" s="13" t="s">
        <v>1420</v>
      </c>
      <c r="V52" s="41">
        <v>135949.51999999999</v>
      </c>
      <c r="W52" s="41">
        <v>416050.62</v>
      </c>
      <c r="X52" s="41">
        <v>6.52</v>
      </c>
      <c r="Y52" s="13" t="s">
        <v>1537</v>
      </c>
      <c r="Z52" s="13" t="s">
        <v>1422</v>
      </c>
      <c r="AA52" s="39">
        <v>45166</v>
      </c>
      <c r="AB52" s="13" t="s">
        <v>1538</v>
      </c>
      <c r="AC52" s="13" t="s">
        <v>1539</v>
      </c>
      <c r="AD52" s="13" t="s">
        <v>1425</v>
      </c>
      <c r="AE52" s="13" t="s">
        <v>1476</v>
      </c>
      <c r="AF52" s="13" t="s">
        <v>1427</v>
      </c>
      <c r="AG52" s="41">
        <v>1.02</v>
      </c>
      <c r="AI52" s="42" t="s">
        <v>1599</v>
      </c>
      <c r="AJ52" s="13" t="s">
        <v>1428</v>
      </c>
      <c r="AK52" s="13" t="s">
        <v>1429</v>
      </c>
      <c r="AL52" s="41">
        <v>-11.48</v>
      </c>
      <c r="AM52" s="41">
        <v>-11.59</v>
      </c>
      <c r="AN52" s="41">
        <v>18</v>
      </c>
      <c r="AO52" s="41">
        <v>18.11</v>
      </c>
      <c r="AQ52" s="13" t="s">
        <v>1540</v>
      </c>
      <c r="AR52" s="13" t="s">
        <v>1431</v>
      </c>
      <c r="AS52" s="13" t="s">
        <v>1598</v>
      </c>
      <c r="AT52" s="13" t="s">
        <v>1425</v>
      </c>
      <c r="AU52" s="13" t="s">
        <v>1432</v>
      </c>
      <c r="AV52" s="39">
        <v>45279</v>
      </c>
      <c r="AW52" s="13" t="s">
        <v>1600</v>
      </c>
      <c r="AY52" s="41">
        <v>-11.54</v>
      </c>
      <c r="AZ52" s="41"/>
      <c r="BA52" s="41"/>
      <c r="BB52" s="41"/>
      <c r="BP52" s="15"/>
      <c r="BQ52" s="15"/>
      <c r="BR52" s="15"/>
      <c r="BS52" s="15"/>
    </row>
    <row r="53" spans="1:425">
      <c r="A53" s="14">
        <v>44</v>
      </c>
      <c r="B53" s="15" t="str">
        <f>IF(ISBLANK(D[[#This Row],[CLAS_GRONDSOORT]]),"ONWAAR","WAAR")</f>
        <v>WAAR</v>
      </c>
      <c r="C53" s="15" t="str">
        <f>IF(ISBLANK(D[[#This Row],[CLAS_VN_HOOFDNAAM]]),"ONWAAR","WAAR")</f>
        <v>ONWAAR</v>
      </c>
      <c r="D53" s="15" t="str">
        <f>IF(ISBLANK(D[[#This Row],[KV_GRONDSOORT]]),"ONWAAR","WAAR")</f>
        <v>ONWAAR</v>
      </c>
      <c r="E53" s="15" t="str">
        <f>IF(ISBLANK(D[[#This Row],[CPT_QNET]]),"ONWAAR","WAAR")</f>
        <v>ONWAAR</v>
      </c>
      <c r="F53" s="15" t="str">
        <f>IF(ISBLANK(D[[#This Row],[CRS_GRONDSOORT]]),"ONWAAR","WAAR")</f>
        <v>ONWAAR</v>
      </c>
      <c r="G53" s="15" t="str">
        <f>IF(ISBLANK(D[[#This Row],[SD_GRONDSOORT]]),"ONWAAR","WAAR")</f>
        <v>ONWAAR</v>
      </c>
      <c r="H53" s="15" t="str">
        <f>IF(ISBLANK(D[[#This Row],[DSS_GRONDSOORT]]),"ONWAAR","WAAR")</f>
        <v>ONWAAR</v>
      </c>
      <c r="I53" s="15" t="str">
        <f>IF(ISBLANK(D[[#This Row],[TXT_SS_GRONDSOORT]]),"ONWAAR","WAAR")</f>
        <v>ONWAAR</v>
      </c>
      <c r="J53" s="13" t="s">
        <v>1601</v>
      </c>
      <c r="L53" s="13" t="s">
        <v>1418</v>
      </c>
      <c r="M53" s="13" t="s">
        <v>1419</v>
      </c>
      <c r="P53" s="13" t="s">
        <v>1420</v>
      </c>
      <c r="V53" s="41">
        <v>135949.51999999999</v>
      </c>
      <c r="W53" s="41">
        <v>416050.62</v>
      </c>
      <c r="X53" s="41">
        <v>6.52</v>
      </c>
      <c r="Y53" s="13" t="s">
        <v>1537</v>
      </c>
      <c r="Z53" s="13" t="s">
        <v>1422</v>
      </c>
      <c r="AA53" s="39">
        <v>45166</v>
      </c>
      <c r="AB53" s="13" t="s">
        <v>1538</v>
      </c>
      <c r="AC53" s="13" t="s">
        <v>1539</v>
      </c>
      <c r="AD53" s="13" t="s">
        <v>1425</v>
      </c>
      <c r="AE53" s="13" t="s">
        <v>1476</v>
      </c>
      <c r="AF53" s="13" t="s">
        <v>1427</v>
      </c>
      <c r="AG53" s="41">
        <v>1.02</v>
      </c>
      <c r="AI53" s="42" t="s">
        <v>1602</v>
      </c>
      <c r="AJ53" s="13" t="s">
        <v>1428</v>
      </c>
      <c r="AK53" s="13" t="s">
        <v>1429</v>
      </c>
      <c r="AL53" s="41">
        <v>-11.59</v>
      </c>
      <c r="AM53" s="41">
        <v>-11.88</v>
      </c>
      <c r="AN53" s="41">
        <v>18.11</v>
      </c>
      <c r="AO53" s="41">
        <v>18.399999999999999</v>
      </c>
      <c r="AQ53" s="13" t="s">
        <v>1540</v>
      </c>
      <c r="AR53" s="13" t="s">
        <v>1431</v>
      </c>
      <c r="AS53" s="13" t="s">
        <v>1601</v>
      </c>
      <c r="AT53" s="13" t="s">
        <v>1425</v>
      </c>
      <c r="AU53" s="13" t="s">
        <v>1432</v>
      </c>
      <c r="AV53" s="39">
        <v>45279</v>
      </c>
      <c r="AW53" s="13" t="s">
        <v>1603</v>
      </c>
      <c r="AY53" s="41">
        <v>-11.68</v>
      </c>
      <c r="AZ53" s="41">
        <v>18.600000000000001</v>
      </c>
      <c r="BA53" s="41">
        <v>14.4</v>
      </c>
      <c r="BB53" s="41">
        <v>29.1</v>
      </c>
      <c r="BP53" s="15"/>
      <c r="BQ53" s="15"/>
      <c r="BR53" s="15"/>
      <c r="BS53" s="15"/>
    </row>
    <row r="54" spans="1:425">
      <c r="A54" s="14">
        <v>45</v>
      </c>
      <c r="B54" s="15" t="str">
        <f>IF(ISBLANK(D[[#This Row],[CLAS_GRONDSOORT]]),"ONWAAR","WAAR")</f>
        <v>WAAR</v>
      </c>
      <c r="C54" s="15" t="str">
        <f>IF(ISBLANK(D[[#This Row],[CLAS_VN_HOOFDNAAM]]),"ONWAAR","WAAR")</f>
        <v>ONWAAR</v>
      </c>
      <c r="D54" s="15" t="str">
        <f>IF(ISBLANK(D[[#This Row],[KV_GRONDSOORT]]),"ONWAAR","WAAR")</f>
        <v>ONWAAR</v>
      </c>
      <c r="E54" s="15" t="str">
        <f>IF(ISBLANK(D[[#This Row],[CPT_QNET]]),"ONWAAR","WAAR")</f>
        <v>ONWAAR</v>
      </c>
      <c r="F54" s="15" t="str">
        <f>IF(ISBLANK(D[[#This Row],[CRS_GRONDSOORT]]),"ONWAAR","WAAR")</f>
        <v>ONWAAR</v>
      </c>
      <c r="G54" s="15" t="str">
        <f>IF(ISBLANK(D[[#This Row],[SD_GRONDSOORT]]),"ONWAAR","WAAR")</f>
        <v>ONWAAR</v>
      </c>
      <c r="H54" s="15" t="str">
        <f>IF(ISBLANK(D[[#This Row],[DSS_GRONDSOORT]]),"ONWAAR","WAAR")</f>
        <v>ONWAAR</v>
      </c>
      <c r="I54" s="15" t="str">
        <f>IF(ISBLANK(D[[#This Row],[TXT_SS_GRONDSOORT]]),"ONWAAR","WAAR")</f>
        <v>ONWAAR</v>
      </c>
      <c r="J54" s="13" t="s">
        <v>1604</v>
      </c>
      <c r="L54" s="13" t="s">
        <v>1418</v>
      </c>
      <c r="M54" s="13" t="s">
        <v>1419</v>
      </c>
      <c r="P54" s="13" t="s">
        <v>1420</v>
      </c>
      <c r="V54" s="41">
        <v>135949.51999999999</v>
      </c>
      <c r="W54" s="41">
        <v>416050.62</v>
      </c>
      <c r="X54" s="41">
        <v>6.52</v>
      </c>
      <c r="Y54" s="13" t="s">
        <v>1537</v>
      </c>
      <c r="Z54" s="13" t="s">
        <v>1422</v>
      </c>
      <c r="AA54" s="39">
        <v>45166</v>
      </c>
      <c r="AB54" s="13" t="s">
        <v>1538</v>
      </c>
      <c r="AC54" s="13" t="s">
        <v>1539</v>
      </c>
      <c r="AD54" s="13" t="s">
        <v>1425</v>
      </c>
      <c r="AE54" s="13" t="s">
        <v>1476</v>
      </c>
      <c r="AF54" s="13" t="s">
        <v>1427</v>
      </c>
      <c r="AG54" s="41">
        <v>1.02</v>
      </c>
      <c r="AI54" s="42">
        <v>13</v>
      </c>
      <c r="AJ54" s="13" t="s">
        <v>1428</v>
      </c>
      <c r="AK54" s="13" t="s">
        <v>1429</v>
      </c>
      <c r="AL54" s="41">
        <v>-11.98</v>
      </c>
      <c r="AM54" s="41">
        <v>-12.38</v>
      </c>
      <c r="AN54" s="41">
        <v>18.5</v>
      </c>
      <c r="AO54" s="41">
        <v>18.899999999999999</v>
      </c>
      <c r="AQ54" s="13" t="s">
        <v>1540</v>
      </c>
      <c r="AR54" s="13" t="s">
        <v>1431</v>
      </c>
      <c r="AS54" s="13" t="s">
        <v>1604</v>
      </c>
      <c r="AT54" s="13" t="s">
        <v>1425</v>
      </c>
      <c r="AU54" s="13" t="s">
        <v>1432</v>
      </c>
      <c r="AV54" s="39">
        <v>45279</v>
      </c>
      <c r="AW54" s="13" t="s">
        <v>1605</v>
      </c>
      <c r="AY54" s="41">
        <v>-12.18</v>
      </c>
      <c r="AZ54" s="41"/>
      <c r="BA54" s="41"/>
      <c r="BB54" s="41"/>
      <c r="BP54" s="15"/>
      <c r="BQ54" s="15"/>
      <c r="BR54" s="15"/>
      <c r="BS54" s="15"/>
    </row>
    <row r="55" spans="1:425">
      <c r="A55" s="14">
        <v>46</v>
      </c>
      <c r="B55" s="15" t="str">
        <f>IF(ISBLANK(D[[#This Row],[CLAS_GRONDSOORT]]),"ONWAAR","WAAR")</f>
        <v>WAAR</v>
      </c>
      <c r="C55" s="15" t="str">
        <f>IF(ISBLANK(D[[#This Row],[CLAS_VN_HOOFDNAAM]]),"ONWAAR","WAAR")</f>
        <v>ONWAAR</v>
      </c>
      <c r="D55" s="15" t="str">
        <f>IF(ISBLANK(D[[#This Row],[KV_GRONDSOORT]]),"ONWAAR","WAAR")</f>
        <v>ONWAAR</v>
      </c>
      <c r="E55" s="15" t="str">
        <f>IF(ISBLANK(D[[#This Row],[CPT_QNET]]),"ONWAAR","WAAR")</f>
        <v>ONWAAR</v>
      </c>
      <c r="F55" s="15" t="str">
        <f>IF(ISBLANK(D[[#This Row],[CRS_GRONDSOORT]]),"ONWAAR","WAAR")</f>
        <v>ONWAAR</v>
      </c>
      <c r="G55" s="15" t="str">
        <f>IF(ISBLANK(D[[#This Row],[SD_GRONDSOORT]]),"ONWAAR","WAAR")</f>
        <v>ONWAAR</v>
      </c>
      <c r="H55" s="15" t="str">
        <f>IF(ISBLANK(D[[#This Row],[DSS_GRONDSOORT]]),"ONWAAR","WAAR")</f>
        <v>ONWAAR</v>
      </c>
      <c r="I55" s="15" t="str">
        <f>IF(ISBLANK(D[[#This Row],[TXT_SS_GRONDSOORT]]),"ONWAAR","WAAR")</f>
        <v>ONWAAR</v>
      </c>
      <c r="J55" s="13" t="s">
        <v>1606</v>
      </c>
      <c r="L55" s="13" t="s">
        <v>1418</v>
      </c>
      <c r="M55" s="13" t="s">
        <v>1419</v>
      </c>
      <c r="P55" s="13" t="s">
        <v>1420</v>
      </c>
      <c r="V55" s="41">
        <v>135592.91</v>
      </c>
      <c r="W55" s="41">
        <v>415884.41</v>
      </c>
      <c r="X55" s="41">
        <v>6.56</v>
      </c>
      <c r="Y55" s="13" t="s">
        <v>1607</v>
      </c>
      <c r="Z55" s="13" t="s">
        <v>1422</v>
      </c>
      <c r="AA55" s="39">
        <v>45168</v>
      </c>
      <c r="AB55" s="13" t="s">
        <v>1608</v>
      </c>
      <c r="AC55" s="13" t="s">
        <v>1609</v>
      </c>
      <c r="AD55" s="13" t="s">
        <v>1425</v>
      </c>
      <c r="AE55" s="13" t="s">
        <v>1610</v>
      </c>
      <c r="AF55" s="13" t="s">
        <v>1427</v>
      </c>
      <c r="AG55" s="41">
        <v>-0.34</v>
      </c>
      <c r="AI55" s="42">
        <v>1</v>
      </c>
      <c r="AJ55" s="13" t="s">
        <v>1428</v>
      </c>
      <c r="AK55" s="13" t="s">
        <v>1429</v>
      </c>
      <c r="AL55" s="41">
        <v>5.46</v>
      </c>
      <c r="AM55" s="41">
        <v>5.0599999999999996</v>
      </c>
      <c r="AN55" s="41">
        <v>1.1000000000000001</v>
      </c>
      <c r="AO55" s="41">
        <v>1.5</v>
      </c>
      <c r="AQ55" s="13" t="s">
        <v>1611</v>
      </c>
      <c r="AR55" s="13" t="s">
        <v>1431</v>
      </c>
      <c r="AS55" s="13" t="s">
        <v>1606</v>
      </c>
      <c r="AT55" s="13" t="s">
        <v>1425</v>
      </c>
      <c r="AU55" s="13" t="s">
        <v>1432</v>
      </c>
      <c r="AV55" s="39">
        <v>45279</v>
      </c>
      <c r="AW55" s="13" t="s">
        <v>1612</v>
      </c>
      <c r="AY55" s="41">
        <v>5.31</v>
      </c>
      <c r="AZ55" s="41">
        <v>17.8</v>
      </c>
      <c r="BA55" s="41">
        <v>13.1</v>
      </c>
      <c r="BB55" s="41">
        <v>35.9</v>
      </c>
      <c r="BP55" s="15"/>
      <c r="BQ55" s="15"/>
      <c r="BR55" s="15"/>
      <c r="BS55" s="15"/>
    </row>
    <row r="56" spans="1:425">
      <c r="A56" s="14">
        <v>47</v>
      </c>
      <c r="B56" s="15" t="str">
        <f>IF(ISBLANK(D[[#This Row],[CLAS_GRONDSOORT]]),"ONWAAR","WAAR")</f>
        <v>WAAR</v>
      </c>
      <c r="C56" s="15" t="str">
        <f>IF(ISBLANK(D[[#This Row],[CLAS_VN_HOOFDNAAM]]),"ONWAAR","WAAR")</f>
        <v>ONWAAR</v>
      </c>
      <c r="D56" s="15" t="str">
        <f>IF(ISBLANK(D[[#This Row],[KV_GRONDSOORT]]),"ONWAAR","WAAR")</f>
        <v>ONWAAR</v>
      </c>
      <c r="E56" s="15" t="str">
        <f>IF(ISBLANK(D[[#This Row],[CPT_QNET]]),"ONWAAR","WAAR")</f>
        <v>ONWAAR</v>
      </c>
      <c r="F56" s="15" t="str">
        <f>IF(ISBLANK(D[[#This Row],[CRS_GRONDSOORT]]),"ONWAAR","WAAR")</f>
        <v>ONWAAR</v>
      </c>
      <c r="G56" s="15" t="str">
        <f>IF(ISBLANK(D[[#This Row],[SD_GRONDSOORT]]),"ONWAAR","WAAR")</f>
        <v>ONWAAR</v>
      </c>
      <c r="H56" s="15" t="str">
        <f>IF(ISBLANK(D[[#This Row],[DSS_GRONDSOORT]]),"ONWAAR","WAAR")</f>
        <v>ONWAAR</v>
      </c>
      <c r="I56" s="15" t="str">
        <f>IF(ISBLANK(D[[#This Row],[TXT_SS_GRONDSOORT]]),"ONWAAR","WAAR")</f>
        <v>ONWAAR</v>
      </c>
      <c r="J56" s="13" t="s">
        <v>1613</v>
      </c>
      <c r="L56" s="13" t="s">
        <v>1418</v>
      </c>
      <c r="M56" s="13" t="s">
        <v>1419</v>
      </c>
      <c r="P56" s="13" t="s">
        <v>1420</v>
      </c>
      <c r="V56" s="41">
        <v>135592.91</v>
      </c>
      <c r="W56" s="41">
        <v>415884.41</v>
      </c>
      <c r="X56" s="41">
        <v>6.56</v>
      </c>
      <c r="Y56" s="13" t="s">
        <v>1607</v>
      </c>
      <c r="Z56" s="13" t="s">
        <v>1422</v>
      </c>
      <c r="AA56" s="39">
        <v>45168</v>
      </c>
      <c r="AB56" s="13" t="s">
        <v>1608</v>
      </c>
      <c r="AC56" s="13" t="s">
        <v>1609</v>
      </c>
      <c r="AD56" s="13" t="s">
        <v>1425</v>
      </c>
      <c r="AE56" s="13" t="s">
        <v>1610</v>
      </c>
      <c r="AF56" s="13" t="s">
        <v>1427</v>
      </c>
      <c r="AG56" s="41">
        <v>-0.34</v>
      </c>
      <c r="AI56" s="42">
        <v>2</v>
      </c>
      <c r="AJ56" s="13" t="s">
        <v>1428</v>
      </c>
      <c r="AK56" s="13" t="s">
        <v>1429</v>
      </c>
      <c r="AL56" s="41">
        <v>4.5599999999999996</v>
      </c>
      <c r="AM56" s="41">
        <v>4.16</v>
      </c>
      <c r="AN56" s="41">
        <v>2</v>
      </c>
      <c r="AO56" s="41">
        <v>2.4</v>
      </c>
      <c r="AQ56" s="13" t="s">
        <v>1611</v>
      </c>
      <c r="AR56" s="13" t="s">
        <v>1431</v>
      </c>
      <c r="AS56" s="13" t="s">
        <v>1613</v>
      </c>
      <c r="AT56" s="13" t="s">
        <v>1425</v>
      </c>
      <c r="AU56" s="13" t="s">
        <v>1432</v>
      </c>
      <c r="AV56" s="39">
        <v>45279</v>
      </c>
      <c r="AW56" s="13" t="s">
        <v>1614</v>
      </c>
      <c r="AY56" s="41">
        <v>4.38</v>
      </c>
      <c r="AZ56" s="41">
        <v>17.2</v>
      </c>
      <c r="BA56" s="41">
        <v>11.9</v>
      </c>
      <c r="BB56" s="41">
        <v>44.4</v>
      </c>
      <c r="BP56" s="15"/>
      <c r="BQ56" s="15"/>
      <c r="BR56" s="15"/>
      <c r="BS56" s="15"/>
    </row>
    <row r="57" spans="1:425">
      <c r="A57" s="14">
        <v>48</v>
      </c>
      <c r="B57" s="15" t="str">
        <f>IF(ISBLANK(D[[#This Row],[CLAS_GRONDSOORT]]),"ONWAAR","WAAR")</f>
        <v>WAAR</v>
      </c>
      <c r="C57" s="15" t="str">
        <f>IF(ISBLANK(D[[#This Row],[CLAS_VN_HOOFDNAAM]]),"ONWAAR","WAAR")</f>
        <v>ONWAAR</v>
      </c>
      <c r="D57" s="15" t="str">
        <f>IF(ISBLANK(D[[#This Row],[KV_GRONDSOORT]]),"ONWAAR","WAAR")</f>
        <v>ONWAAR</v>
      </c>
      <c r="E57" s="15" t="str">
        <f>IF(ISBLANK(D[[#This Row],[CPT_QNET]]),"ONWAAR","WAAR")</f>
        <v>ONWAAR</v>
      </c>
      <c r="F57" s="15" t="str">
        <f>IF(ISBLANK(D[[#This Row],[CRS_GRONDSOORT]]),"ONWAAR","WAAR")</f>
        <v>ONWAAR</v>
      </c>
      <c r="G57" s="15" t="str">
        <f>IF(ISBLANK(D[[#This Row],[SD_GRONDSOORT]]),"ONWAAR","WAAR")</f>
        <v>ONWAAR</v>
      </c>
      <c r="H57" s="15" t="str">
        <f>IF(ISBLANK(D[[#This Row],[DSS_GRONDSOORT]]),"ONWAAR","WAAR")</f>
        <v>ONWAAR</v>
      </c>
      <c r="I57" s="15" t="str">
        <f>IF(ISBLANK(D[[#This Row],[TXT_SS_GRONDSOORT]]),"ONWAAR","WAAR")</f>
        <v>WAAR</v>
      </c>
      <c r="J57" s="13" t="s">
        <v>1615</v>
      </c>
      <c r="L57" s="13" t="s">
        <v>1418</v>
      </c>
      <c r="M57" s="13" t="s">
        <v>1419</v>
      </c>
      <c r="P57" s="13" t="s">
        <v>1420</v>
      </c>
      <c r="V57" s="41">
        <v>135592.91</v>
      </c>
      <c r="W57" s="41">
        <v>415884.41</v>
      </c>
      <c r="X57" s="41">
        <v>6.56</v>
      </c>
      <c r="Y57" s="13" t="s">
        <v>1607</v>
      </c>
      <c r="Z57" s="13" t="s">
        <v>1422</v>
      </c>
      <c r="AA57" s="39">
        <v>45168</v>
      </c>
      <c r="AB57" s="13" t="s">
        <v>1608</v>
      </c>
      <c r="AC57" s="13" t="s">
        <v>1609</v>
      </c>
      <c r="AD57" s="13" t="s">
        <v>1425</v>
      </c>
      <c r="AE57" s="13" t="s">
        <v>1610</v>
      </c>
      <c r="AF57" s="13" t="s">
        <v>1427</v>
      </c>
      <c r="AG57" s="41">
        <v>-0.34</v>
      </c>
      <c r="AI57" s="42">
        <v>13</v>
      </c>
      <c r="AJ57" s="13" t="s">
        <v>1428</v>
      </c>
      <c r="AK57" s="13" t="s">
        <v>1429</v>
      </c>
      <c r="AL57" s="41">
        <v>4.16</v>
      </c>
      <c r="AM57" s="41">
        <v>3.76</v>
      </c>
      <c r="AN57" s="41">
        <v>2.4</v>
      </c>
      <c r="AO57" s="41">
        <v>2.8</v>
      </c>
      <c r="AP57" s="13">
        <v>13.6</v>
      </c>
      <c r="AQ57" s="13" t="s">
        <v>1611</v>
      </c>
      <c r="AR57" s="13" t="s">
        <v>1431</v>
      </c>
      <c r="AS57" s="13" t="s">
        <v>1615</v>
      </c>
      <c r="AT57" s="13" t="s">
        <v>1425</v>
      </c>
      <c r="AU57" s="13" t="s">
        <v>1432</v>
      </c>
      <c r="AV57" s="39">
        <v>45279</v>
      </c>
      <c r="AW57" s="13" t="s">
        <v>1616</v>
      </c>
      <c r="AY57" s="41">
        <v>3.96</v>
      </c>
      <c r="AZ57" s="41">
        <v>13.6</v>
      </c>
      <c r="BA57" s="41">
        <v>6.7</v>
      </c>
      <c r="BB57" s="41">
        <v>104</v>
      </c>
      <c r="BP57" s="15"/>
      <c r="BQ57" s="15"/>
      <c r="BR57" s="15"/>
      <c r="BS57" s="15"/>
      <c r="NH57" s="13" t="s">
        <v>1617</v>
      </c>
      <c r="NI57" s="13" t="s">
        <v>1618</v>
      </c>
      <c r="NJ57" s="13" t="s">
        <v>1619</v>
      </c>
      <c r="NK57" s="13" t="s">
        <v>1454</v>
      </c>
      <c r="NL57" s="13" t="s">
        <v>1461</v>
      </c>
      <c r="NM57" s="39">
        <v>45212</v>
      </c>
      <c r="NN57" s="13" t="s">
        <v>1456</v>
      </c>
      <c r="NO57" s="13" t="s">
        <v>1620</v>
      </c>
      <c r="NP57" s="41">
        <v>3.96</v>
      </c>
      <c r="NQ57" s="41">
        <v>45.2</v>
      </c>
      <c r="NR57" s="41">
        <v>13.59</v>
      </c>
      <c r="NS57" s="41">
        <v>6.66</v>
      </c>
      <c r="NT57" s="41">
        <v>119.1</v>
      </c>
      <c r="NU57" s="41">
        <v>103.95</v>
      </c>
      <c r="NV57" s="41">
        <v>98.91</v>
      </c>
      <c r="NW57" s="41">
        <v>2.4900000000000002</v>
      </c>
      <c r="NX57" s="44">
        <v>2373</v>
      </c>
      <c r="NY57" s="44">
        <v>21.3</v>
      </c>
      <c r="NZ57" s="44">
        <v>21.3</v>
      </c>
      <c r="OA57" s="44">
        <v>50</v>
      </c>
      <c r="OB57" s="44">
        <v>100</v>
      </c>
      <c r="OC57" s="41" t="s">
        <v>1463</v>
      </c>
      <c r="OD57" s="41" t="s">
        <v>1464</v>
      </c>
      <c r="OE57" s="41" t="s">
        <v>1465</v>
      </c>
      <c r="OF57" s="43">
        <v>299</v>
      </c>
      <c r="OG57" s="41" t="s">
        <v>1466</v>
      </c>
      <c r="OH57" s="41">
        <v>0.93</v>
      </c>
      <c r="OI57" s="41" t="s">
        <v>1467</v>
      </c>
      <c r="OJ57" s="41">
        <v>41.83</v>
      </c>
      <c r="OK57" s="41">
        <v>0.83</v>
      </c>
      <c r="OL57" s="41">
        <v>42.06</v>
      </c>
      <c r="OM57" s="41">
        <v>1.95</v>
      </c>
      <c r="ON57" s="41">
        <v>42.06</v>
      </c>
      <c r="OO57" s="41">
        <v>1.95</v>
      </c>
      <c r="OP57" s="43">
        <v>1</v>
      </c>
      <c r="OQ57" s="41">
        <v>1.98</v>
      </c>
      <c r="OR57" s="41">
        <v>6.43</v>
      </c>
      <c r="OS57" s="41" t="s">
        <v>1468</v>
      </c>
      <c r="OT57" s="41">
        <v>0.97</v>
      </c>
      <c r="OU57" s="41">
        <v>40.9</v>
      </c>
      <c r="OV57" s="41">
        <v>23.49</v>
      </c>
      <c r="OW57" s="41">
        <v>41.41</v>
      </c>
      <c r="OX57" s="41">
        <v>28.81</v>
      </c>
      <c r="OY57" s="41">
        <v>36.520000000000003</v>
      </c>
      <c r="OZ57" s="41">
        <v>24.11</v>
      </c>
      <c r="PA57" s="41">
        <v>41.45</v>
      </c>
      <c r="PB57" s="41">
        <v>28.94</v>
      </c>
      <c r="PC57" s="41">
        <v>5.54</v>
      </c>
      <c r="PD57" s="41">
        <v>30.8</v>
      </c>
      <c r="PE57" s="41">
        <v>18.489999999999998</v>
      </c>
      <c r="PF57" s="43">
        <v>25</v>
      </c>
      <c r="PG57" s="41">
        <v>3.82</v>
      </c>
      <c r="PH57" s="41">
        <v>0.71</v>
      </c>
      <c r="PI57" s="41">
        <v>0.48</v>
      </c>
    </row>
    <row r="58" spans="1:425">
      <c r="A58" s="14">
        <v>49</v>
      </c>
      <c r="B58" s="15" t="str">
        <f>IF(ISBLANK(D[[#This Row],[CLAS_GRONDSOORT]]),"ONWAAR","WAAR")</f>
        <v>WAAR</v>
      </c>
      <c r="C58" s="15" t="str">
        <f>IF(ISBLANK(D[[#This Row],[CLAS_VN_HOOFDNAAM]]),"ONWAAR","WAAR")</f>
        <v>ONWAAR</v>
      </c>
      <c r="D58" s="15" t="str">
        <f>IF(ISBLANK(D[[#This Row],[KV_GRONDSOORT]]),"ONWAAR","WAAR")</f>
        <v>ONWAAR</v>
      </c>
      <c r="E58" s="15" t="str">
        <f>IF(ISBLANK(D[[#This Row],[CPT_QNET]]),"ONWAAR","WAAR")</f>
        <v>ONWAAR</v>
      </c>
      <c r="F58" s="15" t="str">
        <f>IF(ISBLANK(D[[#This Row],[CRS_GRONDSOORT]]),"ONWAAR","WAAR")</f>
        <v>ONWAAR</v>
      </c>
      <c r="G58" s="15" t="str">
        <f>IF(ISBLANK(D[[#This Row],[SD_GRONDSOORT]]),"ONWAAR","WAAR")</f>
        <v>ONWAAR</v>
      </c>
      <c r="H58" s="15" t="str">
        <f>IF(ISBLANK(D[[#This Row],[DSS_GRONDSOORT]]),"ONWAAR","WAAR")</f>
        <v>ONWAAR</v>
      </c>
      <c r="I58" s="15" t="str">
        <f>IF(ISBLANK(D[[#This Row],[TXT_SS_GRONDSOORT]]),"ONWAAR","WAAR")</f>
        <v>ONWAAR</v>
      </c>
      <c r="J58" s="13" t="s">
        <v>1621</v>
      </c>
      <c r="L58" s="13" t="s">
        <v>1418</v>
      </c>
      <c r="M58" s="13" t="s">
        <v>1419</v>
      </c>
      <c r="P58" s="13" t="s">
        <v>1420</v>
      </c>
      <c r="V58" s="41">
        <v>135592.91</v>
      </c>
      <c r="W58" s="41">
        <v>415884.41</v>
      </c>
      <c r="X58" s="41">
        <v>6.56</v>
      </c>
      <c r="Y58" s="13" t="s">
        <v>1607</v>
      </c>
      <c r="Z58" s="13" t="s">
        <v>1422</v>
      </c>
      <c r="AA58" s="39">
        <v>45168</v>
      </c>
      <c r="AB58" s="13" t="s">
        <v>1608</v>
      </c>
      <c r="AC58" s="13" t="s">
        <v>1609</v>
      </c>
      <c r="AD58" s="13" t="s">
        <v>1425</v>
      </c>
      <c r="AE58" s="13" t="s">
        <v>1610</v>
      </c>
      <c r="AF58" s="13" t="s">
        <v>1427</v>
      </c>
      <c r="AG58" s="41">
        <v>-0.34</v>
      </c>
      <c r="AI58" s="42">
        <v>3</v>
      </c>
      <c r="AJ58" s="13" t="s">
        <v>1428</v>
      </c>
      <c r="AK58" s="13" t="s">
        <v>1429</v>
      </c>
      <c r="AL58" s="41">
        <v>3.66</v>
      </c>
      <c r="AM58" s="41">
        <v>3.26</v>
      </c>
      <c r="AN58" s="41">
        <v>2.9</v>
      </c>
      <c r="AO58" s="41">
        <v>3.3</v>
      </c>
      <c r="AQ58" s="13" t="s">
        <v>1611</v>
      </c>
      <c r="AR58" s="13" t="s">
        <v>1431</v>
      </c>
      <c r="AS58" s="13" t="s">
        <v>1621</v>
      </c>
      <c r="AT58" s="13" t="s">
        <v>1425</v>
      </c>
      <c r="AU58" s="13" t="s">
        <v>1432</v>
      </c>
      <c r="AV58" s="39">
        <v>45279</v>
      </c>
      <c r="AW58" s="13" t="s">
        <v>1622</v>
      </c>
      <c r="AY58" s="41">
        <v>3.51</v>
      </c>
      <c r="AZ58" s="41">
        <v>17.100000000000001</v>
      </c>
      <c r="BA58" s="41">
        <v>11.9</v>
      </c>
      <c r="BB58" s="41">
        <v>44.1</v>
      </c>
      <c r="BP58" s="15"/>
      <c r="BQ58" s="15"/>
      <c r="BR58" s="15"/>
      <c r="BS58" s="15"/>
    </row>
    <row r="59" spans="1:425">
      <c r="A59" s="14">
        <v>50</v>
      </c>
      <c r="B59" s="15" t="str">
        <f>IF(ISBLANK(D[[#This Row],[CLAS_GRONDSOORT]]),"ONWAAR","WAAR")</f>
        <v>WAAR</v>
      </c>
      <c r="C59" s="15" t="str">
        <f>IF(ISBLANK(D[[#This Row],[CLAS_VN_HOOFDNAAM]]),"ONWAAR","WAAR")</f>
        <v>ONWAAR</v>
      </c>
      <c r="D59" s="15" t="str">
        <f>IF(ISBLANK(D[[#This Row],[KV_GRONDSOORT]]),"ONWAAR","WAAR")</f>
        <v>ONWAAR</v>
      </c>
      <c r="E59" s="15" t="str">
        <f>IF(ISBLANK(D[[#This Row],[CPT_QNET]]),"ONWAAR","WAAR")</f>
        <v>ONWAAR</v>
      </c>
      <c r="F59" s="15" t="str">
        <f>IF(ISBLANK(D[[#This Row],[CRS_GRONDSOORT]]),"ONWAAR","WAAR")</f>
        <v>ONWAAR</v>
      </c>
      <c r="G59" s="15" t="str">
        <f>IF(ISBLANK(D[[#This Row],[SD_GRONDSOORT]]),"ONWAAR","WAAR")</f>
        <v>ONWAAR</v>
      </c>
      <c r="H59" s="15" t="str">
        <f>IF(ISBLANK(D[[#This Row],[DSS_GRONDSOORT]]),"ONWAAR","WAAR")</f>
        <v>ONWAAR</v>
      </c>
      <c r="I59" s="15" t="str">
        <f>IF(ISBLANK(D[[#This Row],[TXT_SS_GRONDSOORT]]),"ONWAAR","WAAR")</f>
        <v>ONWAAR</v>
      </c>
      <c r="J59" s="13" t="s">
        <v>1623</v>
      </c>
      <c r="L59" s="13" t="s">
        <v>1418</v>
      </c>
      <c r="M59" s="13" t="s">
        <v>1419</v>
      </c>
      <c r="P59" s="13" t="s">
        <v>1420</v>
      </c>
      <c r="V59" s="41">
        <v>135592.91</v>
      </c>
      <c r="W59" s="41">
        <v>415884.41</v>
      </c>
      <c r="X59" s="41">
        <v>6.56</v>
      </c>
      <c r="Y59" s="13" t="s">
        <v>1607</v>
      </c>
      <c r="Z59" s="13" t="s">
        <v>1422</v>
      </c>
      <c r="AA59" s="39">
        <v>45168</v>
      </c>
      <c r="AB59" s="13" t="s">
        <v>1608</v>
      </c>
      <c r="AC59" s="13" t="s">
        <v>1609</v>
      </c>
      <c r="AD59" s="13" t="s">
        <v>1425</v>
      </c>
      <c r="AE59" s="13" t="s">
        <v>1610</v>
      </c>
      <c r="AF59" s="13" t="s">
        <v>1427</v>
      </c>
      <c r="AG59" s="41">
        <v>-0.34</v>
      </c>
      <c r="AI59" s="42">
        <v>4</v>
      </c>
      <c r="AJ59" s="13" t="s">
        <v>1428</v>
      </c>
      <c r="AK59" s="13" t="s">
        <v>1429</v>
      </c>
      <c r="AL59" s="41">
        <v>2.76</v>
      </c>
      <c r="AM59" s="41">
        <v>2.36</v>
      </c>
      <c r="AN59" s="41">
        <v>3.8</v>
      </c>
      <c r="AO59" s="41">
        <v>4.2</v>
      </c>
      <c r="AQ59" s="13" t="s">
        <v>1611</v>
      </c>
      <c r="AR59" s="13" t="s">
        <v>1431</v>
      </c>
      <c r="AS59" s="13" t="s">
        <v>1623</v>
      </c>
      <c r="AT59" s="13" t="s">
        <v>1425</v>
      </c>
      <c r="AU59" s="13" t="s">
        <v>1432</v>
      </c>
      <c r="AV59" s="39">
        <v>45279</v>
      </c>
      <c r="AW59" s="13" t="s">
        <v>1624</v>
      </c>
      <c r="AY59" s="41">
        <v>2.57</v>
      </c>
      <c r="AZ59" s="41">
        <v>17.600000000000001</v>
      </c>
      <c r="BA59" s="41">
        <v>12.8</v>
      </c>
      <c r="BB59" s="41">
        <v>37.299999999999997</v>
      </c>
      <c r="BP59" s="15"/>
      <c r="BQ59" s="15"/>
      <c r="BR59" s="15"/>
      <c r="BS59" s="15"/>
    </row>
    <row r="60" spans="1:425">
      <c r="A60" s="14">
        <v>51</v>
      </c>
      <c r="B60" s="15" t="str">
        <f>IF(ISBLANK(D[[#This Row],[CLAS_GRONDSOORT]]),"ONWAAR","WAAR")</f>
        <v>WAAR</v>
      </c>
      <c r="C60" s="15" t="str">
        <f>IF(ISBLANK(D[[#This Row],[CLAS_VN_HOOFDNAAM]]),"ONWAAR","WAAR")</f>
        <v>ONWAAR</v>
      </c>
      <c r="D60" s="15" t="str">
        <f>IF(ISBLANK(D[[#This Row],[KV_GRONDSOORT]]),"ONWAAR","WAAR")</f>
        <v>ONWAAR</v>
      </c>
      <c r="E60" s="15" t="str">
        <f>IF(ISBLANK(D[[#This Row],[CPT_QNET]]),"ONWAAR","WAAR")</f>
        <v>ONWAAR</v>
      </c>
      <c r="F60" s="15" t="str">
        <f>IF(ISBLANK(D[[#This Row],[CRS_GRONDSOORT]]),"ONWAAR","WAAR")</f>
        <v>ONWAAR</v>
      </c>
      <c r="G60" s="15" t="str">
        <f>IF(ISBLANK(D[[#This Row],[SD_GRONDSOORT]]),"ONWAAR","WAAR")</f>
        <v>ONWAAR</v>
      </c>
      <c r="H60" s="15" t="str">
        <f>IF(ISBLANK(D[[#This Row],[DSS_GRONDSOORT]]),"ONWAAR","WAAR")</f>
        <v>ONWAAR</v>
      </c>
      <c r="I60" s="15" t="str">
        <f>IF(ISBLANK(D[[#This Row],[TXT_SS_GRONDSOORT]]),"ONWAAR","WAAR")</f>
        <v>ONWAAR</v>
      </c>
      <c r="J60" s="13" t="s">
        <v>1625</v>
      </c>
      <c r="L60" s="13" t="s">
        <v>1418</v>
      </c>
      <c r="M60" s="13" t="s">
        <v>1419</v>
      </c>
      <c r="P60" s="13" t="s">
        <v>1420</v>
      </c>
      <c r="V60" s="41">
        <v>135592.91</v>
      </c>
      <c r="W60" s="41">
        <v>415884.41</v>
      </c>
      <c r="X60" s="41">
        <v>6.56</v>
      </c>
      <c r="Y60" s="13" t="s">
        <v>1607</v>
      </c>
      <c r="Z60" s="13" t="s">
        <v>1422</v>
      </c>
      <c r="AA60" s="39">
        <v>45168</v>
      </c>
      <c r="AB60" s="13" t="s">
        <v>1608</v>
      </c>
      <c r="AC60" s="13" t="s">
        <v>1609</v>
      </c>
      <c r="AD60" s="13" t="s">
        <v>1425</v>
      </c>
      <c r="AE60" s="13" t="s">
        <v>1610</v>
      </c>
      <c r="AF60" s="13" t="s">
        <v>1427</v>
      </c>
      <c r="AG60" s="41">
        <v>-0.34</v>
      </c>
      <c r="AI60" s="42" t="s">
        <v>1527</v>
      </c>
      <c r="AJ60" s="13" t="s">
        <v>1428</v>
      </c>
      <c r="AK60" s="13" t="s">
        <v>1429</v>
      </c>
      <c r="AL60" s="41">
        <v>2.36</v>
      </c>
      <c r="AM60" s="41">
        <v>2.06</v>
      </c>
      <c r="AN60" s="41">
        <v>4.2</v>
      </c>
      <c r="AO60" s="41">
        <v>4.5</v>
      </c>
      <c r="AP60" s="13">
        <v>15.3</v>
      </c>
      <c r="AQ60" s="13" t="s">
        <v>1611</v>
      </c>
      <c r="AR60" s="13" t="s">
        <v>1431</v>
      </c>
      <c r="AS60" s="13" t="s">
        <v>1625</v>
      </c>
      <c r="AT60" s="13" t="s">
        <v>1425</v>
      </c>
      <c r="AU60" s="13" t="s">
        <v>1432</v>
      </c>
      <c r="AV60" s="39">
        <v>45279</v>
      </c>
      <c r="AW60" s="13" t="s">
        <v>1626</v>
      </c>
      <c r="AY60" s="41">
        <v>2.11</v>
      </c>
      <c r="AZ60" s="41">
        <v>16.5</v>
      </c>
      <c r="BA60" s="41">
        <v>10.9</v>
      </c>
      <c r="BB60" s="41">
        <v>51.7</v>
      </c>
      <c r="BP60" s="15"/>
      <c r="BQ60" s="15"/>
      <c r="BR60" s="15"/>
      <c r="BS60" s="15"/>
    </row>
    <row r="61" spans="1:425">
      <c r="A61" s="14">
        <v>52</v>
      </c>
      <c r="B61" s="15" t="str">
        <f>IF(ISBLANK(D[[#This Row],[CLAS_GRONDSOORT]]),"ONWAAR","WAAR")</f>
        <v>WAAR</v>
      </c>
      <c r="C61" s="15" t="str">
        <f>IF(ISBLANK(D[[#This Row],[CLAS_VN_HOOFDNAAM]]),"ONWAAR","WAAR")</f>
        <v>ONWAAR</v>
      </c>
      <c r="D61" s="15" t="str">
        <f>IF(ISBLANK(D[[#This Row],[KV_GRONDSOORT]]),"ONWAAR","WAAR")</f>
        <v>ONWAAR</v>
      </c>
      <c r="E61" s="15" t="str">
        <f>IF(ISBLANK(D[[#This Row],[CPT_QNET]]),"ONWAAR","WAAR")</f>
        <v>ONWAAR</v>
      </c>
      <c r="F61" s="15" t="str">
        <f>IF(ISBLANK(D[[#This Row],[CRS_GRONDSOORT]]),"ONWAAR","WAAR")</f>
        <v>ONWAAR</v>
      </c>
      <c r="G61" s="15" t="str">
        <f>IF(ISBLANK(D[[#This Row],[SD_GRONDSOORT]]),"ONWAAR","WAAR")</f>
        <v>ONWAAR</v>
      </c>
      <c r="H61" s="15" t="str">
        <f>IF(ISBLANK(D[[#This Row],[DSS_GRONDSOORT]]),"ONWAAR","WAAR")</f>
        <v>WAAR</v>
      </c>
      <c r="I61" s="15" t="str">
        <f>IF(ISBLANK(D[[#This Row],[TXT_SS_GRONDSOORT]]),"ONWAAR","WAAR")</f>
        <v>ONWAAR</v>
      </c>
      <c r="J61" s="13" t="s">
        <v>1627</v>
      </c>
      <c r="L61" s="13" t="s">
        <v>1418</v>
      </c>
      <c r="M61" s="13" t="s">
        <v>1419</v>
      </c>
      <c r="P61" s="13" t="s">
        <v>1420</v>
      </c>
      <c r="V61" s="41">
        <v>135592.91</v>
      </c>
      <c r="W61" s="41">
        <v>415884.41</v>
      </c>
      <c r="X61" s="41">
        <v>6.56</v>
      </c>
      <c r="Y61" s="13" t="s">
        <v>1607</v>
      </c>
      <c r="Z61" s="13" t="s">
        <v>1422</v>
      </c>
      <c r="AA61" s="39">
        <v>45168</v>
      </c>
      <c r="AB61" s="13" t="s">
        <v>1608</v>
      </c>
      <c r="AC61" s="13" t="s">
        <v>1609</v>
      </c>
      <c r="AD61" s="13" t="s">
        <v>1425</v>
      </c>
      <c r="AE61" s="13" t="s">
        <v>1610</v>
      </c>
      <c r="AF61" s="13" t="s">
        <v>1427</v>
      </c>
      <c r="AG61" s="41">
        <v>-0.34</v>
      </c>
      <c r="AI61" s="42" t="s">
        <v>1530</v>
      </c>
      <c r="AJ61" s="13" t="s">
        <v>1428</v>
      </c>
      <c r="AK61" s="13" t="s">
        <v>1429</v>
      </c>
      <c r="AL61" s="41">
        <v>2.0699999999999998</v>
      </c>
      <c r="AM61" s="41">
        <v>1.97</v>
      </c>
      <c r="AN61" s="41">
        <v>4.49</v>
      </c>
      <c r="AO61" s="41">
        <v>4.59</v>
      </c>
      <c r="AQ61" s="13" t="s">
        <v>1611</v>
      </c>
      <c r="AR61" s="13" t="s">
        <v>1431</v>
      </c>
      <c r="AS61" s="13" t="s">
        <v>1627</v>
      </c>
      <c r="AT61" s="13" t="s">
        <v>1425</v>
      </c>
      <c r="AU61" s="13" t="s">
        <v>1432</v>
      </c>
      <c r="AV61" s="39">
        <v>45279</v>
      </c>
      <c r="AW61" s="13" t="s">
        <v>1628</v>
      </c>
      <c r="AY61" s="41">
        <v>2.0299999999999998</v>
      </c>
      <c r="AZ61" s="41">
        <v>12.8</v>
      </c>
      <c r="BA61" s="41">
        <v>5.7</v>
      </c>
      <c r="BB61" s="41">
        <v>125</v>
      </c>
      <c r="BP61" s="15"/>
      <c r="BQ61" s="15"/>
      <c r="BR61" s="15"/>
      <c r="BS61" s="15"/>
      <c r="LG61" s="13" t="s">
        <v>1629</v>
      </c>
      <c r="LH61" s="13" t="s">
        <v>1630</v>
      </c>
      <c r="LI61" s="13" t="s">
        <v>1627</v>
      </c>
      <c r="LJ61" s="13" t="s">
        <v>1576</v>
      </c>
      <c r="LK61" s="13" t="s">
        <v>1577</v>
      </c>
      <c r="LL61" s="39">
        <v>45211</v>
      </c>
      <c r="LM61" s="13" t="s">
        <v>1456</v>
      </c>
      <c r="LN61" s="13" t="s">
        <v>1457</v>
      </c>
      <c r="LO61" s="41">
        <v>2.0299999999999998</v>
      </c>
      <c r="LP61" s="41">
        <v>72.8</v>
      </c>
      <c r="LQ61" s="41">
        <v>12.8</v>
      </c>
      <c r="LR61" s="41">
        <v>5.69</v>
      </c>
      <c r="LS61" s="41">
        <v>125</v>
      </c>
      <c r="LT61" s="41">
        <v>132.5</v>
      </c>
      <c r="LU61" s="41">
        <v>0.98729999999999996</v>
      </c>
      <c r="LV61" s="41">
        <v>2.7610000000000001</v>
      </c>
      <c r="LW61" s="41">
        <v>2.3490000000000002</v>
      </c>
      <c r="LX61" s="44">
        <v>2179.6999999999998</v>
      </c>
      <c r="LY61" s="44">
        <v>21.7</v>
      </c>
      <c r="LZ61" s="44">
        <v>19.8</v>
      </c>
      <c r="MA61" s="41">
        <v>65.319999999999993</v>
      </c>
      <c r="MB61" s="41">
        <v>27.93</v>
      </c>
      <c r="MC61" s="41">
        <v>24.88</v>
      </c>
      <c r="MD61" s="41" t="s">
        <v>1578</v>
      </c>
      <c r="ME61" s="41" t="s">
        <v>1579</v>
      </c>
      <c r="MF61" s="41">
        <v>72.81</v>
      </c>
      <c r="MG61" s="41">
        <v>72.81</v>
      </c>
      <c r="MH61" s="43">
        <v>1</v>
      </c>
      <c r="MI61" s="41">
        <v>10.94</v>
      </c>
      <c r="MJ61" s="43">
        <v>1</v>
      </c>
      <c r="MK61" s="41">
        <v>23.09</v>
      </c>
      <c r="ML61" s="41">
        <v>4.4960000000000004</v>
      </c>
      <c r="MM61" s="41">
        <v>1.1180000000000001</v>
      </c>
      <c r="MN61" s="41">
        <v>63.23</v>
      </c>
      <c r="MO61" s="41">
        <v>16.37</v>
      </c>
      <c r="MP61" s="41">
        <v>56.73</v>
      </c>
      <c r="MQ61" s="41">
        <v>23.84</v>
      </c>
      <c r="MR61" s="41">
        <v>50.85</v>
      </c>
      <c r="MS61" s="41">
        <v>28.55</v>
      </c>
      <c r="MT61" s="41">
        <v>46.7</v>
      </c>
      <c r="MU61" s="41">
        <v>29.91</v>
      </c>
      <c r="MV61" s="41">
        <v>42.02</v>
      </c>
      <c r="MW61" s="41">
        <v>29.91</v>
      </c>
      <c r="MX61" s="41">
        <v>40.380000000000003</v>
      </c>
      <c r="MY61" s="41">
        <v>30.75</v>
      </c>
      <c r="MZ61" s="41">
        <v>23.45</v>
      </c>
      <c r="NA61" s="41">
        <v>27.6</v>
      </c>
      <c r="NB61" s="41">
        <v>26.35</v>
      </c>
      <c r="NC61" s="41">
        <v>41.86</v>
      </c>
      <c r="NG61" s="41">
        <v>892</v>
      </c>
    </row>
    <row r="62" spans="1:425">
      <c r="A62" s="14">
        <v>53</v>
      </c>
      <c r="B62" s="15" t="str">
        <f>IF(ISBLANK(D[[#This Row],[CLAS_GRONDSOORT]]),"ONWAAR","WAAR")</f>
        <v>WAAR</v>
      </c>
      <c r="C62" s="15" t="str">
        <f>IF(ISBLANK(D[[#This Row],[CLAS_VN_HOOFDNAAM]]),"ONWAAR","WAAR")</f>
        <v>ONWAAR</v>
      </c>
      <c r="D62" s="15" t="str">
        <f>IF(ISBLANK(D[[#This Row],[KV_GRONDSOORT]]),"ONWAAR","WAAR")</f>
        <v>ONWAAR</v>
      </c>
      <c r="E62" s="15" t="str">
        <f>IF(ISBLANK(D[[#This Row],[CPT_QNET]]),"ONWAAR","WAAR")</f>
        <v>ONWAAR</v>
      </c>
      <c r="F62" s="15" t="str">
        <f>IF(ISBLANK(D[[#This Row],[CRS_GRONDSOORT]]),"ONWAAR","WAAR")</f>
        <v>ONWAAR</v>
      </c>
      <c r="G62" s="15" t="str">
        <f>IF(ISBLANK(D[[#This Row],[SD_GRONDSOORT]]),"ONWAAR","WAAR")</f>
        <v>ONWAAR</v>
      </c>
      <c r="H62" s="15" t="str">
        <f>IF(ISBLANK(D[[#This Row],[DSS_GRONDSOORT]]),"ONWAAR","WAAR")</f>
        <v>ONWAAR</v>
      </c>
      <c r="I62" s="15" t="str">
        <f>IF(ISBLANK(D[[#This Row],[TXT_SS_GRONDSOORT]]),"ONWAAR","WAAR")</f>
        <v>ONWAAR</v>
      </c>
      <c r="J62" s="13" t="s">
        <v>1631</v>
      </c>
      <c r="L62" s="13" t="s">
        <v>1418</v>
      </c>
      <c r="M62" s="13" t="s">
        <v>1419</v>
      </c>
      <c r="P62" s="13" t="s">
        <v>1420</v>
      </c>
      <c r="V62" s="41">
        <v>135592.91</v>
      </c>
      <c r="W62" s="41">
        <v>415884.41</v>
      </c>
      <c r="X62" s="41">
        <v>6.56</v>
      </c>
      <c r="Y62" s="13" t="s">
        <v>1607</v>
      </c>
      <c r="Z62" s="13" t="s">
        <v>1422</v>
      </c>
      <c r="AA62" s="39">
        <v>45168</v>
      </c>
      <c r="AB62" s="13" t="s">
        <v>1608</v>
      </c>
      <c r="AC62" s="13" t="s">
        <v>1609</v>
      </c>
      <c r="AD62" s="13" t="s">
        <v>1425</v>
      </c>
      <c r="AE62" s="13" t="s">
        <v>1610</v>
      </c>
      <c r="AF62" s="13" t="s">
        <v>1427</v>
      </c>
      <c r="AG62" s="41">
        <v>-0.34</v>
      </c>
      <c r="AI62" s="42">
        <v>5</v>
      </c>
      <c r="AJ62" s="13" t="s">
        <v>1428</v>
      </c>
      <c r="AK62" s="13" t="s">
        <v>1429</v>
      </c>
      <c r="AL62" s="41">
        <v>1.86</v>
      </c>
      <c r="AM62" s="41">
        <v>1.46</v>
      </c>
      <c r="AN62" s="41">
        <v>4.7</v>
      </c>
      <c r="AO62" s="41">
        <v>5.0999999999999996</v>
      </c>
      <c r="AQ62" s="13" t="s">
        <v>1611</v>
      </c>
      <c r="AR62" s="13" t="s">
        <v>1431</v>
      </c>
      <c r="AS62" s="13" t="s">
        <v>1631</v>
      </c>
      <c r="AT62" s="13" t="s">
        <v>1425</v>
      </c>
      <c r="AU62" s="13" t="s">
        <v>1432</v>
      </c>
      <c r="AV62" s="39">
        <v>45279</v>
      </c>
      <c r="AW62" s="13" t="s">
        <v>1632</v>
      </c>
      <c r="AY62" s="41">
        <v>1.62</v>
      </c>
      <c r="AZ62" s="41">
        <v>18.600000000000001</v>
      </c>
      <c r="BA62" s="41">
        <v>14.1</v>
      </c>
      <c r="BB62" s="41">
        <v>32.4</v>
      </c>
      <c r="BP62" s="15"/>
      <c r="BQ62" s="15"/>
      <c r="BR62" s="15"/>
      <c r="BS62" s="15"/>
    </row>
    <row r="63" spans="1:425">
      <c r="A63" s="14">
        <v>54</v>
      </c>
      <c r="B63" s="15" t="str">
        <f>IF(ISBLANK(D[[#This Row],[CLAS_GRONDSOORT]]),"ONWAAR","WAAR")</f>
        <v>WAAR</v>
      </c>
      <c r="C63" s="15" t="str">
        <f>IF(ISBLANK(D[[#This Row],[CLAS_VN_HOOFDNAAM]]),"ONWAAR","WAAR")</f>
        <v>ONWAAR</v>
      </c>
      <c r="D63" s="15" t="str">
        <f>IF(ISBLANK(D[[#This Row],[KV_GRONDSOORT]]),"ONWAAR","WAAR")</f>
        <v>ONWAAR</v>
      </c>
      <c r="E63" s="15" t="str">
        <f>IF(ISBLANK(D[[#This Row],[CPT_QNET]]),"ONWAAR","WAAR")</f>
        <v>ONWAAR</v>
      </c>
      <c r="F63" s="15" t="str">
        <f>IF(ISBLANK(D[[#This Row],[CRS_GRONDSOORT]]),"ONWAAR","WAAR")</f>
        <v>ONWAAR</v>
      </c>
      <c r="G63" s="15" t="str">
        <f>IF(ISBLANK(D[[#This Row],[SD_GRONDSOORT]]),"ONWAAR","WAAR")</f>
        <v>ONWAAR</v>
      </c>
      <c r="H63" s="15" t="str">
        <f>IF(ISBLANK(D[[#This Row],[DSS_GRONDSOORT]]),"ONWAAR","WAAR")</f>
        <v>ONWAAR</v>
      </c>
      <c r="I63" s="15" t="str">
        <f>IF(ISBLANK(D[[#This Row],[TXT_SS_GRONDSOORT]]),"ONWAAR","WAAR")</f>
        <v>ONWAAR</v>
      </c>
      <c r="J63" s="13" t="s">
        <v>1633</v>
      </c>
      <c r="L63" s="13" t="s">
        <v>1418</v>
      </c>
      <c r="M63" s="13" t="s">
        <v>1419</v>
      </c>
      <c r="P63" s="13" t="s">
        <v>1420</v>
      </c>
      <c r="V63" s="41">
        <v>135592.91</v>
      </c>
      <c r="W63" s="41">
        <v>415884.41</v>
      </c>
      <c r="X63" s="41">
        <v>6.56</v>
      </c>
      <c r="Y63" s="13" t="s">
        <v>1607</v>
      </c>
      <c r="Z63" s="13" t="s">
        <v>1422</v>
      </c>
      <c r="AA63" s="39">
        <v>45168</v>
      </c>
      <c r="AB63" s="13" t="s">
        <v>1608</v>
      </c>
      <c r="AC63" s="13" t="s">
        <v>1609</v>
      </c>
      <c r="AD63" s="13" t="s">
        <v>1425</v>
      </c>
      <c r="AE63" s="13" t="s">
        <v>1610</v>
      </c>
      <c r="AF63" s="13" t="s">
        <v>1427</v>
      </c>
      <c r="AG63" s="41">
        <v>-0.34</v>
      </c>
      <c r="AI63" s="42">
        <v>6</v>
      </c>
      <c r="AJ63" s="13" t="s">
        <v>1428</v>
      </c>
      <c r="AK63" s="13" t="s">
        <v>1429</v>
      </c>
      <c r="AL63" s="41">
        <v>0.96</v>
      </c>
      <c r="AM63" s="41">
        <v>0.56000000000000005</v>
      </c>
      <c r="AN63" s="41">
        <v>5.6</v>
      </c>
      <c r="AO63" s="41">
        <v>6</v>
      </c>
      <c r="AQ63" s="13" t="s">
        <v>1611</v>
      </c>
      <c r="AR63" s="13" t="s">
        <v>1431</v>
      </c>
      <c r="AS63" s="13" t="s">
        <v>1633</v>
      </c>
      <c r="AT63" s="13" t="s">
        <v>1425</v>
      </c>
      <c r="AU63" s="13" t="s">
        <v>1432</v>
      </c>
      <c r="AV63" s="39">
        <v>45279</v>
      </c>
      <c r="AW63" s="13" t="s">
        <v>1634</v>
      </c>
      <c r="AY63" s="41">
        <v>0.66</v>
      </c>
      <c r="AZ63" s="41">
        <v>17.7</v>
      </c>
      <c r="BA63" s="41">
        <v>12.8</v>
      </c>
      <c r="BB63" s="41">
        <v>38.4</v>
      </c>
      <c r="BP63" s="15"/>
      <c r="BQ63" s="15"/>
      <c r="BR63" s="15"/>
      <c r="BS63" s="15"/>
    </row>
    <row r="64" spans="1:425">
      <c r="A64" s="14">
        <v>55</v>
      </c>
      <c r="B64" s="15" t="str">
        <f>IF(ISBLANK(D[[#This Row],[CLAS_GRONDSOORT]]),"ONWAAR","WAAR")</f>
        <v>WAAR</v>
      </c>
      <c r="C64" s="15" t="str">
        <f>IF(ISBLANK(D[[#This Row],[CLAS_VN_HOOFDNAAM]]),"ONWAAR","WAAR")</f>
        <v>ONWAAR</v>
      </c>
      <c r="D64" s="15" t="str">
        <f>IF(ISBLANK(D[[#This Row],[KV_GRONDSOORT]]),"ONWAAR","WAAR")</f>
        <v>ONWAAR</v>
      </c>
      <c r="E64" s="15" t="str">
        <f>IF(ISBLANK(D[[#This Row],[CPT_QNET]]),"ONWAAR","WAAR")</f>
        <v>ONWAAR</v>
      </c>
      <c r="F64" s="15" t="str">
        <f>IF(ISBLANK(D[[#This Row],[CRS_GRONDSOORT]]),"ONWAAR","WAAR")</f>
        <v>WAAR</v>
      </c>
      <c r="G64" s="15" t="str">
        <f>IF(ISBLANK(D[[#This Row],[SD_GRONDSOORT]]),"ONWAAR","WAAR")</f>
        <v>ONWAAR</v>
      </c>
      <c r="H64" s="15" t="str">
        <f>IF(ISBLANK(D[[#This Row],[DSS_GRONDSOORT]]),"ONWAAR","WAAR")</f>
        <v>ONWAAR</v>
      </c>
      <c r="I64" s="15" t="str">
        <f>IF(ISBLANK(D[[#This Row],[TXT_SS_GRONDSOORT]]),"ONWAAR","WAAR")</f>
        <v>WAAR</v>
      </c>
      <c r="J64" s="13" t="s">
        <v>1635</v>
      </c>
      <c r="L64" s="13" t="s">
        <v>1418</v>
      </c>
      <c r="M64" s="13" t="s">
        <v>1419</v>
      </c>
      <c r="P64" s="13" t="s">
        <v>1420</v>
      </c>
      <c r="V64" s="41">
        <v>135592.91</v>
      </c>
      <c r="W64" s="41">
        <v>415884.41</v>
      </c>
      <c r="X64" s="41">
        <v>6.56</v>
      </c>
      <c r="Y64" s="13" t="s">
        <v>1607</v>
      </c>
      <c r="Z64" s="13" t="s">
        <v>1422</v>
      </c>
      <c r="AA64" s="39">
        <v>45168</v>
      </c>
      <c r="AB64" s="13" t="s">
        <v>1608</v>
      </c>
      <c r="AC64" s="13" t="s">
        <v>1609</v>
      </c>
      <c r="AD64" s="13" t="s">
        <v>1425</v>
      </c>
      <c r="AE64" s="13" t="s">
        <v>1610</v>
      </c>
      <c r="AF64" s="13" t="s">
        <v>1427</v>
      </c>
      <c r="AG64" s="41">
        <v>-0.34</v>
      </c>
      <c r="AI64" s="42">
        <v>7</v>
      </c>
      <c r="AJ64" s="13" t="s">
        <v>1428</v>
      </c>
      <c r="AK64" s="13" t="s">
        <v>1429</v>
      </c>
      <c r="AL64" s="41">
        <v>0.06</v>
      </c>
      <c r="AM64" s="41">
        <v>-0.34</v>
      </c>
      <c r="AN64" s="41">
        <v>6.5</v>
      </c>
      <c r="AO64" s="41">
        <v>6.9</v>
      </c>
      <c r="AQ64" s="13" t="s">
        <v>1611</v>
      </c>
      <c r="AR64" s="13" t="s">
        <v>1431</v>
      </c>
      <c r="AS64" s="13" t="s">
        <v>1635</v>
      </c>
      <c r="AT64" s="13" t="s">
        <v>1425</v>
      </c>
      <c r="AU64" s="13" t="s">
        <v>1432</v>
      </c>
      <c r="AV64" s="39">
        <v>45279</v>
      </c>
      <c r="AW64" s="13" t="s">
        <v>1636</v>
      </c>
      <c r="AY64" s="41">
        <v>-0.19</v>
      </c>
      <c r="AZ64" s="41">
        <v>18.399999999999999</v>
      </c>
      <c r="BA64" s="41">
        <v>13.4</v>
      </c>
      <c r="BB64" s="41">
        <v>36.9</v>
      </c>
      <c r="BP64" s="15"/>
      <c r="BQ64" s="15"/>
      <c r="BR64" s="15"/>
      <c r="BS64" s="15"/>
      <c r="EA64" s="13" t="s">
        <v>1637</v>
      </c>
      <c r="EB64" s="13" t="s">
        <v>1638</v>
      </c>
      <c r="EC64" s="13" t="s">
        <v>1639</v>
      </c>
      <c r="ED64" s="13" t="s">
        <v>1454</v>
      </c>
      <c r="EE64" s="13" t="s">
        <v>1455</v>
      </c>
      <c r="EF64" s="39">
        <v>45183</v>
      </c>
      <c r="EG64" s="13" t="s">
        <v>1456</v>
      </c>
      <c r="EI64" s="41">
        <v>0.01</v>
      </c>
      <c r="EJ64" s="41">
        <v>113</v>
      </c>
      <c r="EK64" s="41">
        <v>18.96</v>
      </c>
      <c r="EL64" s="41">
        <v>14.33</v>
      </c>
      <c r="EM64" s="41">
        <v>32.35</v>
      </c>
      <c r="EN64" s="41">
        <v>27.41</v>
      </c>
      <c r="EO64" s="41">
        <v>102.2</v>
      </c>
      <c r="EP64" s="13">
        <v>21.7</v>
      </c>
      <c r="EQ64" s="13">
        <v>19.8</v>
      </c>
      <c r="ER64" s="13">
        <v>65.44</v>
      </c>
      <c r="ES64" s="41">
        <v>18.8</v>
      </c>
      <c r="ET64" s="41">
        <v>18.66</v>
      </c>
      <c r="EU64" s="41">
        <v>16.13</v>
      </c>
      <c r="EV64" s="13">
        <v>0.5</v>
      </c>
      <c r="EW64" s="44">
        <v>-0.2</v>
      </c>
      <c r="EX64" s="13">
        <v>16</v>
      </c>
      <c r="EY64" s="41">
        <v>663.4</v>
      </c>
      <c r="EZ64" s="41">
        <v>564</v>
      </c>
      <c r="FA64" s="41">
        <v>416.6</v>
      </c>
      <c r="FB64" s="41">
        <v>225.3</v>
      </c>
      <c r="FC64" s="41">
        <v>1128</v>
      </c>
      <c r="FD64" s="41">
        <v>0.98</v>
      </c>
      <c r="FE64" s="41">
        <v>231</v>
      </c>
      <c r="FF64" s="41">
        <v>2.88</v>
      </c>
      <c r="FG64" s="41">
        <v>671.8</v>
      </c>
      <c r="FH64" s="45">
        <v>6.1999999999999998E-3</v>
      </c>
      <c r="FI64" s="45">
        <v>7.7700000000000005E-2</v>
      </c>
      <c r="FJ64" s="45">
        <v>2.5000000000000001E-3</v>
      </c>
      <c r="NH64" s="13" t="s">
        <v>1640</v>
      </c>
      <c r="NI64" s="13" t="s">
        <v>1641</v>
      </c>
      <c r="NJ64" s="13" t="s">
        <v>1642</v>
      </c>
      <c r="NK64" s="13" t="s">
        <v>1454</v>
      </c>
      <c r="NL64" s="13" t="s">
        <v>1461</v>
      </c>
      <c r="NM64" s="39">
        <v>45194</v>
      </c>
      <c r="NN64" s="13" t="s">
        <v>1456</v>
      </c>
      <c r="NP64" s="41">
        <v>-0.19</v>
      </c>
      <c r="NQ64" s="41">
        <v>113</v>
      </c>
      <c r="NR64" s="41">
        <v>18.399999999999999</v>
      </c>
      <c r="NS64" s="41">
        <v>13.44</v>
      </c>
      <c r="NT64" s="41">
        <v>36.64</v>
      </c>
      <c r="NU64" s="41">
        <v>36.93</v>
      </c>
      <c r="NV64" s="41">
        <v>104.11</v>
      </c>
      <c r="NW64" s="41">
        <v>0.94</v>
      </c>
      <c r="NX64" s="44">
        <v>2663</v>
      </c>
      <c r="NY64" s="44">
        <v>21.3</v>
      </c>
      <c r="NZ64" s="44">
        <v>21.3</v>
      </c>
      <c r="OA64" s="44">
        <v>50</v>
      </c>
      <c r="OB64" s="44">
        <v>100</v>
      </c>
      <c r="OC64" s="41" t="s">
        <v>1463</v>
      </c>
      <c r="OD64" s="41" t="s">
        <v>1464</v>
      </c>
      <c r="OE64" s="41" t="s">
        <v>1465</v>
      </c>
      <c r="OF64" s="43">
        <v>299</v>
      </c>
      <c r="OG64" s="41" t="s">
        <v>1466</v>
      </c>
      <c r="OH64" s="41">
        <v>0.68</v>
      </c>
      <c r="OI64" s="41" t="s">
        <v>1467</v>
      </c>
      <c r="OJ64" s="41">
        <v>77.790000000000006</v>
      </c>
      <c r="OK64" s="41">
        <v>0.79</v>
      </c>
      <c r="OL64" s="41">
        <v>94.53</v>
      </c>
      <c r="OM64" s="41">
        <v>17.95</v>
      </c>
      <c r="ON64" s="41">
        <v>94.53</v>
      </c>
      <c r="OO64" s="41">
        <v>17.95</v>
      </c>
      <c r="OP64" s="43">
        <v>1</v>
      </c>
      <c r="OQ64" s="41">
        <v>1.1299999999999999</v>
      </c>
      <c r="OR64" s="41">
        <v>3.41</v>
      </c>
      <c r="OS64" s="41" t="s">
        <v>1468</v>
      </c>
      <c r="OT64" s="41">
        <v>0.97</v>
      </c>
      <c r="OU64" s="41">
        <v>110.6</v>
      </c>
      <c r="OV64" s="41">
        <v>64.52</v>
      </c>
      <c r="OW64" s="41">
        <v>110.6</v>
      </c>
      <c r="OX64" s="41">
        <v>60.53</v>
      </c>
      <c r="OY64" s="41">
        <v>97</v>
      </c>
      <c r="OZ64" s="41">
        <v>36.72</v>
      </c>
      <c r="PA64" s="41">
        <v>111.4</v>
      </c>
      <c r="PB64" s="41">
        <v>64.98</v>
      </c>
      <c r="PC64" s="41">
        <v>2.4900000000000002</v>
      </c>
      <c r="PD64" s="41">
        <v>91.63</v>
      </c>
      <c r="PE64" s="41">
        <v>30.04</v>
      </c>
      <c r="PF64" s="43">
        <v>25</v>
      </c>
      <c r="PG64" s="41">
        <v>0.18</v>
      </c>
      <c r="PH64" s="41">
        <v>26.24</v>
      </c>
      <c r="PI64" s="41">
        <v>0.23</v>
      </c>
    </row>
    <row r="65" spans="1:425">
      <c r="A65" s="14">
        <v>56</v>
      </c>
      <c r="B65" s="15" t="str">
        <f>IF(ISBLANK(D[[#This Row],[CLAS_GRONDSOORT]]),"ONWAAR","WAAR")</f>
        <v>WAAR</v>
      </c>
      <c r="C65" s="15" t="str">
        <f>IF(ISBLANK(D[[#This Row],[CLAS_VN_HOOFDNAAM]]),"ONWAAR","WAAR")</f>
        <v>ONWAAR</v>
      </c>
      <c r="D65" s="15" t="str">
        <f>IF(ISBLANK(D[[#This Row],[KV_GRONDSOORT]]),"ONWAAR","WAAR")</f>
        <v>ONWAAR</v>
      </c>
      <c r="E65" s="15" t="str">
        <f>IF(ISBLANK(D[[#This Row],[CPT_QNET]]),"ONWAAR","WAAR")</f>
        <v>ONWAAR</v>
      </c>
      <c r="F65" s="15" t="str">
        <f>IF(ISBLANK(D[[#This Row],[CRS_GRONDSOORT]]),"ONWAAR","WAAR")</f>
        <v>ONWAAR</v>
      </c>
      <c r="G65" s="15" t="str">
        <f>IF(ISBLANK(D[[#This Row],[SD_GRONDSOORT]]),"ONWAAR","WAAR")</f>
        <v>ONWAAR</v>
      </c>
      <c r="H65" s="15" t="str">
        <f>IF(ISBLANK(D[[#This Row],[DSS_GRONDSOORT]]),"ONWAAR","WAAR")</f>
        <v>ONWAAR</v>
      </c>
      <c r="I65" s="15" t="str">
        <f>IF(ISBLANK(D[[#This Row],[TXT_SS_GRONDSOORT]]),"ONWAAR","WAAR")</f>
        <v>ONWAAR</v>
      </c>
      <c r="J65" s="13" t="s">
        <v>1643</v>
      </c>
      <c r="L65" s="13" t="s">
        <v>1418</v>
      </c>
      <c r="M65" s="13" t="s">
        <v>1419</v>
      </c>
      <c r="P65" s="13" t="s">
        <v>1420</v>
      </c>
      <c r="V65" s="41">
        <v>135592.91</v>
      </c>
      <c r="W65" s="41">
        <v>415884.41</v>
      </c>
      <c r="X65" s="41">
        <v>6.56</v>
      </c>
      <c r="Y65" s="13" t="s">
        <v>1607</v>
      </c>
      <c r="Z65" s="13" t="s">
        <v>1422</v>
      </c>
      <c r="AA65" s="39">
        <v>45168</v>
      </c>
      <c r="AB65" s="13" t="s">
        <v>1608</v>
      </c>
      <c r="AC65" s="13" t="s">
        <v>1609</v>
      </c>
      <c r="AD65" s="13" t="s">
        <v>1425</v>
      </c>
      <c r="AE65" s="13" t="s">
        <v>1610</v>
      </c>
      <c r="AF65" s="13" t="s">
        <v>1427</v>
      </c>
      <c r="AG65" s="41">
        <v>-0.34</v>
      </c>
      <c r="AI65" s="42">
        <v>8</v>
      </c>
      <c r="AJ65" s="13" t="s">
        <v>1428</v>
      </c>
      <c r="AK65" s="13" t="s">
        <v>1429</v>
      </c>
      <c r="AL65" s="41">
        <v>-0.84</v>
      </c>
      <c r="AM65" s="41">
        <v>-1.24</v>
      </c>
      <c r="AN65" s="41">
        <v>7.4</v>
      </c>
      <c r="AO65" s="41">
        <v>7.8</v>
      </c>
      <c r="AQ65" s="13" t="s">
        <v>1611</v>
      </c>
      <c r="AR65" s="13" t="s">
        <v>1431</v>
      </c>
      <c r="AS65" s="13" t="s">
        <v>1643</v>
      </c>
      <c r="AT65" s="13" t="s">
        <v>1425</v>
      </c>
      <c r="AU65" s="13" t="s">
        <v>1432</v>
      </c>
      <c r="AV65" s="39">
        <v>45279</v>
      </c>
      <c r="AW65" s="13" t="s">
        <v>1644</v>
      </c>
      <c r="AY65" s="41">
        <v>-1.1000000000000001</v>
      </c>
      <c r="AZ65" s="41">
        <v>14.6</v>
      </c>
      <c r="BA65" s="41">
        <v>7.9</v>
      </c>
      <c r="BB65" s="41">
        <v>85.6</v>
      </c>
      <c r="BP65" s="15"/>
      <c r="BQ65" s="15"/>
      <c r="BR65" s="15"/>
      <c r="BS65" s="15"/>
    </row>
    <row r="66" spans="1:425">
      <c r="A66" s="14">
        <v>57</v>
      </c>
      <c r="B66" s="15" t="str">
        <f>IF(ISBLANK(D[[#This Row],[CLAS_GRONDSOORT]]),"ONWAAR","WAAR")</f>
        <v>ONWAAR</v>
      </c>
      <c r="C66" s="15" t="str">
        <f>IF(ISBLANK(D[[#This Row],[CLAS_VN_HOOFDNAAM]]),"ONWAAR","WAAR")</f>
        <v>ONWAAR</v>
      </c>
      <c r="D66" s="15" t="str">
        <f>IF(ISBLANK(D[[#This Row],[KV_GRONDSOORT]]),"ONWAAR","WAAR")</f>
        <v>WAAR</v>
      </c>
      <c r="E66" s="15" t="str">
        <f>IF(ISBLANK(D[[#This Row],[CPT_QNET]]),"ONWAAR","WAAR")</f>
        <v>ONWAAR</v>
      </c>
      <c r="F66" s="15" t="str">
        <f>IF(ISBLANK(D[[#This Row],[CRS_GRONDSOORT]]),"ONWAAR","WAAR")</f>
        <v>ONWAAR</v>
      </c>
      <c r="G66" s="15" t="str">
        <f>IF(ISBLANK(D[[#This Row],[SD_GRONDSOORT]]),"ONWAAR","WAAR")</f>
        <v>ONWAAR</v>
      </c>
      <c r="H66" s="15" t="str">
        <f>IF(ISBLANK(D[[#This Row],[DSS_GRONDSOORT]]),"ONWAAR","WAAR")</f>
        <v>ONWAAR</v>
      </c>
      <c r="I66" s="15" t="str">
        <f>IF(ISBLANK(D[[#This Row],[TXT_SS_GRONDSOORT]]),"ONWAAR","WAAR")</f>
        <v>ONWAAR</v>
      </c>
      <c r="J66" s="13" t="s">
        <v>1645</v>
      </c>
      <c r="L66" s="13" t="s">
        <v>1418</v>
      </c>
      <c r="M66" s="13" t="s">
        <v>1419</v>
      </c>
      <c r="P66" s="13" t="s">
        <v>1420</v>
      </c>
      <c r="V66" s="41">
        <v>135592.91</v>
      </c>
      <c r="W66" s="41">
        <v>415884.41</v>
      </c>
      <c r="X66" s="41">
        <v>6.56</v>
      </c>
      <c r="Y66" s="13" t="s">
        <v>1607</v>
      </c>
      <c r="Z66" s="13" t="s">
        <v>1422</v>
      </c>
      <c r="AA66" s="39">
        <v>45168</v>
      </c>
      <c r="AB66" s="13" t="s">
        <v>1608</v>
      </c>
      <c r="AC66" s="13" t="s">
        <v>1609</v>
      </c>
      <c r="AD66" s="13" t="s">
        <v>1425</v>
      </c>
      <c r="AE66" s="13" t="s">
        <v>1610</v>
      </c>
      <c r="AF66" s="13" t="s">
        <v>1427</v>
      </c>
      <c r="AG66" s="41">
        <v>-0.34</v>
      </c>
      <c r="AI66" s="42">
        <v>9</v>
      </c>
      <c r="AJ66" s="13" t="s">
        <v>1646</v>
      </c>
      <c r="AK66" s="13" t="s">
        <v>1647</v>
      </c>
      <c r="AL66" s="41">
        <v>-1.74</v>
      </c>
      <c r="AM66" s="41">
        <v>-2.14</v>
      </c>
      <c r="AN66" s="41">
        <v>8.3000000000000007</v>
      </c>
      <c r="AO66" s="41">
        <v>8.6999999999999993</v>
      </c>
      <c r="AY66" s="41"/>
      <c r="AZ66" s="41"/>
      <c r="BA66" s="41"/>
      <c r="BB66" s="41"/>
      <c r="BP66" s="15"/>
      <c r="BQ66" s="15"/>
      <c r="BR66" s="15"/>
      <c r="BS66" s="15"/>
      <c r="CE66" s="13" t="s">
        <v>1648</v>
      </c>
      <c r="CF66" s="13" t="s">
        <v>1431</v>
      </c>
      <c r="CG66" s="13" t="s">
        <v>1645</v>
      </c>
      <c r="CH66" s="13" t="s">
        <v>1425</v>
      </c>
      <c r="CI66" s="13" t="s">
        <v>1524</v>
      </c>
      <c r="CJ66" s="39">
        <v>45212</v>
      </c>
      <c r="CK66" s="13" t="s">
        <v>1533</v>
      </c>
      <c r="CM66" s="13">
        <v>214</v>
      </c>
      <c r="CN66" s="13">
        <v>186</v>
      </c>
      <c r="CO66" s="41">
        <v>0.01</v>
      </c>
      <c r="CP66" s="41">
        <v>73.19</v>
      </c>
      <c r="CQ66" s="41">
        <v>18.3</v>
      </c>
      <c r="CR66" s="41">
        <v>100</v>
      </c>
      <c r="CS66" s="41">
        <v>100</v>
      </c>
      <c r="CT66" s="41">
        <v>100</v>
      </c>
      <c r="CU66" s="41">
        <v>100</v>
      </c>
      <c r="CV66" s="41">
        <v>100</v>
      </c>
      <c r="CW66" s="41">
        <v>99.99</v>
      </c>
      <c r="CX66" s="41">
        <v>99.62</v>
      </c>
      <c r="CY66" s="41">
        <v>97.93</v>
      </c>
      <c r="CZ66" s="41">
        <v>80.569999999999993</v>
      </c>
      <c r="DA66" s="41">
        <v>47.15</v>
      </c>
      <c r="DB66" s="41">
        <v>34.4</v>
      </c>
      <c r="DC66" s="41">
        <v>26.8</v>
      </c>
      <c r="DD66" s="41">
        <v>14</v>
      </c>
      <c r="DE66" s="41">
        <v>12.64</v>
      </c>
      <c r="DF66" s="41">
        <v>12</v>
      </c>
      <c r="DG66" s="41">
        <v>8.5</v>
      </c>
      <c r="DH66" s="13">
        <v>245</v>
      </c>
      <c r="DI66" s="13">
        <v>229</v>
      </c>
      <c r="DJ66" s="13">
        <v>214</v>
      </c>
      <c r="DK66" s="13">
        <v>123</v>
      </c>
      <c r="DL66" s="13">
        <v>1.87</v>
      </c>
    </row>
    <row r="67" spans="1:425">
      <c r="A67" s="14">
        <v>58</v>
      </c>
      <c r="B67" s="15" t="str">
        <f>IF(ISBLANK(D[[#This Row],[CLAS_GRONDSOORT]]),"ONWAAR","WAAR")</f>
        <v>WAAR</v>
      </c>
      <c r="C67" s="15" t="str">
        <f>IF(ISBLANK(D[[#This Row],[CLAS_VN_HOOFDNAAM]]),"ONWAAR","WAAR")</f>
        <v>ONWAAR</v>
      </c>
      <c r="D67" s="15" t="str">
        <f>IF(ISBLANK(D[[#This Row],[KV_GRONDSOORT]]),"ONWAAR","WAAR")</f>
        <v>ONWAAR</v>
      </c>
      <c r="E67" s="15" t="str">
        <f>IF(ISBLANK(D[[#This Row],[CPT_QNET]]),"ONWAAR","WAAR")</f>
        <v>ONWAAR</v>
      </c>
      <c r="F67" s="15" t="str">
        <f>IF(ISBLANK(D[[#This Row],[CRS_GRONDSOORT]]),"ONWAAR","WAAR")</f>
        <v>ONWAAR</v>
      </c>
      <c r="G67" s="15" t="str">
        <f>IF(ISBLANK(D[[#This Row],[SD_GRONDSOORT]]),"ONWAAR","WAAR")</f>
        <v>ONWAAR</v>
      </c>
      <c r="H67" s="15" t="str">
        <f>IF(ISBLANK(D[[#This Row],[DSS_GRONDSOORT]]),"ONWAAR","WAAR")</f>
        <v>ONWAAR</v>
      </c>
      <c r="I67" s="15" t="str">
        <f>IF(ISBLANK(D[[#This Row],[TXT_SS_GRONDSOORT]]),"ONWAAR","WAAR")</f>
        <v>ONWAAR</v>
      </c>
      <c r="J67" s="13" t="s">
        <v>1649</v>
      </c>
      <c r="L67" s="13" t="s">
        <v>1418</v>
      </c>
      <c r="M67" s="13" t="s">
        <v>1419</v>
      </c>
      <c r="P67" s="13" t="s">
        <v>1420</v>
      </c>
      <c r="V67" s="41">
        <v>135066.5</v>
      </c>
      <c r="W67" s="41">
        <v>415594.41</v>
      </c>
      <c r="X67" s="41">
        <v>6.34</v>
      </c>
      <c r="Y67" s="13" t="s">
        <v>1650</v>
      </c>
      <c r="Z67" s="13" t="s">
        <v>1422</v>
      </c>
      <c r="AA67" s="39">
        <v>45170</v>
      </c>
      <c r="AB67" s="13" t="s">
        <v>1651</v>
      </c>
      <c r="AC67" s="13" t="s">
        <v>1652</v>
      </c>
      <c r="AD67" s="13" t="s">
        <v>1425</v>
      </c>
      <c r="AE67" s="13" t="s">
        <v>1476</v>
      </c>
      <c r="AF67" s="13" t="s">
        <v>1427</v>
      </c>
      <c r="AG67" s="41">
        <v>-0.56000000000000005</v>
      </c>
      <c r="AI67" s="42">
        <v>1</v>
      </c>
      <c r="AJ67" s="13" t="s">
        <v>1428</v>
      </c>
      <c r="AK67" s="13" t="s">
        <v>1429</v>
      </c>
      <c r="AL67" s="41">
        <v>5.04</v>
      </c>
      <c r="AM67" s="41">
        <v>4.6399999999999997</v>
      </c>
      <c r="AN67" s="41">
        <v>1.3</v>
      </c>
      <c r="AO67" s="41">
        <v>1.7</v>
      </c>
      <c r="AQ67" s="13" t="s">
        <v>1653</v>
      </c>
      <c r="AR67" s="13" t="s">
        <v>1431</v>
      </c>
      <c r="AS67" s="13" t="s">
        <v>1649</v>
      </c>
      <c r="AT67" s="13" t="s">
        <v>1425</v>
      </c>
      <c r="AU67" s="13" t="s">
        <v>1432</v>
      </c>
      <c r="AV67" s="39">
        <v>45279</v>
      </c>
      <c r="AW67" s="13" t="s">
        <v>1654</v>
      </c>
      <c r="AY67" s="41">
        <v>4.8499999999999996</v>
      </c>
      <c r="AZ67" s="41">
        <v>17.3</v>
      </c>
      <c r="BA67" s="41">
        <v>12.1</v>
      </c>
      <c r="BB67" s="41">
        <v>43.4</v>
      </c>
      <c r="BP67" s="15"/>
      <c r="BQ67" s="15"/>
      <c r="BR67" s="15"/>
      <c r="BS67" s="15"/>
    </row>
    <row r="68" spans="1:425">
      <c r="A68" s="14">
        <v>59</v>
      </c>
      <c r="B68" s="15" t="str">
        <f>IF(ISBLANK(D[[#This Row],[CLAS_GRONDSOORT]]),"ONWAAR","WAAR")</f>
        <v>WAAR</v>
      </c>
      <c r="C68" s="15" t="str">
        <f>IF(ISBLANK(D[[#This Row],[CLAS_VN_HOOFDNAAM]]),"ONWAAR","WAAR")</f>
        <v>ONWAAR</v>
      </c>
      <c r="D68" s="15" t="str">
        <f>IF(ISBLANK(D[[#This Row],[KV_GRONDSOORT]]),"ONWAAR","WAAR")</f>
        <v>ONWAAR</v>
      </c>
      <c r="E68" s="15" t="str">
        <f>IF(ISBLANK(D[[#This Row],[CPT_QNET]]),"ONWAAR","WAAR")</f>
        <v>ONWAAR</v>
      </c>
      <c r="F68" s="15" t="str">
        <f>IF(ISBLANK(D[[#This Row],[CRS_GRONDSOORT]]),"ONWAAR","WAAR")</f>
        <v>ONWAAR</v>
      </c>
      <c r="G68" s="15" t="str">
        <f>IF(ISBLANK(D[[#This Row],[SD_GRONDSOORT]]),"ONWAAR","WAAR")</f>
        <v>ONWAAR</v>
      </c>
      <c r="H68" s="15" t="str">
        <f>IF(ISBLANK(D[[#This Row],[DSS_GRONDSOORT]]),"ONWAAR","WAAR")</f>
        <v>ONWAAR</v>
      </c>
      <c r="I68" s="15" t="str">
        <f>IF(ISBLANK(D[[#This Row],[TXT_SS_GRONDSOORT]]),"ONWAAR","WAAR")</f>
        <v>ONWAAR</v>
      </c>
      <c r="J68" s="13" t="s">
        <v>1655</v>
      </c>
      <c r="L68" s="13" t="s">
        <v>1418</v>
      </c>
      <c r="M68" s="13" t="s">
        <v>1419</v>
      </c>
      <c r="P68" s="13" t="s">
        <v>1420</v>
      </c>
      <c r="V68" s="41">
        <v>135066.5</v>
      </c>
      <c r="W68" s="41">
        <v>415594.41</v>
      </c>
      <c r="X68" s="41">
        <v>6.34</v>
      </c>
      <c r="Y68" s="13" t="s">
        <v>1650</v>
      </c>
      <c r="Z68" s="13" t="s">
        <v>1422</v>
      </c>
      <c r="AA68" s="39">
        <v>45170</v>
      </c>
      <c r="AB68" s="13" t="s">
        <v>1651</v>
      </c>
      <c r="AC68" s="13" t="s">
        <v>1652</v>
      </c>
      <c r="AD68" s="13" t="s">
        <v>1425</v>
      </c>
      <c r="AE68" s="13" t="s">
        <v>1476</v>
      </c>
      <c r="AF68" s="13" t="s">
        <v>1427</v>
      </c>
      <c r="AG68" s="41">
        <v>-0.56000000000000005</v>
      </c>
      <c r="AI68" s="42">
        <v>2</v>
      </c>
      <c r="AJ68" s="13" t="s">
        <v>1428</v>
      </c>
      <c r="AK68" s="13" t="s">
        <v>1429</v>
      </c>
      <c r="AL68" s="41">
        <v>4.04</v>
      </c>
      <c r="AM68" s="41">
        <v>3.64</v>
      </c>
      <c r="AN68" s="41">
        <v>2.2999999999999998</v>
      </c>
      <c r="AO68" s="41">
        <v>2.7</v>
      </c>
      <c r="AQ68" s="13" t="s">
        <v>1653</v>
      </c>
      <c r="AR68" s="13" t="s">
        <v>1431</v>
      </c>
      <c r="AS68" s="13" t="s">
        <v>1655</v>
      </c>
      <c r="AT68" s="13" t="s">
        <v>1425</v>
      </c>
      <c r="AU68" s="13" t="s">
        <v>1432</v>
      </c>
      <c r="AV68" s="39">
        <v>45279</v>
      </c>
      <c r="AW68" s="13" t="s">
        <v>1656</v>
      </c>
      <c r="AY68" s="41">
        <v>3.9</v>
      </c>
      <c r="AZ68" s="41">
        <v>16.100000000000001</v>
      </c>
      <c r="BA68" s="41">
        <v>10.4</v>
      </c>
      <c r="BB68" s="41">
        <v>55.8</v>
      </c>
      <c r="BP68" s="15"/>
      <c r="BQ68" s="15"/>
      <c r="BR68" s="15"/>
      <c r="BS68" s="15"/>
    </row>
    <row r="69" spans="1:425">
      <c r="A69" s="14">
        <v>60</v>
      </c>
      <c r="B69" s="15" t="str">
        <f>IF(ISBLANK(D[[#This Row],[CLAS_GRONDSOORT]]),"ONWAAR","WAAR")</f>
        <v>WAAR</v>
      </c>
      <c r="C69" s="15" t="str">
        <f>IF(ISBLANK(D[[#This Row],[CLAS_VN_HOOFDNAAM]]),"ONWAAR","WAAR")</f>
        <v>ONWAAR</v>
      </c>
      <c r="D69" s="15" t="str">
        <f>IF(ISBLANK(D[[#This Row],[KV_GRONDSOORT]]),"ONWAAR","WAAR")</f>
        <v>ONWAAR</v>
      </c>
      <c r="E69" s="15" t="str">
        <f>IF(ISBLANK(D[[#This Row],[CPT_QNET]]),"ONWAAR","WAAR")</f>
        <v>ONWAAR</v>
      </c>
      <c r="F69" s="15" t="str">
        <f>IF(ISBLANK(D[[#This Row],[CRS_GRONDSOORT]]),"ONWAAR","WAAR")</f>
        <v>WAAR</v>
      </c>
      <c r="G69" s="15" t="str">
        <f>IF(ISBLANK(D[[#This Row],[SD_GRONDSOORT]]),"ONWAAR","WAAR")</f>
        <v>ONWAAR</v>
      </c>
      <c r="H69" s="15" t="str">
        <f>IF(ISBLANK(D[[#This Row],[DSS_GRONDSOORT]]),"ONWAAR","WAAR")</f>
        <v>ONWAAR</v>
      </c>
      <c r="I69" s="15" t="str">
        <f>IF(ISBLANK(D[[#This Row],[TXT_SS_GRONDSOORT]]),"ONWAAR","WAAR")</f>
        <v>WAAR</v>
      </c>
      <c r="J69" s="13" t="s">
        <v>1657</v>
      </c>
      <c r="L69" s="13" t="s">
        <v>1418</v>
      </c>
      <c r="M69" s="13" t="s">
        <v>1419</v>
      </c>
      <c r="P69" s="13" t="s">
        <v>1420</v>
      </c>
      <c r="V69" s="41">
        <v>135066.5</v>
      </c>
      <c r="W69" s="41">
        <v>415594.41</v>
      </c>
      <c r="X69" s="41">
        <v>6.34</v>
      </c>
      <c r="Y69" s="13" t="s">
        <v>1650</v>
      </c>
      <c r="Z69" s="13" t="s">
        <v>1422</v>
      </c>
      <c r="AA69" s="39">
        <v>45170</v>
      </c>
      <c r="AB69" s="13" t="s">
        <v>1651</v>
      </c>
      <c r="AC69" s="13" t="s">
        <v>1652</v>
      </c>
      <c r="AD69" s="13" t="s">
        <v>1425</v>
      </c>
      <c r="AE69" s="13" t="s">
        <v>1476</v>
      </c>
      <c r="AF69" s="13" t="s">
        <v>1427</v>
      </c>
      <c r="AG69" s="41">
        <v>-0.56000000000000005</v>
      </c>
      <c r="AI69" s="42">
        <v>3</v>
      </c>
      <c r="AJ69" s="13" t="s">
        <v>1428</v>
      </c>
      <c r="AK69" s="13" t="s">
        <v>1429</v>
      </c>
      <c r="AL69" s="41">
        <v>3.04</v>
      </c>
      <c r="AM69" s="41">
        <v>2.64</v>
      </c>
      <c r="AN69" s="41">
        <v>3.3</v>
      </c>
      <c r="AO69" s="41">
        <v>3.7</v>
      </c>
      <c r="AQ69" s="13" t="s">
        <v>1653</v>
      </c>
      <c r="AR69" s="13" t="s">
        <v>1431</v>
      </c>
      <c r="AS69" s="13" t="s">
        <v>1657</v>
      </c>
      <c r="AT69" s="13" t="s">
        <v>1425</v>
      </c>
      <c r="AU69" s="13" t="s">
        <v>1432</v>
      </c>
      <c r="AV69" s="39">
        <v>45279</v>
      </c>
      <c r="AW69" s="13" t="s">
        <v>1658</v>
      </c>
      <c r="AY69" s="41">
        <v>2.77</v>
      </c>
      <c r="AZ69" s="41">
        <v>16.7</v>
      </c>
      <c r="BA69" s="41">
        <v>10.8</v>
      </c>
      <c r="BB69" s="41">
        <v>54.1</v>
      </c>
      <c r="BP69" s="15"/>
      <c r="BQ69" s="15"/>
      <c r="BR69" s="15"/>
      <c r="BS69" s="15"/>
      <c r="EA69" s="13" t="s">
        <v>1659</v>
      </c>
      <c r="EB69" s="13" t="s">
        <v>1660</v>
      </c>
      <c r="EC69" s="13" t="s">
        <v>1661</v>
      </c>
      <c r="ED69" s="13" t="s">
        <v>1454</v>
      </c>
      <c r="EE69" s="13" t="s">
        <v>1455</v>
      </c>
      <c r="EF69" s="39">
        <v>45197</v>
      </c>
      <c r="EG69" s="13" t="s">
        <v>1456</v>
      </c>
      <c r="EH69" s="13" t="s">
        <v>1497</v>
      </c>
      <c r="EI69" s="41">
        <v>2.84</v>
      </c>
      <c r="EJ69" s="41">
        <v>54.3</v>
      </c>
      <c r="EK69" s="41">
        <v>17.059999999999999</v>
      </c>
      <c r="EL69" s="41">
        <v>12.24</v>
      </c>
      <c r="EM69" s="41">
        <v>39.4</v>
      </c>
      <c r="EN69" s="41">
        <v>34.659999999999997</v>
      </c>
      <c r="EO69" s="41">
        <v>91.88</v>
      </c>
      <c r="EP69" s="13">
        <v>21.7</v>
      </c>
      <c r="EQ69" s="13">
        <v>19.8</v>
      </c>
      <c r="ER69" s="13">
        <v>63.49</v>
      </c>
      <c r="ES69" s="41">
        <v>18.95</v>
      </c>
      <c r="ET69" s="41">
        <v>18.87</v>
      </c>
      <c r="EU69" s="41">
        <v>15.44</v>
      </c>
      <c r="EV69" s="13">
        <v>0.5</v>
      </c>
      <c r="EW69" s="44">
        <v>-0.2</v>
      </c>
      <c r="EX69" s="13">
        <v>16</v>
      </c>
      <c r="EY69" s="41">
        <v>303.60000000000002</v>
      </c>
      <c r="EZ69" s="41">
        <v>253.6</v>
      </c>
      <c r="FA69" s="41">
        <v>192.3</v>
      </c>
      <c r="FB69" s="41">
        <v>111.5</v>
      </c>
      <c r="FC69" s="41">
        <v>811.8</v>
      </c>
      <c r="FD69" s="41">
        <v>9.83</v>
      </c>
      <c r="FE69" s="41">
        <v>121.5</v>
      </c>
      <c r="FF69" s="41">
        <v>3.13</v>
      </c>
      <c r="FG69" s="41">
        <v>337</v>
      </c>
      <c r="FH69" s="45">
        <v>6.1000000000000004E-3</v>
      </c>
      <c r="FI69" s="45">
        <v>8.8099999999999998E-2</v>
      </c>
      <c r="FJ69" s="45">
        <v>3.5999999999999999E-3</v>
      </c>
      <c r="NH69" s="13" t="s">
        <v>1662</v>
      </c>
      <c r="NI69" s="13" t="s">
        <v>1663</v>
      </c>
      <c r="NJ69" s="13" t="s">
        <v>1664</v>
      </c>
      <c r="NK69" s="13" t="s">
        <v>1454</v>
      </c>
      <c r="NL69" s="13" t="s">
        <v>1461</v>
      </c>
      <c r="NM69" s="39">
        <v>45205</v>
      </c>
      <c r="NN69" s="13" t="s">
        <v>1456</v>
      </c>
      <c r="NO69" s="13" t="s">
        <v>1497</v>
      </c>
      <c r="NP69" s="41">
        <v>2.77</v>
      </c>
      <c r="NQ69" s="41">
        <v>54.3</v>
      </c>
      <c r="NR69" s="41">
        <v>16.68</v>
      </c>
      <c r="NS69" s="41">
        <v>10.83</v>
      </c>
      <c r="NT69" s="41">
        <v>50.95</v>
      </c>
      <c r="NU69" s="41">
        <v>54.06</v>
      </c>
      <c r="NV69" s="41">
        <v>102.82</v>
      </c>
      <c r="NW69" s="41">
        <v>1.38</v>
      </c>
      <c r="NX69" s="44">
        <v>2631</v>
      </c>
      <c r="NY69" s="44">
        <v>21.3</v>
      </c>
      <c r="NZ69" s="44">
        <v>21.3</v>
      </c>
      <c r="OA69" s="44">
        <v>50</v>
      </c>
      <c r="OB69" s="44">
        <v>100</v>
      </c>
      <c r="OC69" s="41" t="s">
        <v>1463</v>
      </c>
      <c r="OD69" s="41" t="s">
        <v>1464</v>
      </c>
      <c r="OE69" s="41" t="s">
        <v>1465</v>
      </c>
      <c r="OF69" s="43">
        <v>299</v>
      </c>
      <c r="OG69" s="41" t="s">
        <v>1466</v>
      </c>
      <c r="OH69" s="41">
        <v>0.73</v>
      </c>
      <c r="OI69" s="41" t="s">
        <v>1467</v>
      </c>
      <c r="OJ69" s="41">
        <v>39.72</v>
      </c>
      <c r="OK69" s="41">
        <v>0.72</v>
      </c>
      <c r="OL69" s="41">
        <v>45.87</v>
      </c>
      <c r="OM69" s="41">
        <v>7.4</v>
      </c>
      <c r="ON69" s="41">
        <v>45.87</v>
      </c>
      <c r="OO69" s="41">
        <v>7.4</v>
      </c>
      <c r="OP69" s="43">
        <v>1</v>
      </c>
      <c r="OQ69" s="41">
        <v>1.18</v>
      </c>
      <c r="OR69" s="41">
        <v>3.97</v>
      </c>
      <c r="OS69" s="41" t="s">
        <v>1468</v>
      </c>
      <c r="OT69" s="41">
        <v>1.03</v>
      </c>
      <c r="OU69" s="41">
        <v>50.83</v>
      </c>
      <c r="OV69" s="41">
        <v>27.76</v>
      </c>
      <c r="OW69" s="41">
        <v>49.15</v>
      </c>
      <c r="OX69" s="41">
        <v>23.99</v>
      </c>
      <c r="OY69" s="41">
        <v>47.5</v>
      </c>
      <c r="OZ69" s="41">
        <v>20.93</v>
      </c>
      <c r="PA69" s="41">
        <v>50.78</v>
      </c>
      <c r="PB69" s="41">
        <v>27.81</v>
      </c>
      <c r="PC69" s="41">
        <v>1.9</v>
      </c>
      <c r="PD69" s="41">
        <v>45.31</v>
      </c>
      <c r="PE69" s="41">
        <v>18.64</v>
      </c>
      <c r="PF69" s="43">
        <v>25</v>
      </c>
      <c r="PG69" s="41">
        <v>9.92</v>
      </c>
      <c r="PH69" s="41">
        <v>0.21</v>
      </c>
      <c r="PI69" s="41">
        <v>0.28000000000000003</v>
      </c>
    </row>
    <row r="70" spans="1:425">
      <c r="A70" s="14">
        <v>61</v>
      </c>
      <c r="B70" s="15" t="str">
        <f>IF(ISBLANK(D[[#This Row],[CLAS_GRONDSOORT]]),"ONWAAR","WAAR")</f>
        <v>WAAR</v>
      </c>
      <c r="C70" s="15" t="str">
        <f>IF(ISBLANK(D[[#This Row],[CLAS_VN_HOOFDNAAM]]),"ONWAAR","WAAR")</f>
        <v>ONWAAR</v>
      </c>
      <c r="D70" s="15" t="str">
        <f>IF(ISBLANK(D[[#This Row],[KV_GRONDSOORT]]),"ONWAAR","WAAR")</f>
        <v>ONWAAR</v>
      </c>
      <c r="E70" s="15" t="str">
        <f>IF(ISBLANK(D[[#This Row],[CPT_QNET]]),"ONWAAR","WAAR")</f>
        <v>ONWAAR</v>
      </c>
      <c r="F70" s="15" t="str">
        <f>IF(ISBLANK(D[[#This Row],[CRS_GRONDSOORT]]),"ONWAAR","WAAR")</f>
        <v>ONWAAR</v>
      </c>
      <c r="G70" s="15" t="str">
        <f>IF(ISBLANK(D[[#This Row],[SD_GRONDSOORT]]),"ONWAAR","WAAR")</f>
        <v>ONWAAR</v>
      </c>
      <c r="H70" s="15" t="str">
        <f>IF(ISBLANK(D[[#This Row],[DSS_GRONDSOORT]]),"ONWAAR","WAAR")</f>
        <v>ONWAAR</v>
      </c>
      <c r="I70" s="15" t="str">
        <f>IF(ISBLANK(D[[#This Row],[TXT_SS_GRONDSOORT]]),"ONWAAR","WAAR")</f>
        <v>ONWAAR</v>
      </c>
      <c r="J70" s="13" t="s">
        <v>1665</v>
      </c>
      <c r="L70" s="13" t="s">
        <v>1418</v>
      </c>
      <c r="M70" s="13" t="s">
        <v>1419</v>
      </c>
      <c r="P70" s="13" t="s">
        <v>1420</v>
      </c>
      <c r="V70" s="41">
        <v>135066.5</v>
      </c>
      <c r="W70" s="41">
        <v>415594.41</v>
      </c>
      <c r="X70" s="41">
        <v>6.34</v>
      </c>
      <c r="Y70" s="13" t="s">
        <v>1650</v>
      </c>
      <c r="Z70" s="13" t="s">
        <v>1422</v>
      </c>
      <c r="AA70" s="39">
        <v>45170</v>
      </c>
      <c r="AB70" s="13" t="s">
        <v>1651</v>
      </c>
      <c r="AC70" s="13" t="s">
        <v>1652</v>
      </c>
      <c r="AD70" s="13" t="s">
        <v>1425</v>
      </c>
      <c r="AE70" s="13" t="s">
        <v>1476</v>
      </c>
      <c r="AF70" s="13" t="s">
        <v>1427</v>
      </c>
      <c r="AG70" s="41">
        <v>-0.56000000000000005</v>
      </c>
      <c r="AI70" s="42">
        <v>4</v>
      </c>
      <c r="AJ70" s="13" t="s">
        <v>1428</v>
      </c>
      <c r="AK70" s="13" t="s">
        <v>1429</v>
      </c>
      <c r="AL70" s="41">
        <v>2.04</v>
      </c>
      <c r="AM70" s="41">
        <v>1.64</v>
      </c>
      <c r="AN70" s="41">
        <v>4.3</v>
      </c>
      <c r="AO70" s="41">
        <v>4.7</v>
      </c>
      <c r="AQ70" s="13" t="s">
        <v>1653</v>
      </c>
      <c r="AR70" s="13" t="s">
        <v>1431</v>
      </c>
      <c r="AS70" s="13" t="s">
        <v>1665</v>
      </c>
      <c r="AT70" s="13" t="s">
        <v>1425</v>
      </c>
      <c r="AU70" s="13" t="s">
        <v>1432</v>
      </c>
      <c r="AV70" s="39">
        <v>45279</v>
      </c>
      <c r="AW70" s="13" t="s">
        <v>1666</v>
      </c>
      <c r="AY70" s="41">
        <v>1.81</v>
      </c>
      <c r="AZ70" s="41">
        <v>16.3</v>
      </c>
      <c r="BA70" s="41">
        <v>10.7</v>
      </c>
      <c r="BB70" s="41">
        <v>52.4</v>
      </c>
      <c r="BP70" s="15"/>
      <c r="BQ70" s="15"/>
      <c r="BR70" s="15"/>
      <c r="BS70" s="15"/>
    </row>
    <row r="71" spans="1:425">
      <c r="A71" s="14">
        <v>62</v>
      </c>
      <c r="B71" s="15" t="str">
        <f>IF(ISBLANK(D[[#This Row],[CLAS_GRONDSOORT]]),"ONWAAR","WAAR")</f>
        <v>WAAR</v>
      </c>
      <c r="C71" s="15" t="str">
        <f>IF(ISBLANK(D[[#This Row],[CLAS_VN_HOOFDNAAM]]),"ONWAAR","WAAR")</f>
        <v>ONWAAR</v>
      </c>
      <c r="D71" s="15" t="str">
        <f>IF(ISBLANK(D[[#This Row],[KV_GRONDSOORT]]),"ONWAAR","WAAR")</f>
        <v>ONWAAR</v>
      </c>
      <c r="E71" s="15" t="str">
        <f>IF(ISBLANK(D[[#This Row],[CPT_QNET]]),"ONWAAR","WAAR")</f>
        <v>ONWAAR</v>
      </c>
      <c r="F71" s="15" t="str">
        <f>IF(ISBLANK(D[[#This Row],[CRS_GRONDSOORT]]),"ONWAAR","WAAR")</f>
        <v>ONWAAR</v>
      </c>
      <c r="G71" s="15" t="str">
        <f>IF(ISBLANK(D[[#This Row],[SD_GRONDSOORT]]),"ONWAAR","WAAR")</f>
        <v>ONWAAR</v>
      </c>
      <c r="H71" s="15" t="str">
        <f>IF(ISBLANK(D[[#This Row],[DSS_GRONDSOORT]]),"ONWAAR","WAAR")</f>
        <v>ONWAAR</v>
      </c>
      <c r="I71" s="15" t="str">
        <f>IF(ISBLANK(D[[#This Row],[TXT_SS_GRONDSOORT]]),"ONWAAR","WAAR")</f>
        <v>ONWAAR</v>
      </c>
      <c r="J71" s="13" t="s">
        <v>1667</v>
      </c>
      <c r="L71" s="13" t="s">
        <v>1418</v>
      </c>
      <c r="M71" s="13" t="s">
        <v>1419</v>
      </c>
      <c r="P71" s="13" t="s">
        <v>1420</v>
      </c>
      <c r="V71" s="41">
        <v>135066.5</v>
      </c>
      <c r="W71" s="41">
        <v>415594.41</v>
      </c>
      <c r="X71" s="41">
        <v>6.34</v>
      </c>
      <c r="Y71" s="13" t="s">
        <v>1650</v>
      </c>
      <c r="Z71" s="13" t="s">
        <v>1422</v>
      </c>
      <c r="AA71" s="39">
        <v>45170</v>
      </c>
      <c r="AB71" s="13" t="s">
        <v>1651</v>
      </c>
      <c r="AC71" s="13" t="s">
        <v>1652</v>
      </c>
      <c r="AD71" s="13" t="s">
        <v>1425</v>
      </c>
      <c r="AE71" s="13" t="s">
        <v>1476</v>
      </c>
      <c r="AF71" s="13" t="s">
        <v>1427</v>
      </c>
      <c r="AG71" s="41">
        <v>-0.56000000000000005</v>
      </c>
      <c r="AI71" s="42">
        <v>5</v>
      </c>
      <c r="AJ71" s="13" t="s">
        <v>1428</v>
      </c>
      <c r="AK71" s="13" t="s">
        <v>1429</v>
      </c>
      <c r="AL71" s="41">
        <v>1.04</v>
      </c>
      <c r="AM71" s="41">
        <v>0.64</v>
      </c>
      <c r="AN71" s="41">
        <v>5.3</v>
      </c>
      <c r="AO71" s="41">
        <v>5.7</v>
      </c>
      <c r="AQ71" s="13" t="s">
        <v>1653</v>
      </c>
      <c r="AR71" s="13" t="s">
        <v>1431</v>
      </c>
      <c r="AS71" s="13" t="s">
        <v>1667</v>
      </c>
      <c r="AT71" s="13" t="s">
        <v>1425</v>
      </c>
      <c r="AU71" s="13" t="s">
        <v>1432</v>
      </c>
      <c r="AV71" s="39">
        <v>45279</v>
      </c>
      <c r="AW71" s="13" t="s">
        <v>1668</v>
      </c>
      <c r="AY71" s="41">
        <v>0.91</v>
      </c>
      <c r="AZ71" s="41">
        <v>14.7</v>
      </c>
      <c r="BA71" s="41">
        <v>8.3000000000000007</v>
      </c>
      <c r="BB71" s="41">
        <v>77.7</v>
      </c>
      <c r="BP71" s="15"/>
      <c r="BQ71" s="15"/>
      <c r="BR71" s="15"/>
      <c r="BS71" s="15"/>
    </row>
    <row r="72" spans="1:425">
      <c r="A72" s="14">
        <v>63</v>
      </c>
      <c r="B72" s="15" t="str">
        <f>IF(ISBLANK(D[[#This Row],[CLAS_GRONDSOORT]]),"ONWAAR","WAAR")</f>
        <v>WAAR</v>
      </c>
      <c r="C72" s="15" t="str">
        <f>IF(ISBLANK(D[[#This Row],[CLAS_VN_HOOFDNAAM]]),"ONWAAR","WAAR")</f>
        <v>ONWAAR</v>
      </c>
      <c r="D72" s="15" t="str">
        <f>IF(ISBLANK(D[[#This Row],[KV_GRONDSOORT]]),"ONWAAR","WAAR")</f>
        <v>ONWAAR</v>
      </c>
      <c r="E72" s="15" t="str">
        <f>IF(ISBLANK(D[[#This Row],[CPT_QNET]]),"ONWAAR","WAAR")</f>
        <v>ONWAAR</v>
      </c>
      <c r="F72" s="15" t="str">
        <f>IF(ISBLANK(D[[#This Row],[CRS_GRONDSOORT]]),"ONWAAR","WAAR")</f>
        <v>ONWAAR</v>
      </c>
      <c r="G72" s="15" t="str">
        <f>IF(ISBLANK(D[[#This Row],[SD_GRONDSOORT]]),"ONWAAR","WAAR")</f>
        <v>ONWAAR</v>
      </c>
      <c r="H72" s="15" t="str">
        <f>IF(ISBLANK(D[[#This Row],[DSS_GRONDSOORT]]),"ONWAAR","WAAR")</f>
        <v>ONWAAR</v>
      </c>
      <c r="I72" s="15" t="str">
        <f>IF(ISBLANK(D[[#This Row],[TXT_SS_GRONDSOORT]]),"ONWAAR","WAAR")</f>
        <v>ONWAAR</v>
      </c>
      <c r="J72" s="13" t="s">
        <v>1669</v>
      </c>
      <c r="L72" s="13" t="s">
        <v>1418</v>
      </c>
      <c r="M72" s="13" t="s">
        <v>1419</v>
      </c>
      <c r="P72" s="13" t="s">
        <v>1420</v>
      </c>
      <c r="V72" s="41">
        <v>135066.5</v>
      </c>
      <c r="W72" s="41">
        <v>415594.41</v>
      </c>
      <c r="X72" s="41">
        <v>6.34</v>
      </c>
      <c r="Y72" s="13" t="s">
        <v>1650</v>
      </c>
      <c r="Z72" s="13" t="s">
        <v>1422</v>
      </c>
      <c r="AA72" s="39">
        <v>45170</v>
      </c>
      <c r="AB72" s="13" t="s">
        <v>1651</v>
      </c>
      <c r="AC72" s="13" t="s">
        <v>1652</v>
      </c>
      <c r="AD72" s="13" t="s">
        <v>1425</v>
      </c>
      <c r="AE72" s="13" t="s">
        <v>1476</v>
      </c>
      <c r="AF72" s="13" t="s">
        <v>1427</v>
      </c>
      <c r="AG72" s="41">
        <v>-0.56000000000000005</v>
      </c>
      <c r="AI72" s="42">
        <v>6</v>
      </c>
      <c r="AJ72" s="13" t="s">
        <v>1428</v>
      </c>
      <c r="AK72" s="13" t="s">
        <v>1429</v>
      </c>
      <c r="AL72" s="41">
        <v>0.54</v>
      </c>
      <c r="AM72" s="41">
        <v>0.14000000000000001</v>
      </c>
      <c r="AN72" s="41">
        <v>5.8</v>
      </c>
      <c r="AO72" s="41">
        <v>6.2</v>
      </c>
      <c r="AQ72" s="13" t="s">
        <v>1653</v>
      </c>
      <c r="AR72" s="13" t="s">
        <v>1431</v>
      </c>
      <c r="AS72" s="13" t="s">
        <v>1669</v>
      </c>
      <c r="AT72" s="13" t="s">
        <v>1425</v>
      </c>
      <c r="AU72" s="13" t="s">
        <v>1432</v>
      </c>
      <c r="AV72" s="39">
        <v>45279</v>
      </c>
      <c r="AW72" s="13" t="s">
        <v>1670</v>
      </c>
      <c r="AY72" s="41">
        <v>0.28999999999999998</v>
      </c>
      <c r="AZ72" s="41">
        <v>16</v>
      </c>
      <c r="BA72" s="41">
        <v>10.1</v>
      </c>
      <c r="BB72" s="41">
        <v>58.2</v>
      </c>
      <c r="BP72" s="15"/>
      <c r="BQ72" s="15"/>
      <c r="BR72" s="15"/>
      <c r="BS72" s="15"/>
    </row>
    <row r="73" spans="1:425">
      <c r="A73" s="14">
        <v>64</v>
      </c>
      <c r="B73" s="15" t="str">
        <f>IF(ISBLANK(D[[#This Row],[CLAS_GRONDSOORT]]),"ONWAAR","WAAR")</f>
        <v>WAAR</v>
      </c>
      <c r="C73" s="15" t="str">
        <f>IF(ISBLANK(D[[#This Row],[CLAS_VN_HOOFDNAAM]]),"ONWAAR","WAAR")</f>
        <v>ONWAAR</v>
      </c>
      <c r="D73" s="15" t="str">
        <f>IF(ISBLANK(D[[#This Row],[KV_GRONDSOORT]]),"ONWAAR","WAAR")</f>
        <v>ONWAAR</v>
      </c>
      <c r="E73" s="15" t="str">
        <f>IF(ISBLANK(D[[#This Row],[CPT_QNET]]),"ONWAAR","WAAR")</f>
        <v>ONWAAR</v>
      </c>
      <c r="F73" s="15" t="str">
        <f>IF(ISBLANK(D[[#This Row],[CRS_GRONDSOORT]]),"ONWAAR","WAAR")</f>
        <v>ONWAAR</v>
      </c>
      <c r="G73" s="15" t="str">
        <f>IF(ISBLANK(D[[#This Row],[SD_GRONDSOORT]]),"ONWAAR","WAAR")</f>
        <v>ONWAAR</v>
      </c>
      <c r="H73" s="15" t="str">
        <f>IF(ISBLANK(D[[#This Row],[DSS_GRONDSOORT]]),"ONWAAR","WAAR")</f>
        <v>ONWAAR</v>
      </c>
      <c r="I73" s="15" t="str">
        <f>IF(ISBLANK(D[[#This Row],[TXT_SS_GRONDSOORT]]),"ONWAAR","WAAR")</f>
        <v>ONWAAR</v>
      </c>
      <c r="J73" s="13" t="s">
        <v>1671</v>
      </c>
      <c r="L73" s="13" t="s">
        <v>1418</v>
      </c>
      <c r="M73" s="13" t="s">
        <v>1419</v>
      </c>
      <c r="P73" s="13" t="s">
        <v>1420</v>
      </c>
      <c r="V73" s="41">
        <v>135066.5</v>
      </c>
      <c r="W73" s="41">
        <v>415594.41</v>
      </c>
      <c r="X73" s="41">
        <v>6.34</v>
      </c>
      <c r="Y73" s="13" t="s">
        <v>1650</v>
      </c>
      <c r="Z73" s="13" t="s">
        <v>1422</v>
      </c>
      <c r="AA73" s="39">
        <v>45170</v>
      </c>
      <c r="AB73" s="13" t="s">
        <v>1651</v>
      </c>
      <c r="AC73" s="13" t="s">
        <v>1652</v>
      </c>
      <c r="AD73" s="13" t="s">
        <v>1425</v>
      </c>
      <c r="AE73" s="13" t="s">
        <v>1476</v>
      </c>
      <c r="AF73" s="13" t="s">
        <v>1427</v>
      </c>
      <c r="AG73" s="41">
        <v>-0.56000000000000005</v>
      </c>
      <c r="AI73" s="42">
        <v>7</v>
      </c>
      <c r="AJ73" s="13" t="s">
        <v>1428</v>
      </c>
      <c r="AK73" s="13" t="s">
        <v>1429</v>
      </c>
      <c r="AL73" s="41">
        <v>0.04</v>
      </c>
      <c r="AM73" s="41">
        <v>-0.36</v>
      </c>
      <c r="AN73" s="41">
        <v>6.3</v>
      </c>
      <c r="AO73" s="41">
        <v>6.7</v>
      </c>
      <c r="AQ73" s="13" t="s">
        <v>1653</v>
      </c>
      <c r="AR73" s="13" t="s">
        <v>1431</v>
      </c>
      <c r="AS73" s="13" t="s">
        <v>1671</v>
      </c>
      <c r="AT73" s="13" t="s">
        <v>1425</v>
      </c>
      <c r="AU73" s="13" t="s">
        <v>1432</v>
      </c>
      <c r="AV73" s="39">
        <v>45279</v>
      </c>
      <c r="AW73" s="13" t="s">
        <v>1672</v>
      </c>
      <c r="AY73" s="41">
        <v>-7.0000000000000007E-2</v>
      </c>
      <c r="AZ73" s="41">
        <v>17.2</v>
      </c>
      <c r="BA73" s="41">
        <v>11.9</v>
      </c>
      <c r="BB73" s="41">
        <v>44.1</v>
      </c>
      <c r="BP73" s="15"/>
      <c r="BQ73" s="15"/>
      <c r="BR73" s="15"/>
      <c r="BS73" s="15"/>
    </row>
    <row r="74" spans="1:425">
      <c r="A74" s="14">
        <v>65</v>
      </c>
      <c r="B74" s="15" t="str">
        <f>IF(ISBLANK(D[[#This Row],[CLAS_GRONDSOORT]]),"ONWAAR","WAAR")</f>
        <v>WAAR</v>
      </c>
      <c r="C74" s="15" t="str">
        <f>IF(ISBLANK(D[[#This Row],[CLAS_VN_HOOFDNAAM]]),"ONWAAR","WAAR")</f>
        <v>ONWAAR</v>
      </c>
      <c r="D74" s="15" t="str">
        <f>IF(ISBLANK(D[[#This Row],[KV_GRONDSOORT]]),"ONWAAR","WAAR")</f>
        <v>ONWAAR</v>
      </c>
      <c r="E74" s="15" t="str">
        <f>IF(ISBLANK(D[[#This Row],[CPT_QNET]]),"ONWAAR","WAAR")</f>
        <v>ONWAAR</v>
      </c>
      <c r="F74" s="15" t="str">
        <f>IF(ISBLANK(D[[#This Row],[CRS_GRONDSOORT]]),"ONWAAR","WAAR")</f>
        <v>ONWAAR</v>
      </c>
      <c r="G74" s="15" t="str">
        <f>IF(ISBLANK(D[[#This Row],[SD_GRONDSOORT]]),"ONWAAR","WAAR")</f>
        <v>ONWAAR</v>
      </c>
      <c r="H74" s="15" t="str">
        <f>IF(ISBLANK(D[[#This Row],[DSS_GRONDSOORT]]),"ONWAAR","WAAR")</f>
        <v>ONWAAR</v>
      </c>
      <c r="I74" s="15" t="str">
        <f>IF(ISBLANK(D[[#This Row],[TXT_SS_GRONDSOORT]]),"ONWAAR","WAAR")</f>
        <v>ONWAAR</v>
      </c>
      <c r="J74" s="13" t="s">
        <v>1673</v>
      </c>
      <c r="L74" s="13" t="s">
        <v>1418</v>
      </c>
      <c r="M74" s="13" t="s">
        <v>1419</v>
      </c>
      <c r="P74" s="13" t="s">
        <v>1420</v>
      </c>
      <c r="V74" s="41">
        <v>135066.5</v>
      </c>
      <c r="W74" s="41">
        <v>415594.41</v>
      </c>
      <c r="X74" s="41">
        <v>6.34</v>
      </c>
      <c r="Y74" s="13" t="s">
        <v>1650</v>
      </c>
      <c r="Z74" s="13" t="s">
        <v>1422</v>
      </c>
      <c r="AA74" s="39">
        <v>45170</v>
      </c>
      <c r="AB74" s="13" t="s">
        <v>1651</v>
      </c>
      <c r="AC74" s="13" t="s">
        <v>1652</v>
      </c>
      <c r="AD74" s="13" t="s">
        <v>1425</v>
      </c>
      <c r="AE74" s="13" t="s">
        <v>1476</v>
      </c>
      <c r="AF74" s="13" t="s">
        <v>1427</v>
      </c>
      <c r="AG74" s="41">
        <v>-0.56000000000000005</v>
      </c>
      <c r="AI74" s="42">
        <v>8</v>
      </c>
      <c r="AJ74" s="13" t="s">
        <v>1428</v>
      </c>
      <c r="AK74" s="13" t="s">
        <v>1429</v>
      </c>
      <c r="AL74" s="41">
        <v>-0.46</v>
      </c>
      <c r="AM74" s="41">
        <v>-0.86</v>
      </c>
      <c r="AN74" s="41">
        <v>6.8</v>
      </c>
      <c r="AO74" s="41">
        <v>7.2</v>
      </c>
      <c r="AQ74" s="13" t="s">
        <v>1653</v>
      </c>
      <c r="AR74" s="13" t="s">
        <v>1431</v>
      </c>
      <c r="AS74" s="13" t="s">
        <v>1673</v>
      </c>
      <c r="AT74" s="13" t="s">
        <v>1425</v>
      </c>
      <c r="AU74" s="13" t="s">
        <v>1432</v>
      </c>
      <c r="AV74" s="39">
        <v>45279</v>
      </c>
      <c r="AW74" s="13" t="s">
        <v>1674</v>
      </c>
      <c r="AY74" s="41">
        <v>-0.54</v>
      </c>
      <c r="AZ74" s="41">
        <v>18.3</v>
      </c>
      <c r="BA74" s="41">
        <v>13.6</v>
      </c>
      <c r="BB74" s="41">
        <v>34.799999999999997</v>
      </c>
      <c r="BP74" s="15"/>
      <c r="BQ74" s="15"/>
      <c r="BR74" s="15"/>
      <c r="BS74" s="15"/>
    </row>
    <row r="75" spans="1:425">
      <c r="A75" s="14">
        <v>66</v>
      </c>
      <c r="B75" s="15" t="str">
        <f>IF(ISBLANK(D[[#This Row],[CLAS_GRONDSOORT]]),"ONWAAR","WAAR")</f>
        <v>WAAR</v>
      </c>
      <c r="C75" s="15" t="str">
        <f>IF(ISBLANK(D[[#This Row],[CLAS_VN_HOOFDNAAM]]),"ONWAAR","WAAR")</f>
        <v>ONWAAR</v>
      </c>
      <c r="D75" s="15" t="str">
        <f>IF(ISBLANK(D[[#This Row],[KV_GRONDSOORT]]),"ONWAAR","WAAR")</f>
        <v>ONWAAR</v>
      </c>
      <c r="E75" s="15" t="str">
        <f>IF(ISBLANK(D[[#This Row],[CPT_QNET]]),"ONWAAR","WAAR")</f>
        <v>ONWAAR</v>
      </c>
      <c r="F75" s="15" t="str">
        <f>IF(ISBLANK(D[[#This Row],[CRS_GRONDSOORT]]),"ONWAAR","WAAR")</f>
        <v>WAAR</v>
      </c>
      <c r="G75" s="15" t="str">
        <f>IF(ISBLANK(D[[#This Row],[SD_GRONDSOORT]]),"ONWAAR","WAAR")</f>
        <v>ONWAAR</v>
      </c>
      <c r="H75" s="15" t="str">
        <f>IF(ISBLANK(D[[#This Row],[DSS_GRONDSOORT]]),"ONWAAR","WAAR")</f>
        <v>ONWAAR</v>
      </c>
      <c r="I75" s="15" t="str">
        <f>IF(ISBLANK(D[[#This Row],[TXT_SS_GRONDSOORT]]),"ONWAAR","WAAR")</f>
        <v>WAAR</v>
      </c>
      <c r="J75" s="13" t="s">
        <v>1675</v>
      </c>
      <c r="L75" s="13" t="s">
        <v>1418</v>
      </c>
      <c r="M75" s="13" t="s">
        <v>1419</v>
      </c>
      <c r="P75" s="13" t="s">
        <v>1420</v>
      </c>
      <c r="V75" s="41">
        <v>135066.5</v>
      </c>
      <c r="W75" s="41">
        <v>415594.41</v>
      </c>
      <c r="X75" s="41">
        <v>6.34</v>
      </c>
      <c r="Y75" s="13" t="s">
        <v>1650</v>
      </c>
      <c r="Z75" s="13" t="s">
        <v>1422</v>
      </c>
      <c r="AA75" s="39">
        <v>45170</v>
      </c>
      <c r="AB75" s="13" t="s">
        <v>1651</v>
      </c>
      <c r="AC75" s="13" t="s">
        <v>1652</v>
      </c>
      <c r="AD75" s="13" t="s">
        <v>1425</v>
      </c>
      <c r="AE75" s="13" t="s">
        <v>1476</v>
      </c>
      <c r="AF75" s="13" t="s">
        <v>1427</v>
      </c>
      <c r="AG75" s="41">
        <v>-0.56000000000000005</v>
      </c>
      <c r="AI75" s="42">
        <v>9</v>
      </c>
      <c r="AJ75" s="13" t="s">
        <v>1428</v>
      </c>
      <c r="AK75" s="13" t="s">
        <v>1429</v>
      </c>
      <c r="AL75" s="41">
        <v>-0.96</v>
      </c>
      <c r="AM75" s="41">
        <v>-1.36</v>
      </c>
      <c r="AN75" s="41">
        <v>7.3</v>
      </c>
      <c r="AO75" s="41">
        <v>7.7</v>
      </c>
      <c r="AQ75" s="13" t="s">
        <v>1653</v>
      </c>
      <c r="AR75" s="13" t="s">
        <v>1431</v>
      </c>
      <c r="AS75" s="13" t="s">
        <v>1675</v>
      </c>
      <c r="AT75" s="13" t="s">
        <v>1425</v>
      </c>
      <c r="AU75" s="13" t="s">
        <v>1432</v>
      </c>
      <c r="AV75" s="39">
        <v>45279</v>
      </c>
      <c r="AW75" s="13" t="s">
        <v>1676</v>
      </c>
      <c r="AY75" s="41">
        <v>-1.1100000000000001</v>
      </c>
      <c r="AZ75" s="41">
        <v>15.6</v>
      </c>
      <c r="BA75" s="41">
        <v>9.1999999999999993</v>
      </c>
      <c r="BB75" s="41">
        <v>70</v>
      </c>
      <c r="BP75" s="15"/>
      <c r="BQ75" s="15"/>
      <c r="BR75" s="15"/>
      <c r="BS75" s="15"/>
      <c r="EA75" s="13" t="s">
        <v>1677</v>
      </c>
      <c r="EB75" s="13" t="s">
        <v>1678</v>
      </c>
      <c r="EC75" s="13" t="s">
        <v>1679</v>
      </c>
      <c r="ED75" s="13" t="s">
        <v>1454</v>
      </c>
      <c r="EE75" s="13" t="s">
        <v>1455</v>
      </c>
      <c r="EF75" s="39">
        <v>45197</v>
      </c>
      <c r="EG75" s="13" t="s">
        <v>1456</v>
      </c>
      <c r="EI75" s="41">
        <v>-1.01</v>
      </c>
      <c r="EJ75" s="41">
        <v>109.9</v>
      </c>
      <c r="EK75" s="41">
        <v>14.99</v>
      </c>
      <c r="EL75" s="41">
        <v>8.9</v>
      </c>
      <c r="EM75" s="41">
        <v>68.56</v>
      </c>
      <c r="EN75" s="41">
        <v>52.45</v>
      </c>
      <c r="EO75" s="41">
        <v>96.28</v>
      </c>
      <c r="EP75" s="13">
        <v>21.7</v>
      </c>
      <c r="EQ75" s="13">
        <v>19.8</v>
      </c>
      <c r="ER75" s="13">
        <v>50.03</v>
      </c>
      <c r="ES75" s="41">
        <v>18.89</v>
      </c>
      <c r="ET75" s="41">
        <v>18.87</v>
      </c>
      <c r="EU75" s="41">
        <v>13.75</v>
      </c>
      <c r="EV75" s="13">
        <v>0.5</v>
      </c>
      <c r="EW75" s="44">
        <v>-0.2</v>
      </c>
      <c r="EX75" s="13">
        <v>16</v>
      </c>
      <c r="EY75" s="41">
        <v>628.29999999999995</v>
      </c>
      <c r="EZ75" s="41">
        <v>519.70000000000005</v>
      </c>
      <c r="FA75" s="41">
        <v>400.3</v>
      </c>
      <c r="FB75" s="41">
        <v>240.8</v>
      </c>
      <c r="FC75" s="41">
        <v>1061</v>
      </c>
      <c r="FD75" s="41">
        <v>8.35</v>
      </c>
      <c r="FE75" s="41">
        <v>196.9</v>
      </c>
      <c r="FF75" s="41">
        <v>6.51</v>
      </c>
      <c r="FG75" s="41">
        <v>644</v>
      </c>
      <c r="FH75" s="45">
        <v>1.15E-2</v>
      </c>
      <c r="FI75" s="45">
        <v>0.15</v>
      </c>
      <c r="FJ75" s="45">
        <v>6.7000000000000002E-3</v>
      </c>
      <c r="NH75" s="13" t="s">
        <v>1680</v>
      </c>
      <c r="NI75" s="13" t="s">
        <v>1681</v>
      </c>
      <c r="NJ75" s="13" t="s">
        <v>1682</v>
      </c>
      <c r="NK75" s="13" t="s">
        <v>1454</v>
      </c>
      <c r="NL75" s="13" t="s">
        <v>1461</v>
      </c>
      <c r="NM75" s="39">
        <v>45205</v>
      </c>
      <c r="NN75" s="13" t="s">
        <v>1456</v>
      </c>
      <c r="NP75" s="41">
        <v>-1.1100000000000001</v>
      </c>
      <c r="NQ75" s="41">
        <v>109.9</v>
      </c>
      <c r="NR75" s="41">
        <v>15.64</v>
      </c>
      <c r="NS75" s="41">
        <v>9.1999999999999993</v>
      </c>
      <c r="NT75" s="41">
        <v>65.75</v>
      </c>
      <c r="NU75" s="41">
        <v>69.989999999999995</v>
      </c>
      <c r="NV75" s="41">
        <v>104.76</v>
      </c>
      <c r="NW75" s="41">
        <v>1.68</v>
      </c>
      <c r="NX75" s="44">
        <v>2511</v>
      </c>
      <c r="NY75" s="44">
        <v>21.3</v>
      </c>
      <c r="NZ75" s="44">
        <v>21.3</v>
      </c>
      <c r="OA75" s="44">
        <v>50</v>
      </c>
      <c r="OB75" s="44">
        <v>100</v>
      </c>
      <c r="OC75" s="41" t="s">
        <v>1463</v>
      </c>
      <c r="OD75" s="41" t="s">
        <v>1464</v>
      </c>
      <c r="OE75" s="41" t="s">
        <v>1465</v>
      </c>
      <c r="OF75" s="43">
        <v>299</v>
      </c>
      <c r="OG75" s="41" t="s">
        <v>1466</v>
      </c>
      <c r="OH75" s="41">
        <v>0.65</v>
      </c>
      <c r="OI75" s="41" t="s">
        <v>1467</v>
      </c>
      <c r="OJ75" s="41">
        <v>70.75</v>
      </c>
      <c r="OK75" s="41">
        <v>0.75</v>
      </c>
      <c r="OL75" s="41">
        <v>87.99</v>
      </c>
      <c r="OM75" s="41">
        <v>19.21</v>
      </c>
      <c r="ON75" s="41">
        <v>87.99</v>
      </c>
      <c r="OO75" s="41">
        <v>19.21</v>
      </c>
      <c r="OP75" s="43">
        <v>1</v>
      </c>
      <c r="OQ75" s="41">
        <v>4.6100000000000003</v>
      </c>
      <c r="OR75" s="41">
        <v>10.07</v>
      </c>
      <c r="OS75" s="41" t="s">
        <v>1468</v>
      </c>
      <c r="OT75" s="41">
        <v>0.69</v>
      </c>
      <c r="OU75" s="41">
        <v>80.989999999999995</v>
      </c>
      <c r="OV75" s="41">
        <v>38.21</v>
      </c>
      <c r="OW75" s="41">
        <v>79.89</v>
      </c>
      <c r="OX75" s="41">
        <v>45.5</v>
      </c>
      <c r="OY75" s="41">
        <v>79.349999999999994</v>
      </c>
      <c r="OZ75" s="41">
        <v>44.17</v>
      </c>
      <c r="PA75" s="41">
        <v>83.13</v>
      </c>
      <c r="PB75" s="41">
        <v>50.15</v>
      </c>
      <c r="PC75" s="41">
        <v>10.51</v>
      </c>
      <c r="PD75" s="41">
        <v>68.540000000000006</v>
      </c>
      <c r="PE75" s="41">
        <v>32.06</v>
      </c>
      <c r="PF75" s="43">
        <v>25</v>
      </c>
      <c r="PG75" s="41">
        <v>2.72</v>
      </c>
      <c r="PH75" s="41">
        <v>1.1399999999999999</v>
      </c>
      <c r="PI75" s="41">
        <v>0.36</v>
      </c>
    </row>
    <row r="76" spans="1:425">
      <c r="A76" s="14">
        <v>67</v>
      </c>
      <c r="B76" s="15" t="str">
        <f>IF(ISBLANK(D[[#This Row],[CLAS_GRONDSOORT]]),"ONWAAR","WAAR")</f>
        <v>WAAR</v>
      </c>
      <c r="C76" s="15" t="str">
        <f>IF(ISBLANK(D[[#This Row],[CLAS_VN_HOOFDNAAM]]),"ONWAAR","WAAR")</f>
        <v>ONWAAR</v>
      </c>
      <c r="D76" s="15" t="str">
        <f>IF(ISBLANK(D[[#This Row],[KV_GRONDSOORT]]),"ONWAAR","WAAR")</f>
        <v>ONWAAR</v>
      </c>
      <c r="E76" s="15" t="str">
        <f>IF(ISBLANK(D[[#This Row],[CPT_QNET]]),"ONWAAR","WAAR")</f>
        <v>ONWAAR</v>
      </c>
      <c r="F76" s="15" t="str">
        <f>IF(ISBLANK(D[[#This Row],[CRS_GRONDSOORT]]),"ONWAAR","WAAR")</f>
        <v>ONWAAR</v>
      </c>
      <c r="G76" s="15" t="str">
        <f>IF(ISBLANK(D[[#This Row],[SD_GRONDSOORT]]),"ONWAAR","WAAR")</f>
        <v>ONWAAR</v>
      </c>
      <c r="H76" s="15" t="str">
        <f>IF(ISBLANK(D[[#This Row],[DSS_GRONDSOORT]]),"ONWAAR","WAAR")</f>
        <v>ONWAAR</v>
      </c>
      <c r="I76" s="15" t="str">
        <f>IF(ISBLANK(D[[#This Row],[TXT_SS_GRONDSOORT]]),"ONWAAR","WAAR")</f>
        <v>ONWAAR</v>
      </c>
      <c r="J76" s="13" t="s">
        <v>1683</v>
      </c>
      <c r="L76" s="13" t="s">
        <v>1418</v>
      </c>
      <c r="M76" s="13" t="s">
        <v>1419</v>
      </c>
      <c r="P76" s="13" t="s">
        <v>1420</v>
      </c>
      <c r="V76" s="41">
        <v>135066.5</v>
      </c>
      <c r="W76" s="41">
        <v>415594.41</v>
      </c>
      <c r="X76" s="41">
        <v>6.34</v>
      </c>
      <c r="Y76" s="13" t="s">
        <v>1650</v>
      </c>
      <c r="Z76" s="13" t="s">
        <v>1422</v>
      </c>
      <c r="AA76" s="39">
        <v>45170</v>
      </c>
      <c r="AB76" s="13" t="s">
        <v>1651</v>
      </c>
      <c r="AC76" s="13" t="s">
        <v>1652</v>
      </c>
      <c r="AD76" s="13" t="s">
        <v>1425</v>
      </c>
      <c r="AE76" s="13" t="s">
        <v>1476</v>
      </c>
      <c r="AF76" s="13" t="s">
        <v>1427</v>
      </c>
      <c r="AG76" s="41">
        <v>-0.56000000000000005</v>
      </c>
      <c r="AI76" s="42" t="s">
        <v>1585</v>
      </c>
      <c r="AJ76" s="13" t="s">
        <v>1428</v>
      </c>
      <c r="AK76" s="13" t="s">
        <v>1429</v>
      </c>
      <c r="AL76" s="41">
        <v>-1.46</v>
      </c>
      <c r="AM76" s="41">
        <v>-1.61</v>
      </c>
      <c r="AN76" s="41">
        <v>7.8</v>
      </c>
      <c r="AO76" s="41">
        <v>7.95</v>
      </c>
      <c r="AQ76" s="13" t="s">
        <v>1653</v>
      </c>
      <c r="AR76" s="13" t="s">
        <v>1431</v>
      </c>
      <c r="AS76" s="13" t="s">
        <v>1683</v>
      </c>
      <c r="AT76" s="13" t="s">
        <v>1425</v>
      </c>
      <c r="AU76" s="13" t="s">
        <v>1432</v>
      </c>
      <c r="AV76" s="39">
        <v>45279</v>
      </c>
      <c r="AW76" s="13" t="s">
        <v>1684</v>
      </c>
      <c r="AY76" s="41">
        <v>-1.51</v>
      </c>
      <c r="AZ76" s="41">
        <v>18.7</v>
      </c>
      <c r="BA76" s="41">
        <v>15</v>
      </c>
      <c r="BB76" s="41">
        <v>25</v>
      </c>
      <c r="BP76" s="15"/>
      <c r="BQ76" s="15"/>
      <c r="BR76" s="15"/>
      <c r="BS76" s="15"/>
    </row>
    <row r="77" spans="1:425">
      <c r="A77" s="14"/>
      <c r="B77" s="15" t="str">
        <f>IF(ISBLANK(D[[#This Row],[CLAS_GRONDSOORT]]),"ONWAAR","WAAR")</f>
        <v>ONWAAR</v>
      </c>
      <c r="C77" s="15" t="str">
        <f>IF(ISBLANK(D[[#This Row],[CLAS_VN_HOOFDNAAM]]),"ONWAAR","WAAR")</f>
        <v>ONWAAR</v>
      </c>
      <c r="D77" s="15" t="str">
        <f>IF(ISBLANK(D[[#This Row],[KV_GRONDSOORT]]),"ONWAAR","WAAR")</f>
        <v>WAAR</v>
      </c>
      <c r="E77" s="15" t="str">
        <f>IF(ISBLANK(D[[#This Row],[CPT_QNET]]),"ONWAAR","WAAR")</f>
        <v>ONWAAR</v>
      </c>
      <c r="F77" s="15" t="str">
        <f>IF(ISBLANK(D[[#This Row],[CRS_GRONDSOORT]]),"ONWAAR","WAAR")</f>
        <v>ONWAAR</v>
      </c>
      <c r="G77" s="15" t="str">
        <f>IF(ISBLANK(D[[#This Row],[SD_GRONDSOORT]]),"ONWAAR","WAAR")</f>
        <v>ONWAAR</v>
      </c>
      <c r="H77" s="15" t="str">
        <f>IF(ISBLANK(D[[#This Row],[DSS_GRONDSOORT]]),"ONWAAR","WAAR")</f>
        <v>ONWAAR</v>
      </c>
      <c r="I77" s="15" t="str">
        <f>IF(ISBLANK(D[[#This Row],[TXT_SS_GRONDSOORT]]),"ONWAAR","WAAR")</f>
        <v>ONWAAR</v>
      </c>
      <c r="J77" s="13" t="s">
        <v>1685</v>
      </c>
      <c r="L77" s="13" t="s">
        <v>1418</v>
      </c>
      <c r="M77" s="13" t="s">
        <v>1419</v>
      </c>
      <c r="P77" s="13" t="s">
        <v>1420</v>
      </c>
      <c r="V77" s="41">
        <v>135066.5</v>
      </c>
      <c r="W77" s="41">
        <v>415594.41</v>
      </c>
      <c r="X77" s="41">
        <v>6.34</v>
      </c>
      <c r="Y77" s="13" t="s">
        <v>1650</v>
      </c>
      <c r="Z77" s="13" t="s">
        <v>1422</v>
      </c>
      <c r="AA77" s="39">
        <v>45170</v>
      </c>
      <c r="AB77" s="13" t="s">
        <v>1651</v>
      </c>
      <c r="AC77" s="13" t="s">
        <v>1652</v>
      </c>
      <c r="AD77" s="13" t="s">
        <v>1425</v>
      </c>
      <c r="AE77" s="13" t="s">
        <v>1476</v>
      </c>
      <c r="AF77" s="13" t="s">
        <v>1427</v>
      </c>
      <c r="AG77" s="41">
        <v>-0.56000000000000005</v>
      </c>
      <c r="AH77" s="41"/>
      <c r="AI77" s="42" t="s">
        <v>1590</v>
      </c>
      <c r="AJ77" s="13" t="s">
        <v>1428</v>
      </c>
      <c r="AK77" s="13" t="s">
        <v>1429</v>
      </c>
      <c r="AL77" s="41">
        <v>-1.61</v>
      </c>
      <c r="AM77" s="41">
        <v>-1.86</v>
      </c>
      <c r="AN77" s="41">
        <v>7.95</v>
      </c>
      <c r="AO77" s="41">
        <v>8.1999999999999993</v>
      </c>
      <c r="AP77" s="41"/>
      <c r="BP77" s="15"/>
      <c r="BQ77" s="15"/>
      <c r="BR77" s="15"/>
      <c r="BS77" s="15"/>
      <c r="CE77" s="13" t="s">
        <v>1686</v>
      </c>
      <c r="CF77" s="13" t="s">
        <v>1687</v>
      </c>
      <c r="CG77" s="13" t="s">
        <v>1685</v>
      </c>
      <c r="CH77" s="13" t="s">
        <v>1425</v>
      </c>
      <c r="CI77" s="13" t="s">
        <v>1524</v>
      </c>
      <c r="CJ77" s="39">
        <v>45212</v>
      </c>
      <c r="CK77" s="13" t="s">
        <v>1533</v>
      </c>
      <c r="CM77" s="13">
        <v>232</v>
      </c>
      <c r="CN77" s="13">
        <v>213</v>
      </c>
      <c r="CO77" s="41">
        <v>0.01</v>
      </c>
      <c r="CP77" s="41">
        <v>87.24</v>
      </c>
      <c r="CQ77" s="41">
        <v>10.76</v>
      </c>
      <c r="CR77" s="41">
        <v>100</v>
      </c>
      <c r="CS77" s="41">
        <v>100</v>
      </c>
      <c r="CT77" s="41">
        <v>100</v>
      </c>
      <c r="CU77" s="41">
        <v>100</v>
      </c>
      <c r="CV77" s="41">
        <v>100</v>
      </c>
      <c r="CW77" s="41">
        <v>99.99</v>
      </c>
      <c r="CX77" s="41">
        <v>99.39</v>
      </c>
      <c r="CY77" s="41">
        <v>95.32</v>
      </c>
      <c r="CZ77" s="41">
        <v>62.45</v>
      </c>
      <c r="DA77" s="41">
        <v>38.94</v>
      </c>
      <c r="DB77" s="41">
        <v>20.74</v>
      </c>
      <c r="DC77" s="41">
        <v>12.76</v>
      </c>
      <c r="DD77" s="41">
        <v>3.6</v>
      </c>
      <c r="DE77" s="41">
        <v>2.99</v>
      </c>
      <c r="DF77" s="41">
        <v>2.7</v>
      </c>
      <c r="DG77" s="41">
        <v>2</v>
      </c>
      <c r="DH77" s="13">
        <v>296</v>
      </c>
      <c r="DI77" s="13">
        <v>261</v>
      </c>
      <c r="DJ77" s="13">
        <v>232</v>
      </c>
      <c r="DK77" s="13">
        <v>127</v>
      </c>
      <c r="DL77" s="13">
        <v>2.0499999999999998</v>
      </c>
    </row>
    <row r="78" spans="1:425">
      <c r="A78" s="14">
        <v>68</v>
      </c>
      <c r="B78" s="15" t="str">
        <f>IF(ISBLANK(D[[#This Row],[CLAS_GRONDSOORT]]),"ONWAAR","WAAR")</f>
        <v>WAAR</v>
      </c>
      <c r="C78" s="15" t="str">
        <f>IF(ISBLANK(D[[#This Row],[CLAS_VN_HOOFDNAAM]]),"ONWAAR","WAAR")</f>
        <v>ONWAAR</v>
      </c>
      <c r="D78" s="15" t="str">
        <f>IF(ISBLANK(D[[#This Row],[KV_GRONDSOORT]]),"ONWAAR","WAAR")</f>
        <v>ONWAAR</v>
      </c>
      <c r="E78" s="15" t="str">
        <f>IF(ISBLANK(D[[#This Row],[CPT_QNET]]),"ONWAAR","WAAR")</f>
        <v>ONWAAR</v>
      </c>
      <c r="F78" s="15" t="str">
        <f>IF(ISBLANK(D[[#This Row],[CRS_GRONDSOORT]]),"ONWAAR","WAAR")</f>
        <v>ONWAAR</v>
      </c>
      <c r="G78" s="15" t="str">
        <f>IF(ISBLANK(D[[#This Row],[SD_GRONDSOORT]]),"ONWAAR","WAAR")</f>
        <v>ONWAAR</v>
      </c>
      <c r="H78" s="15" t="str">
        <f>IF(ISBLANK(D[[#This Row],[DSS_GRONDSOORT]]),"ONWAAR","WAAR")</f>
        <v>ONWAAR</v>
      </c>
      <c r="I78" s="15" t="str">
        <f>IF(ISBLANK(D[[#This Row],[TXT_SS_GRONDSOORT]]),"ONWAAR","WAAR")</f>
        <v>ONWAAR</v>
      </c>
      <c r="J78" s="13" t="s">
        <v>1688</v>
      </c>
      <c r="L78" s="13" t="s">
        <v>1418</v>
      </c>
      <c r="M78" s="13" t="s">
        <v>1419</v>
      </c>
      <c r="P78" s="13" t="s">
        <v>1420</v>
      </c>
      <c r="V78" s="41">
        <v>134732.76999999999</v>
      </c>
      <c r="W78" s="41">
        <v>415382.57</v>
      </c>
      <c r="X78" s="41">
        <v>6.02</v>
      </c>
      <c r="Y78" s="13" t="s">
        <v>1689</v>
      </c>
      <c r="Z78" s="13" t="s">
        <v>1422</v>
      </c>
      <c r="AA78" s="39">
        <v>45174</v>
      </c>
      <c r="AB78" s="13" t="s">
        <v>1690</v>
      </c>
      <c r="AC78" s="13" t="s">
        <v>1691</v>
      </c>
      <c r="AD78" s="13" t="s">
        <v>1425</v>
      </c>
      <c r="AE78" s="13" t="s">
        <v>1692</v>
      </c>
      <c r="AF78" s="13" t="s">
        <v>1427</v>
      </c>
      <c r="AG78" s="41">
        <v>-0.28000000000000003</v>
      </c>
      <c r="AI78" s="42">
        <v>1</v>
      </c>
      <c r="AJ78" s="13" t="s">
        <v>1428</v>
      </c>
      <c r="AK78" s="13" t="s">
        <v>1429</v>
      </c>
      <c r="AL78" s="41">
        <v>5.0199999999999996</v>
      </c>
      <c r="AM78" s="41">
        <v>4.79</v>
      </c>
      <c r="AN78" s="41">
        <v>1</v>
      </c>
      <c r="AO78" s="41">
        <v>1.23</v>
      </c>
      <c r="AP78" s="13">
        <v>11.8</v>
      </c>
      <c r="AQ78" s="13" t="s">
        <v>1693</v>
      </c>
      <c r="AR78" s="13" t="s">
        <v>1431</v>
      </c>
      <c r="AS78" s="13" t="s">
        <v>1688</v>
      </c>
      <c r="AT78" s="13" t="s">
        <v>1425</v>
      </c>
      <c r="AU78" s="13" t="s">
        <v>1432</v>
      </c>
      <c r="AV78" s="39">
        <v>45279</v>
      </c>
      <c r="AW78" s="13" t="s">
        <v>1694</v>
      </c>
      <c r="AY78" s="41">
        <v>4.8899999999999997</v>
      </c>
      <c r="AZ78" s="41">
        <v>16.7</v>
      </c>
      <c r="BA78" s="41">
        <v>11.7</v>
      </c>
      <c r="BB78" s="41">
        <v>43.2</v>
      </c>
      <c r="BP78" s="15"/>
      <c r="BQ78" s="15"/>
      <c r="BR78" s="15"/>
      <c r="BS78" s="15"/>
    </row>
    <row r="79" spans="1:425">
      <c r="A79" s="14">
        <v>69</v>
      </c>
      <c r="B79" s="15" t="str">
        <f>IF(ISBLANK(D[[#This Row],[CLAS_GRONDSOORT]]),"ONWAAR","WAAR")</f>
        <v>WAAR</v>
      </c>
      <c r="C79" s="15" t="str">
        <f>IF(ISBLANK(D[[#This Row],[CLAS_VN_HOOFDNAAM]]),"ONWAAR","WAAR")</f>
        <v>ONWAAR</v>
      </c>
      <c r="D79" s="15" t="str">
        <f>IF(ISBLANK(D[[#This Row],[KV_GRONDSOORT]]),"ONWAAR","WAAR")</f>
        <v>ONWAAR</v>
      </c>
      <c r="E79" s="15" t="str">
        <f>IF(ISBLANK(D[[#This Row],[CPT_QNET]]),"ONWAAR","WAAR")</f>
        <v>ONWAAR</v>
      </c>
      <c r="F79" s="15" t="str">
        <f>IF(ISBLANK(D[[#This Row],[CRS_GRONDSOORT]]),"ONWAAR","WAAR")</f>
        <v>ONWAAR</v>
      </c>
      <c r="G79" s="15" t="str">
        <f>IF(ISBLANK(D[[#This Row],[SD_GRONDSOORT]]),"ONWAAR","WAAR")</f>
        <v>ONWAAR</v>
      </c>
      <c r="H79" s="15" t="str">
        <f>IF(ISBLANK(D[[#This Row],[DSS_GRONDSOORT]]),"ONWAAR","WAAR")</f>
        <v>WAAR</v>
      </c>
      <c r="I79" s="15" t="str">
        <f>IF(ISBLANK(D[[#This Row],[TXT_SS_GRONDSOORT]]),"ONWAAR","WAAR")</f>
        <v>ONWAAR</v>
      </c>
      <c r="J79" s="13" t="s">
        <v>1695</v>
      </c>
      <c r="L79" s="13" t="s">
        <v>1418</v>
      </c>
      <c r="M79" s="13" t="s">
        <v>1419</v>
      </c>
      <c r="P79" s="13" t="s">
        <v>1420</v>
      </c>
      <c r="V79" s="41">
        <v>134732.76999999999</v>
      </c>
      <c r="W79" s="41">
        <v>415382.57</v>
      </c>
      <c r="X79" s="41">
        <v>6.02</v>
      </c>
      <c r="Y79" s="13" t="s">
        <v>1689</v>
      </c>
      <c r="Z79" s="13" t="s">
        <v>1422</v>
      </c>
      <c r="AA79" s="39">
        <v>45174</v>
      </c>
      <c r="AB79" s="13" t="s">
        <v>1690</v>
      </c>
      <c r="AC79" s="13" t="s">
        <v>1691</v>
      </c>
      <c r="AD79" s="13" t="s">
        <v>1425</v>
      </c>
      <c r="AE79" s="13" t="s">
        <v>1692</v>
      </c>
      <c r="AF79" s="13" t="s">
        <v>1427</v>
      </c>
      <c r="AG79" s="41">
        <v>-0.28000000000000003</v>
      </c>
      <c r="AI79" s="42" t="s">
        <v>1480</v>
      </c>
      <c r="AJ79" s="13" t="s">
        <v>1428</v>
      </c>
      <c r="AK79" s="13" t="s">
        <v>1429</v>
      </c>
      <c r="AL79" s="41">
        <v>4.0199999999999996</v>
      </c>
      <c r="AM79" s="41">
        <v>3.87</v>
      </c>
      <c r="AN79" s="41">
        <v>2</v>
      </c>
      <c r="AO79" s="41">
        <v>2.15</v>
      </c>
      <c r="AP79" s="13">
        <v>15.2</v>
      </c>
      <c r="AQ79" s="13" t="s">
        <v>1693</v>
      </c>
      <c r="AR79" s="13" t="s">
        <v>1431</v>
      </c>
      <c r="AS79" s="13" t="s">
        <v>1695</v>
      </c>
      <c r="AT79" s="13" t="s">
        <v>1425</v>
      </c>
      <c r="AU79" s="13" t="s">
        <v>1432</v>
      </c>
      <c r="AV79" s="39">
        <v>45279</v>
      </c>
      <c r="AW79" s="13" t="s">
        <v>1696</v>
      </c>
      <c r="AY79" s="41">
        <v>3.92</v>
      </c>
      <c r="AZ79" s="41">
        <v>17.899999999999999</v>
      </c>
      <c r="BA79" s="41">
        <v>12.9</v>
      </c>
      <c r="BB79" s="41">
        <v>38.200000000000003</v>
      </c>
      <c r="BP79" s="15"/>
      <c r="BQ79" s="15"/>
      <c r="BR79" s="15"/>
      <c r="BS79" s="15"/>
      <c r="LG79" s="13" t="s">
        <v>1697</v>
      </c>
      <c r="LH79" s="13" t="s">
        <v>1698</v>
      </c>
      <c r="LI79" s="13" t="s">
        <v>1695</v>
      </c>
      <c r="LJ79" s="13" t="s">
        <v>1576</v>
      </c>
      <c r="LK79" s="13" t="s">
        <v>1577</v>
      </c>
      <c r="LL79" s="39">
        <v>45211</v>
      </c>
      <c r="LM79" s="13" t="s">
        <v>1572</v>
      </c>
      <c r="LN79" s="13" t="s">
        <v>1573</v>
      </c>
      <c r="LO79" s="41">
        <v>3.77</v>
      </c>
      <c r="LP79" s="41">
        <v>39.9</v>
      </c>
      <c r="LQ79" s="41">
        <v>11.78</v>
      </c>
      <c r="LR79" s="41">
        <v>6.14</v>
      </c>
      <c r="LS79" s="41">
        <v>91.97</v>
      </c>
      <c r="LT79" s="41">
        <v>169.9</v>
      </c>
      <c r="LU79" s="41">
        <v>0.80710000000000004</v>
      </c>
      <c r="LV79" s="41">
        <v>2.484</v>
      </c>
      <c r="LW79" s="41">
        <v>2.1339999999999999</v>
      </c>
      <c r="LX79" s="44">
        <v>2179.6999999999998</v>
      </c>
      <c r="LY79" s="44">
        <v>21.7</v>
      </c>
      <c r="LZ79" s="44">
        <v>19.8</v>
      </c>
      <c r="MA79" s="41">
        <v>65.319999999999993</v>
      </c>
      <c r="MB79" s="41">
        <v>27.93</v>
      </c>
      <c r="MC79" s="41">
        <v>25.13</v>
      </c>
      <c r="MD79" s="41" t="s">
        <v>1578</v>
      </c>
      <c r="ME79" s="41" t="s">
        <v>1579</v>
      </c>
      <c r="MF79" s="41">
        <v>39.9</v>
      </c>
      <c r="MG79" s="41">
        <v>39.9</v>
      </c>
      <c r="MH79" s="43">
        <v>1</v>
      </c>
      <c r="MI79" s="41">
        <v>10.029999999999999</v>
      </c>
      <c r="MJ79" s="43">
        <v>1</v>
      </c>
      <c r="MK79" s="41">
        <v>22.3</v>
      </c>
      <c r="ML79" s="41">
        <v>4.5190000000000001</v>
      </c>
      <c r="MM79" s="41">
        <v>1.1359999999999999</v>
      </c>
      <c r="MN79" s="41">
        <v>37.24</v>
      </c>
      <c r="MO79" s="41">
        <v>12.87</v>
      </c>
      <c r="MP79" s="41">
        <v>33.96</v>
      </c>
      <c r="MQ79" s="41">
        <v>17.77</v>
      </c>
      <c r="MR79" s="41">
        <v>28.44</v>
      </c>
      <c r="MS79" s="41">
        <v>19.04</v>
      </c>
      <c r="MT79" s="41">
        <v>26.29</v>
      </c>
      <c r="MU79" s="41">
        <v>19.23</v>
      </c>
      <c r="MV79" s="41">
        <v>26.98</v>
      </c>
      <c r="MW79" s="41">
        <v>20.67</v>
      </c>
      <c r="MX79" s="41">
        <v>27.72</v>
      </c>
      <c r="MY79" s="41">
        <v>22.32</v>
      </c>
      <c r="MZ79" s="41">
        <v>24.23</v>
      </c>
      <c r="NA79" s="41">
        <v>29.72</v>
      </c>
      <c r="NB79" s="41">
        <v>20.93</v>
      </c>
      <c r="NC79" s="41">
        <v>41.41</v>
      </c>
      <c r="NG79" s="41">
        <v>698</v>
      </c>
    </row>
    <row r="80" spans="1:425">
      <c r="A80" s="14">
        <v>70</v>
      </c>
      <c r="B80" s="15" t="str">
        <f>IF(ISBLANK(D[[#This Row],[CLAS_GRONDSOORT]]),"ONWAAR","WAAR")</f>
        <v>WAAR</v>
      </c>
      <c r="C80" s="15" t="str">
        <f>IF(ISBLANK(D[[#This Row],[CLAS_VN_HOOFDNAAM]]),"ONWAAR","WAAR")</f>
        <v>ONWAAR</v>
      </c>
      <c r="D80" s="15" t="str">
        <f>IF(ISBLANK(D[[#This Row],[KV_GRONDSOORT]]),"ONWAAR","WAAR")</f>
        <v>ONWAAR</v>
      </c>
      <c r="E80" s="15" t="str">
        <f>IF(ISBLANK(D[[#This Row],[CPT_QNET]]),"ONWAAR","WAAR")</f>
        <v>ONWAAR</v>
      </c>
      <c r="F80" s="15" t="str">
        <f>IF(ISBLANK(D[[#This Row],[CRS_GRONDSOORT]]),"ONWAAR","WAAR")</f>
        <v>ONWAAR</v>
      </c>
      <c r="G80" s="15" t="str">
        <f>IF(ISBLANK(D[[#This Row],[SD_GRONDSOORT]]),"ONWAAR","WAAR")</f>
        <v>ONWAAR</v>
      </c>
      <c r="H80" s="15" t="str">
        <f>IF(ISBLANK(D[[#This Row],[DSS_GRONDSOORT]]),"ONWAAR","WAAR")</f>
        <v>ONWAAR</v>
      </c>
      <c r="I80" s="15" t="str">
        <f>IF(ISBLANK(D[[#This Row],[TXT_SS_GRONDSOORT]]),"ONWAAR","WAAR")</f>
        <v>ONWAAR</v>
      </c>
      <c r="J80" s="13" t="s">
        <v>1699</v>
      </c>
      <c r="L80" s="13" t="s">
        <v>1418</v>
      </c>
      <c r="M80" s="13" t="s">
        <v>1419</v>
      </c>
      <c r="P80" s="13" t="s">
        <v>1420</v>
      </c>
      <c r="V80" s="41">
        <v>134732.76999999999</v>
      </c>
      <c r="W80" s="41">
        <v>415382.57</v>
      </c>
      <c r="X80" s="41">
        <v>6.02</v>
      </c>
      <c r="Y80" s="13" t="s">
        <v>1689</v>
      </c>
      <c r="Z80" s="13" t="s">
        <v>1422</v>
      </c>
      <c r="AA80" s="39">
        <v>45174</v>
      </c>
      <c r="AB80" s="13" t="s">
        <v>1690</v>
      </c>
      <c r="AC80" s="13" t="s">
        <v>1691</v>
      </c>
      <c r="AD80" s="13" t="s">
        <v>1425</v>
      </c>
      <c r="AE80" s="13" t="s">
        <v>1692</v>
      </c>
      <c r="AF80" s="13" t="s">
        <v>1427</v>
      </c>
      <c r="AG80" s="41">
        <v>-0.28000000000000003</v>
      </c>
      <c r="AI80" s="42" t="s">
        <v>1483</v>
      </c>
      <c r="AJ80" s="13" t="s">
        <v>1428</v>
      </c>
      <c r="AK80" s="13" t="s">
        <v>1429</v>
      </c>
      <c r="AL80" s="41">
        <v>3.87</v>
      </c>
      <c r="AM80" s="41">
        <v>3.62</v>
      </c>
      <c r="AN80" s="41">
        <v>2.15</v>
      </c>
      <c r="AO80" s="41">
        <v>2.4</v>
      </c>
      <c r="AQ80" s="13" t="s">
        <v>1693</v>
      </c>
      <c r="AR80" s="13" t="s">
        <v>1431</v>
      </c>
      <c r="AS80" s="13" t="s">
        <v>1699</v>
      </c>
      <c r="AT80" s="13" t="s">
        <v>1425</v>
      </c>
      <c r="AU80" s="13" t="s">
        <v>1432</v>
      </c>
      <c r="AV80" s="39">
        <v>45279</v>
      </c>
      <c r="AW80" s="13" t="s">
        <v>1700</v>
      </c>
      <c r="AY80" s="41">
        <v>3.77</v>
      </c>
      <c r="AZ80" s="41">
        <v>11.8</v>
      </c>
      <c r="BA80" s="41">
        <v>6.1</v>
      </c>
      <c r="BB80" s="41">
        <v>92</v>
      </c>
      <c r="BP80" s="15"/>
      <c r="BQ80" s="15"/>
      <c r="BR80" s="15"/>
      <c r="BS80" s="15"/>
    </row>
    <row r="81" spans="1:425">
      <c r="A81" s="14">
        <v>71</v>
      </c>
      <c r="B81" s="15" t="str">
        <f>IF(ISBLANK(D[[#This Row],[CLAS_GRONDSOORT]]),"ONWAAR","WAAR")</f>
        <v>WAAR</v>
      </c>
      <c r="C81" s="15" t="str">
        <f>IF(ISBLANK(D[[#This Row],[CLAS_VN_HOOFDNAAM]]),"ONWAAR","WAAR")</f>
        <v>ONWAAR</v>
      </c>
      <c r="D81" s="15" t="str">
        <f>IF(ISBLANK(D[[#This Row],[KV_GRONDSOORT]]),"ONWAAR","WAAR")</f>
        <v>ONWAAR</v>
      </c>
      <c r="E81" s="15" t="str">
        <f>IF(ISBLANK(D[[#This Row],[CPT_QNET]]),"ONWAAR","WAAR")</f>
        <v>ONWAAR</v>
      </c>
      <c r="F81" s="15" t="str">
        <f>IF(ISBLANK(D[[#This Row],[CRS_GRONDSOORT]]),"ONWAAR","WAAR")</f>
        <v>ONWAAR</v>
      </c>
      <c r="G81" s="15" t="str">
        <f>IF(ISBLANK(D[[#This Row],[SD_GRONDSOORT]]),"ONWAAR","WAAR")</f>
        <v>ONWAAR</v>
      </c>
      <c r="H81" s="15" t="str">
        <f>IF(ISBLANK(D[[#This Row],[DSS_GRONDSOORT]]),"ONWAAR","WAAR")</f>
        <v>WAAR</v>
      </c>
      <c r="I81" s="15" t="str">
        <f>IF(ISBLANK(D[[#This Row],[TXT_SS_GRONDSOORT]]),"ONWAAR","WAAR")</f>
        <v>ONWAAR</v>
      </c>
      <c r="J81" s="13" t="s">
        <v>1701</v>
      </c>
      <c r="L81" s="13" t="s">
        <v>1418</v>
      </c>
      <c r="M81" s="13" t="s">
        <v>1419</v>
      </c>
      <c r="P81" s="13" t="s">
        <v>1420</v>
      </c>
      <c r="V81" s="41">
        <v>134732.76999999999</v>
      </c>
      <c r="W81" s="41">
        <v>415382.57</v>
      </c>
      <c r="X81" s="41">
        <v>6.02</v>
      </c>
      <c r="Y81" s="13" t="s">
        <v>1689</v>
      </c>
      <c r="Z81" s="13" t="s">
        <v>1422</v>
      </c>
      <c r="AA81" s="39">
        <v>45174</v>
      </c>
      <c r="AB81" s="13" t="s">
        <v>1690</v>
      </c>
      <c r="AC81" s="13" t="s">
        <v>1691</v>
      </c>
      <c r="AD81" s="13" t="s">
        <v>1425</v>
      </c>
      <c r="AE81" s="13" t="s">
        <v>1692</v>
      </c>
      <c r="AF81" s="13" t="s">
        <v>1427</v>
      </c>
      <c r="AG81" s="41">
        <v>-0.28000000000000003</v>
      </c>
      <c r="AI81" s="42" t="s">
        <v>1486</v>
      </c>
      <c r="AJ81" s="13" t="s">
        <v>1428</v>
      </c>
      <c r="AK81" s="13" t="s">
        <v>1429</v>
      </c>
      <c r="AL81" s="41">
        <v>3.02</v>
      </c>
      <c r="AM81" s="41">
        <v>2.87</v>
      </c>
      <c r="AN81" s="41">
        <v>3</v>
      </c>
      <c r="AO81" s="41">
        <v>3.15</v>
      </c>
      <c r="AP81" s="13">
        <v>15.4</v>
      </c>
      <c r="AQ81" s="13" t="s">
        <v>1693</v>
      </c>
      <c r="AR81" s="13" t="s">
        <v>1431</v>
      </c>
      <c r="AS81" s="13" t="s">
        <v>1701</v>
      </c>
      <c r="AT81" s="13" t="s">
        <v>1425</v>
      </c>
      <c r="AU81" s="13" t="s">
        <v>1432</v>
      </c>
      <c r="AV81" s="39">
        <v>45279</v>
      </c>
      <c r="AW81" s="13" t="s">
        <v>1702</v>
      </c>
      <c r="AY81" s="41">
        <v>2.94</v>
      </c>
      <c r="AZ81" s="41">
        <v>14.4</v>
      </c>
      <c r="BA81" s="41">
        <v>8.3000000000000007</v>
      </c>
      <c r="BB81" s="41">
        <v>73.5</v>
      </c>
      <c r="BP81" s="15"/>
      <c r="BQ81" s="15"/>
      <c r="BR81" s="15"/>
      <c r="BS81" s="15"/>
      <c r="LG81" s="13" t="s">
        <v>1703</v>
      </c>
      <c r="LH81" s="13" t="s">
        <v>1704</v>
      </c>
      <c r="LI81" s="13" t="s">
        <v>1701</v>
      </c>
      <c r="LJ81" s="13" t="s">
        <v>1576</v>
      </c>
      <c r="LK81" s="13" t="s">
        <v>1577</v>
      </c>
      <c r="LL81" s="39">
        <v>45209</v>
      </c>
      <c r="LM81" s="13" t="s">
        <v>1456</v>
      </c>
      <c r="LN81" s="13" t="s">
        <v>1457</v>
      </c>
      <c r="LO81" s="41">
        <v>2.94</v>
      </c>
      <c r="LP81" s="41">
        <v>56.8</v>
      </c>
      <c r="LQ81" s="41">
        <v>14.36</v>
      </c>
      <c r="LR81" s="41">
        <v>8.2799999999999994</v>
      </c>
      <c r="LS81" s="41">
        <v>73.53</v>
      </c>
      <c r="LT81" s="41">
        <v>50.57</v>
      </c>
      <c r="LU81" s="41">
        <v>0.95940000000000003</v>
      </c>
      <c r="LV81" s="41">
        <v>1.829</v>
      </c>
      <c r="LW81" s="41">
        <v>1.5680000000000001</v>
      </c>
      <c r="LX81" s="44">
        <v>2386.1999999999998</v>
      </c>
      <c r="LY81" s="44">
        <v>21.7</v>
      </c>
      <c r="LZ81" s="44">
        <v>19.8</v>
      </c>
      <c r="MA81" s="41">
        <v>65.319999999999993</v>
      </c>
      <c r="MB81" s="41">
        <v>27.93</v>
      </c>
      <c r="MC81" s="41">
        <v>25.36</v>
      </c>
      <c r="MD81" s="41" t="s">
        <v>1578</v>
      </c>
      <c r="ME81" s="41" t="s">
        <v>1579</v>
      </c>
      <c r="MF81" s="41">
        <v>56.82</v>
      </c>
      <c r="MG81" s="41">
        <v>56.79</v>
      </c>
      <c r="MH81" s="43">
        <v>1.0009999999999999</v>
      </c>
      <c r="MI81" s="41">
        <v>9.2119999999999997</v>
      </c>
      <c r="MJ81" s="43">
        <v>1</v>
      </c>
      <c r="MK81" s="41">
        <v>27.95</v>
      </c>
      <c r="ML81" s="41">
        <v>4.6289999999999996</v>
      </c>
      <c r="MM81" s="41">
        <v>1.1739999999999999</v>
      </c>
      <c r="MN81" s="41">
        <v>48.04</v>
      </c>
      <c r="MO81" s="41">
        <v>14.88</v>
      </c>
      <c r="MP81" s="41">
        <v>43.48</v>
      </c>
      <c r="MQ81" s="41">
        <v>20.23</v>
      </c>
      <c r="MR81" s="41">
        <v>40.82</v>
      </c>
      <c r="MS81" s="41">
        <v>23.59</v>
      </c>
      <c r="MT81" s="41">
        <v>37.659999999999997</v>
      </c>
      <c r="MU81" s="41">
        <v>23.91</v>
      </c>
      <c r="MV81" s="41">
        <v>35.96</v>
      </c>
      <c r="MW81" s="41">
        <v>25.19</v>
      </c>
      <c r="MX81" s="41">
        <v>35.9</v>
      </c>
      <c r="MY81" s="41">
        <v>25.72</v>
      </c>
      <c r="MZ81" s="41">
        <v>20.52</v>
      </c>
      <c r="NA81" s="41">
        <v>35.9</v>
      </c>
      <c r="NB81" s="41">
        <v>22.75</v>
      </c>
      <c r="NC81" s="41">
        <v>41.79</v>
      </c>
    </row>
    <row r="82" spans="1:425">
      <c r="A82" s="14">
        <v>72</v>
      </c>
      <c r="B82" s="15" t="str">
        <f>IF(ISBLANK(D[[#This Row],[CLAS_GRONDSOORT]]),"ONWAAR","WAAR")</f>
        <v>WAAR</v>
      </c>
      <c r="C82" s="15" t="str">
        <f>IF(ISBLANK(D[[#This Row],[CLAS_VN_HOOFDNAAM]]),"ONWAAR","WAAR")</f>
        <v>ONWAAR</v>
      </c>
      <c r="D82" s="15" t="str">
        <f>IF(ISBLANK(D[[#This Row],[KV_GRONDSOORT]]),"ONWAAR","WAAR")</f>
        <v>ONWAAR</v>
      </c>
      <c r="E82" s="15" t="str">
        <f>IF(ISBLANK(D[[#This Row],[CPT_QNET]]),"ONWAAR","WAAR")</f>
        <v>ONWAAR</v>
      </c>
      <c r="F82" s="15" t="str">
        <f>IF(ISBLANK(D[[#This Row],[CRS_GRONDSOORT]]),"ONWAAR","WAAR")</f>
        <v>ONWAAR</v>
      </c>
      <c r="G82" s="15" t="str">
        <f>IF(ISBLANK(D[[#This Row],[SD_GRONDSOORT]]),"ONWAAR","WAAR")</f>
        <v>ONWAAR</v>
      </c>
      <c r="H82" s="15" t="str">
        <f>IF(ISBLANK(D[[#This Row],[DSS_GRONDSOORT]]),"ONWAAR","WAAR")</f>
        <v>ONWAAR</v>
      </c>
      <c r="I82" s="15" t="str">
        <f>IF(ISBLANK(D[[#This Row],[TXT_SS_GRONDSOORT]]),"ONWAAR","WAAR")</f>
        <v>ONWAAR</v>
      </c>
      <c r="J82" s="13" t="s">
        <v>1705</v>
      </c>
      <c r="L82" s="13" t="s">
        <v>1418</v>
      </c>
      <c r="M82" s="13" t="s">
        <v>1419</v>
      </c>
      <c r="P82" s="13" t="s">
        <v>1420</v>
      </c>
      <c r="V82" s="41">
        <v>134732.76999999999</v>
      </c>
      <c r="W82" s="41">
        <v>415382.57</v>
      </c>
      <c r="X82" s="41">
        <v>6.02</v>
      </c>
      <c r="Y82" s="13" t="s">
        <v>1689</v>
      </c>
      <c r="Z82" s="13" t="s">
        <v>1422</v>
      </c>
      <c r="AA82" s="39">
        <v>45174</v>
      </c>
      <c r="AB82" s="13" t="s">
        <v>1690</v>
      </c>
      <c r="AC82" s="13" t="s">
        <v>1691</v>
      </c>
      <c r="AD82" s="13" t="s">
        <v>1425</v>
      </c>
      <c r="AE82" s="13" t="s">
        <v>1692</v>
      </c>
      <c r="AF82" s="13" t="s">
        <v>1427</v>
      </c>
      <c r="AG82" s="41">
        <v>-0.28000000000000003</v>
      </c>
      <c r="AI82" s="42" t="s">
        <v>1488</v>
      </c>
      <c r="AJ82" s="13" t="s">
        <v>1428</v>
      </c>
      <c r="AK82" s="13" t="s">
        <v>1429</v>
      </c>
      <c r="AL82" s="41">
        <v>2.87</v>
      </c>
      <c r="AM82" s="41">
        <v>2.62</v>
      </c>
      <c r="AN82" s="41">
        <v>3.15</v>
      </c>
      <c r="AO82" s="41">
        <v>3.4</v>
      </c>
      <c r="AQ82" s="13" t="s">
        <v>1693</v>
      </c>
      <c r="AR82" s="13" t="s">
        <v>1431</v>
      </c>
      <c r="AS82" s="13" t="s">
        <v>1705</v>
      </c>
      <c r="AT82" s="13" t="s">
        <v>1425</v>
      </c>
      <c r="AU82" s="13" t="s">
        <v>1432</v>
      </c>
      <c r="AV82" s="39">
        <v>45279</v>
      </c>
      <c r="AW82" s="13" t="s">
        <v>1706</v>
      </c>
      <c r="AY82" s="41">
        <v>2.7</v>
      </c>
      <c r="AZ82" s="41">
        <v>16.399999999999999</v>
      </c>
      <c r="BA82" s="41">
        <v>10.8</v>
      </c>
      <c r="BB82" s="41">
        <v>51.9</v>
      </c>
      <c r="BP82" s="15"/>
      <c r="BQ82" s="15"/>
      <c r="BR82" s="15"/>
      <c r="BS82" s="15"/>
    </row>
    <row r="83" spans="1:425">
      <c r="A83" s="14">
        <v>73</v>
      </c>
      <c r="B83" s="15" t="str">
        <f>IF(ISBLANK(D[[#This Row],[CLAS_GRONDSOORT]]),"ONWAAR","WAAR")</f>
        <v>WAAR</v>
      </c>
      <c r="C83" s="15" t="str">
        <f>IF(ISBLANK(D[[#This Row],[CLAS_VN_HOOFDNAAM]]),"ONWAAR","WAAR")</f>
        <v>ONWAAR</v>
      </c>
      <c r="D83" s="15" t="str">
        <f>IF(ISBLANK(D[[#This Row],[KV_GRONDSOORT]]),"ONWAAR","WAAR")</f>
        <v>ONWAAR</v>
      </c>
      <c r="E83" s="15" t="str">
        <f>IF(ISBLANK(D[[#This Row],[CPT_QNET]]),"ONWAAR","WAAR")</f>
        <v>ONWAAR</v>
      </c>
      <c r="F83" s="15" t="str">
        <f>IF(ISBLANK(D[[#This Row],[CRS_GRONDSOORT]]),"ONWAAR","WAAR")</f>
        <v>ONWAAR</v>
      </c>
      <c r="G83" s="15" t="str">
        <f>IF(ISBLANK(D[[#This Row],[SD_GRONDSOORT]]),"ONWAAR","WAAR")</f>
        <v>ONWAAR</v>
      </c>
      <c r="H83" s="15" t="str">
        <f>IF(ISBLANK(D[[#This Row],[DSS_GRONDSOORT]]),"ONWAAR","WAAR")</f>
        <v>ONWAAR</v>
      </c>
      <c r="I83" s="15" t="str">
        <f>IF(ISBLANK(D[[#This Row],[TXT_SS_GRONDSOORT]]),"ONWAAR","WAAR")</f>
        <v>ONWAAR</v>
      </c>
      <c r="J83" s="13" t="s">
        <v>1707</v>
      </c>
      <c r="L83" s="13" t="s">
        <v>1418</v>
      </c>
      <c r="M83" s="13" t="s">
        <v>1419</v>
      </c>
      <c r="P83" s="13" t="s">
        <v>1420</v>
      </c>
      <c r="V83" s="41">
        <v>134732.76999999999</v>
      </c>
      <c r="W83" s="41">
        <v>415382.57</v>
      </c>
      <c r="X83" s="41">
        <v>6.02</v>
      </c>
      <c r="Y83" s="13" t="s">
        <v>1689</v>
      </c>
      <c r="Z83" s="13" t="s">
        <v>1422</v>
      </c>
      <c r="AA83" s="39">
        <v>45174</v>
      </c>
      <c r="AB83" s="13" t="s">
        <v>1690</v>
      </c>
      <c r="AC83" s="13" t="s">
        <v>1691</v>
      </c>
      <c r="AD83" s="13" t="s">
        <v>1425</v>
      </c>
      <c r="AE83" s="13" t="s">
        <v>1692</v>
      </c>
      <c r="AF83" s="13" t="s">
        <v>1427</v>
      </c>
      <c r="AG83" s="41">
        <v>-0.28000000000000003</v>
      </c>
      <c r="AI83" s="42">
        <v>4</v>
      </c>
      <c r="AJ83" s="13" t="s">
        <v>1428</v>
      </c>
      <c r="AK83" s="13" t="s">
        <v>1429</v>
      </c>
      <c r="AL83" s="41">
        <v>2.02</v>
      </c>
      <c r="AM83" s="41">
        <v>1.68</v>
      </c>
      <c r="AN83" s="41">
        <v>4</v>
      </c>
      <c r="AO83" s="41">
        <v>4.34</v>
      </c>
      <c r="AP83" s="13">
        <v>12.4</v>
      </c>
      <c r="AQ83" s="13" t="s">
        <v>1693</v>
      </c>
      <c r="AR83" s="13" t="s">
        <v>1431</v>
      </c>
      <c r="AS83" s="13" t="s">
        <v>1707</v>
      </c>
      <c r="AT83" s="13" t="s">
        <v>1425</v>
      </c>
      <c r="AU83" s="13" t="s">
        <v>1432</v>
      </c>
      <c r="AV83" s="39">
        <v>45279</v>
      </c>
      <c r="AW83" s="13" t="s">
        <v>1708</v>
      </c>
      <c r="AY83" s="41">
        <v>1.78</v>
      </c>
      <c r="AZ83" s="41">
        <v>16.600000000000001</v>
      </c>
      <c r="BA83" s="41">
        <v>10.8</v>
      </c>
      <c r="BB83" s="41">
        <v>53.4</v>
      </c>
      <c r="BP83" s="15"/>
      <c r="BQ83" s="15"/>
      <c r="BR83" s="15"/>
      <c r="BS83" s="15"/>
    </row>
    <row r="84" spans="1:425">
      <c r="A84" s="14">
        <v>74</v>
      </c>
      <c r="B84" s="15" t="str">
        <f>IF(ISBLANK(D[[#This Row],[CLAS_GRONDSOORT]]),"ONWAAR","WAAR")</f>
        <v>WAAR</v>
      </c>
      <c r="C84" s="15" t="str">
        <f>IF(ISBLANK(D[[#This Row],[CLAS_VN_HOOFDNAAM]]),"ONWAAR","WAAR")</f>
        <v>ONWAAR</v>
      </c>
      <c r="D84" s="15" t="str">
        <f>IF(ISBLANK(D[[#This Row],[KV_GRONDSOORT]]),"ONWAAR","WAAR")</f>
        <v>ONWAAR</v>
      </c>
      <c r="E84" s="15" t="str">
        <f>IF(ISBLANK(D[[#This Row],[CPT_QNET]]),"ONWAAR","WAAR")</f>
        <v>ONWAAR</v>
      </c>
      <c r="F84" s="15" t="str">
        <f>IF(ISBLANK(D[[#This Row],[CRS_GRONDSOORT]]),"ONWAAR","WAAR")</f>
        <v>ONWAAR</v>
      </c>
      <c r="G84" s="15" t="str">
        <f>IF(ISBLANK(D[[#This Row],[SD_GRONDSOORT]]),"ONWAAR","WAAR")</f>
        <v>ONWAAR</v>
      </c>
      <c r="H84" s="15" t="str">
        <f>IF(ISBLANK(D[[#This Row],[DSS_GRONDSOORT]]),"ONWAAR","WAAR")</f>
        <v>ONWAAR</v>
      </c>
      <c r="I84" s="15" t="str">
        <f>IF(ISBLANK(D[[#This Row],[TXT_SS_GRONDSOORT]]),"ONWAAR","WAAR")</f>
        <v>ONWAAR</v>
      </c>
      <c r="J84" s="13" t="s">
        <v>1709</v>
      </c>
      <c r="L84" s="13" t="s">
        <v>1418</v>
      </c>
      <c r="M84" s="13" t="s">
        <v>1419</v>
      </c>
      <c r="P84" s="13" t="s">
        <v>1420</v>
      </c>
      <c r="V84" s="41">
        <v>134732.76999999999</v>
      </c>
      <c r="W84" s="41">
        <v>415382.57</v>
      </c>
      <c r="X84" s="41">
        <v>6.02</v>
      </c>
      <c r="Y84" s="13" t="s">
        <v>1689</v>
      </c>
      <c r="Z84" s="13" t="s">
        <v>1422</v>
      </c>
      <c r="AA84" s="39">
        <v>45174</v>
      </c>
      <c r="AB84" s="13" t="s">
        <v>1690</v>
      </c>
      <c r="AC84" s="13" t="s">
        <v>1691</v>
      </c>
      <c r="AD84" s="13" t="s">
        <v>1425</v>
      </c>
      <c r="AE84" s="13" t="s">
        <v>1692</v>
      </c>
      <c r="AF84" s="13" t="s">
        <v>1427</v>
      </c>
      <c r="AG84" s="41">
        <v>-0.28000000000000003</v>
      </c>
      <c r="AI84" s="42" t="s">
        <v>1710</v>
      </c>
      <c r="AJ84" s="13" t="s">
        <v>1428</v>
      </c>
      <c r="AK84" s="13" t="s">
        <v>1429</v>
      </c>
      <c r="AL84" s="41">
        <v>1.42</v>
      </c>
      <c r="AM84" s="41">
        <v>1.17</v>
      </c>
      <c r="AN84" s="41">
        <v>4.5999999999999996</v>
      </c>
      <c r="AO84" s="41">
        <v>4.8499999999999996</v>
      </c>
      <c r="AP84" s="13">
        <v>14.8</v>
      </c>
      <c r="AQ84" s="13" t="s">
        <v>1693</v>
      </c>
      <c r="AR84" s="13" t="s">
        <v>1431</v>
      </c>
      <c r="AS84" s="13" t="s">
        <v>1709</v>
      </c>
      <c r="AT84" s="13" t="s">
        <v>1425</v>
      </c>
      <c r="AU84" s="13" t="s">
        <v>1432</v>
      </c>
      <c r="AV84" s="39">
        <v>45279</v>
      </c>
      <c r="AW84" s="13" t="s">
        <v>1711</v>
      </c>
      <c r="AY84" s="41">
        <v>1.32</v>
      </c>
      <c r="AZ84" s="41">
        <v>18.100000000000001</v>
      </c>
      <c r="BA84" s="41">
        <v>13.2</v>
      </c>
      <c r="BB84" s="41">
        <v>36.4</v>
      </c>
      <c r="BP84" s="15"/>
      <c r="BQ84" s="15"/>
      <c r="BR84" s="15"/>
      <c r="BS84" s="15"/>
    </row>
    <row r="85" spans="1:425">
      <c r="A85" s="14">
        <v>75</v>
      </c>
      <c r="B85" s="15" t="str">
        <f>IF(ISBLANK(D[[#This Row],[CLAS_GRONDSOORT]]),"ONWAAR","WAAR")</f>
        <v>WAAR</v>
      </c>
      <c r="C85" s="15" t="str">
        <f>IF(ISBLANK(D[[#This Row],[CLAS_VN_HOOFDNAAM]]),"ONWAAR","WAAR")</f>
        <v>ONWAAR</v>
      </c>
      <c r="D85" s="15" t="str">
        <f>IF(ISBLANK(D[[#This Row],[KV_GRONDSOORT]]),"ONWAAR","WAAR")</f>
        <v>ONWAAR</v>
      </c>
      <c r="E85" s="15" t="str">
        <f>IF(ISBLANK(D[[#This Row],[CPT_QNET]]),"ONWAAR","WAAR")</f>
        <v>ONWAAR</v>
      </c>
      <c r="F85" s="15" t="str">
        <f>IF(ISBLANK(D[[#This Row],[CRS_GRONDSOORT]]),"ONWAAR","WAAR")</f>
        <v>ONWAAR</v>
      </c>
      <c r="G85" s="15" t="str">
        <f>IF(ISBLANK(D[[#This Row],[SD_GRONDSOORT]]),"ONWAAR","WAAR")</f>
        <v>ONWAAR</v>
      </c>
      <c r="H85" s="15" t="str">
        <f>IF(ISBLANK(D[[#This Row],[DSS_GRONDSOORT]]),"ONWAAR","WAAR")</f>
        <v>WAAR</v>
      </c>
      <c r="I85" s="15" t="str">
        <f>IF(ISBLANK(D[[#This Row],[TXT_SS_GRONDSOORT]]),"ONWAAR","WAAR")</f>
        <v>ONWAAR</v>
      </c>
      <c r="J85" s="13" t="s">
        <v>1712</v>
      </c>
      <c r="L85" s="13" t="s">
        <v>1418</v>
      </c>
      <c r="M85" s="13" t="s">
        <v>1419</v>
      </c>
      <c r="P85" s="13" t="s">
        <v>1420</v>
      </c>
      <c r="V85" s="41">
        <v>134732.76999999999</v>
      </c>
      <c r="W85" s="41">
        <v>415382.57</v>
      </c>
      <c r="X85" s="41">
        <v>6.02</v>
      </c>
      <c r="Y85" s="13" t="s">
        <v>1689</v>
      </c>
      <c r="Z85" s="13" t="s">
        <v>1422</v>
      </c>
      <c r="AA85" s="39">
        <v>45174</v>
      </c>
      <c r="AB85" s="13" t="s">
        <v>1690</v>
      </c>
      <c r="AC85" s="13" t="s">
        <v>1691</v>
      </c>
      <c r="AD85" s="13" t="s">
        <v>1425</v>
      </c>
      <c r="AE85" s="13" t="s">
        <v>1692</v>
      </c>
      <c r="AF85" s="13" t="s">
        <v>1427</v>
      </c>
      <c r="AG85" s="41">
        <v>-0.28000000000000003</v>
      </c>
      <c r="AI85" s="42" t="s">
        <v>1713</v>
      </c>
      <c r="AJ85" s="13" t="s">
        <v>1428</v>
      </c>
      <c r="AK85" s="13" t="s">
        <v>1429</v>
      </c>
      <c r="AL85" s="41">
        <v>1.17</v>
      </c>
      <c r="AM85" s="41">
        <v>1.06</v>
      </c>
      <c r="AN85" s="41">
        <v>4.8499999999999996</v>
      </c>
      <c r="AO85" s="41">
        <v>4.96</v>
      </c>
      <c r="AQ85" s="13" t="s">
        <v>1693</v>
      </c>
      <c r="AR85" s="13" t="s">
        <v>1431</v>
      </c>
      <c r="AS85" s="13" t="s">
        <v>1712</v>
      </c>
      <c r="AT85" s="13" t="s">
        <v>1425</v>
      </c>
      <c r="AU85" s="13" t="s">
        <v>1432</v>
      </c>
      <c r="AV85" s="39">
        <v>45279</v>
      </c>
      <c r="AW85" s="13" t="s">
        <v>1714</v>
      </c>
      <c r="AY85" s="41">
        <v>1.17</v>
      </c>
      <c r="AZ85" s="41">
        <v>14.3</v>
      </c>
      <c r="BA85" s="41">
        <v>7.2</v>
      </c>
      <c r="BB85" s="41">
        <v>98.8</v>
      </c>
      <c r="BP85" s="15"/>
      <c r="BQ85" s="15"/>
      <c r="BR85" s="15"/>
      <c r="BS85" s="15"/>
      <c r="LG85" s="13" t="s">
        <v>1715</v>
      </c>
      <c r="LH85" s="13" t="s">
        <v>1716</v>
      </c>
      <c r="LI85" s="13" t="s">
        <v>1712</v>
      </c>
      <c r="LJ85" s="13" t="s">
        <v>1576</v>
      </c>
      <c r="LK85" s="13" t="s">
        <v>1577</v>
      </c>
      <c r="LL85" s="39">
        <v>45209</v>
      </c>
      <c r="LM85" s="13" t="s">
        <v>1456</v>
      </c>
      <c r="LN85" s="13" t="s">
        <v>1717</v>
      </c>
      <c r="LO85" s="41">
        <v>1.17</v>
      </c>
      <c r="LP85" s="41">
        <v>83.3</v>
      </c>
      <c r="LQ85" s="41">
        <v>14.31</v>
      </c>
      <c r="LR85" s="41">
        <v>7.2</v>
      </c>
      <c r="LS85" s="41">
        <v>98.8</v>
      </c>
      <c r="LT85" s="41">
        <v>79.2</v>
      </c>
      <c r="LU85" s="41">
        <v>1.036</v>
      </c>
      <c r="LV85" s="41">
        <v>2.335</v>
      </c>
      <c r="LW85" s="41">
        <v>1.887</v>
      </c>
      <c r="LX85" s="44">
        <v>2447.5</v>
      </c>
      <c r="LY85" s="44">
        <v>21.7</v>
      </c>
      <c r="LZ85" s="44">
        <v>19.8</v>
      </c>
      <c r="MA85" s="41">
        <v>65.319999999999993</v>
      </c>
      <c r="MB85" s="41">
        <v>27.93</v>
      </c>
      <c r="MC85" s="41">
        <v>24.18</v>
      </c>
      <c r="MD85" s="41" t="s">
        <v>1578</v>
      </c>
      <c r="ME85" s="41" t="s">
        <v>1579</v>
      </c>
      <c r="MF85" s="41">
        <v>83.32</v>
      </c>
      <c r="MG85" s="41">
        <v>83.29</v>
      </c>
      <c r="MH85" s="43">
        <v>1</v>
      </c>
      <c r="MI85" s="41">
        <v>13.44</v>
      </c>
      <c r="MJ85" s="43">
        <v>1</v>
      </c>
      <c r="MK85" s="41">
        <v>27.66</v>
      </c>
      <c r="ML85" s="41">
        <v>4.7290000000000001</v>
      </c>
      <c r="MM85" s="41">
        <v>1.143</v>
      </c>
      <c r="MN85" s="41">
        <v>74.63</v>
      </c>
      <c r="MO85" s="41">
        <v>20.6</v>
      </c>
      <c r="MP85" s="41">
        <v>63.89</v>
      </c>
      <c r="MQ85" s="41">
        <v>26.04</v>
      </c>
      <c r="MR85" s="41">
        <v>56.22</v>
      </c>
      <c r="MS85" s="41">
        <v>29.96</v>
      </c>
      <c r="MT85" s="41">
        <v>50.46</v>
      </c>
      <c r="MU85" s="41">
        <v>30.63</v>
      </c>
      <c r="MV85" s="41">
        <v>47</v>
      </c>
      <c r="MW85" s="41">
        <v>30.97</v>
      </c>
      <c r="MX85" s="41">
        <v>47.48</v>
      </c>
      <c r="MY85" s="41">
        <v>31.55</v>
      </c>
      <c r="MZ85" s="41">
        <v>19.760000000000002</v>
      </c>
      <c r="NA85" s="41">
        <v>44.85</v>
      </c>
      <c r="NB85" s="41">
        <v>28.07</v>
      </c>
      <c r="NC85" s="41">
        <v>47.3</v>
      </c>
      <c r="NG85" s="41">
        <v>1196</v>
      </c>
    </row>
    <row r="86" spans="1:425">
      <c r="A86" s="14">
        <v>76</v>
      </c>
      <c r="B86" s="15" t="str">
        <f>IF(ISBLANK(D[[#This Row],[CLAS_GRONDSOORT]]),"ONWAAR","WAAR")</f>
        <v>WAAR</v>
      </c>
      <c r="C86" s="15" t="str">
        <f>IF(ISBLANK(D[[#This Row],[CLAS_VN_HOOFDNAAM]]),"ONWAAR","WAAR")</f>
        <v>ONWAAR</v>
      </c>
      <c r="D86" s="15" t="str">
        <f>IF(ISBLANK(D[[#This Row],[KV_GRONDSOORT]]),"ONWAAR","WAAR")</f>
        <v>ONWAAR</v>
      </c>
      <c r="E86" s="15" t="str">
        <f>IF(ISBLANK(D[[#This Row],[CPT_QNET]]),"ONWAAR","WAAR")</f>
        <v>ONWAAR</v>
      </c>
      <c r="F86" s="15" t="str">
        <f>IF(ISBLANK(D[[#This Row],[CRS_GRONDSOORT]]),"ONWAAR","WAAR")</f>
        <v>ONWAAR</v>
      </c>
      <c r="G86" s="15" t="str">
        <f>IF(ISBLANK(D[[#This Row],[SD_GRONDSOORT]]),"ONWAAR","WAAR")</f>
        <v>ONWAAR</v>
      </c>
      <c r="H86" s="15" t="str">
        <f>IF(ISBLANK(D[[#This Row],[DSS_GRONDSOORT]]),"ONWAAR","WAAR")</f>
        <v>ONWAAR</v>
      </c>
      <c r="I86" s="15" t="str">
        <f>IF(ISBLANK(D[[#This Row],[TXT_SS_GRONDSOORT]]),"ONWAAR","WAAR")</f>
        <v>ONWAAR</v>
      </c>
      <c r="J86" s="13" t="s">
        <v>1718</v>
      </c>
      <c r="L86" s="13" t="s">
        <v>1418</v>
      </c>
      <c r="M86" s="13" t="s">
        <v>1419</v>
      </c>
      <c r="P86" s="13" t="s">
        <v>1420</v>
      </c>
      <c r="V86" s="41">
        <v>134732.76999999999</v>
      </c>
      <c r="W86" s="41">
        <v>415382.57</v>
      </c>
      <c r="X86" s="41">
        <v>6.02</v>
      </c>
      <c r="Y86" s="13" t="s">
        <v>1689</v>
      </c>
      <c r="Z86" s="13" t="s">
        <v>1422</v>
      </c>
      <c r="AA86" s="39">
        <v>45174</v>
      </c>
      <c r="AB86" s="13" t="s">
        <v>1690</v>
      </c>
      <c r="AC86" s="13" t="s">
        <v>1691</v>
      </c>
      <c r="AD86" s="13" t="s">
        <v>1425</v>
      </c>
      <c r="AE86" s="13" t="s">
        <v>1692</v>
      </c>
      <c r="AF86" s="13" t="s">
        <v>1427</v>
      </c>
      <c r="AG86" s="41">
        <v>-0.28000000000000003</v>
      </c>
      <c r="AI86" s="42">
        <v>6</v>
      </c>
      <c r="AJ86" s="13" t="s">
        <v>1428</v>
      </c>
      <c r="AK86" s="13" t="s">
        <v>1429</v>
      </c>
      <c r="AL86" s="41">
        <v>1.02</v>
      </c>
      <c r="AM86" s="41">
        <v>0.68</v>
      </c>
      <c r="AN86" s="41">
        <v>5</v>
      </c>
      <c r="AO86" s="41">
        <v>5.34</v>
      </c>
      <c r="AP86" s="13">
        <v>15.3</v>
      </c>
      <c r="AQ86" s="13" t="s">
        <v>1693</v>
      </c>
      <c r="AR86" s="13" t="s">
        <v>1431</v>
      </c>
      <c r="AS86" s="13" t="s">
        <v>1718</v>
      </c>
      <c r="AT86" s="13" t="s">
        <v>1425</v>
      </c>
      <c r="AU86" s="13" t="s">
        <v>1432</v>
      </c>
      <c r="AV86" s="39">
        <v>45279</v>
      </c>
      <c r="AW86" s="13" t="s">
        <v>1708</v>
      </c>
      <c r="AY86" s="41">
        <v>0.78</v>
      </c>
      <c r="AZ86" s="41">
        <v>18.8</v>
      </c>
      <c r="BA86" s="41">
        <v>14.5</v>
      </c>
      <c r="BB86" s="41">
        <v>29.8</v>
      </c>
      <c r="BP86" s="15"/>
      <c r="BQ86" s="15"/>
      <c r="BR86" s="15"/>
      <c r="BS86" s="15"/>
    </row>
    <row r="87" spans="1:425">
      <c r="A87" s="14">
        <v>77</v>
      </c>
      <c r="B87" s="15" t="str">
        <f>IF(ISBLANK(D[[#This Row],[CLAS_GRONDSOORT]]),"ONWAAR","WAAR")</f>
        <v>WAAR</v>
      </c>
      <c r="C87" s="15" t="str">
        <f>IF(ISBLANK(D[[#This Row],[CLAS_VN_HOOFDNAAM]]),"ONWAAR","WAAR")</f>
        <v>ONWAAR</v>
      </c>
      <c r="D87" s="15" t="str">
        <f>IF(ISBLANK(D[[#This Row],[KV_GRONDSOORT]]),"ONWAAR","WAAR")</f>
        <v>ONWAAR</v>
      </c>
      <c r="E87" s="15" t="str">
        <f>IF(ISBLANK(D[[#This Row],[CPT_QNET]]),"ONWAAR","WAAR")</f>
        <v>ONWAAR</v>
      </c>
      <c r="F87" s="15" t="str">
        <f>IF(ISBLANK(D[[#This Row],[CRS_GRONDSOORT]]),"ONWAAR","WAAR")</f>
        <v>WAAR</v>
      </c>
      <c r="G87" s="15" t="str">
        <f>IF(ISBLANK(D[[#This Row],[SD_GRONDSOORT]]),"ONWAAR","WAAR")</f>
        <v>ONWAAR</v>
      </c>
      <c r="H87" s="15" t="str">
        <f>IF(ISBLANK(D[[#This Row],[DSS_GRONDSOORT]]),"ONWAAR","WAAR")</f>
        <v>ONWAAR</v>
      </c>
      <c r="I87" s="15" t="str">
        <f>IF(ISBLANK(D[[#This Row],[TXT_SS_GRONDSOORT]]),"ONWAAR","WAAR")</f>
        <v>WAAR</v>
      </c>
      <c r="J87" s="13" t="s">
        <v>1719</v>
      </c>
      <c r="L87" s="13" t="s">
        <v>1418</v>
      </c>
      <c r="M87" s="13" t="s">
        <v>1419</v>
      </c>
      <c r="P87" s="13" t="s">
        <v>1420</v>
      </c>
      <c r="V87" s="41">
        <v>134732.76999999999</v>
      </c>
      <c r="W87" s="41">
        <v>415382.57</v>
      </c>
      <c r="X87" s="41">
        <v>6.02</v>
      </c>
      <c r="Y87" s="13" t="s">
        <v>1689</v>
      </c>
      <c r="Z87" s="13" t="s">
        <v>1422</v>
      </c>
      <c r="AA87" s="39">
        <v>45174</v>
      </c>
      <c r="AB87" s="13" t="s">
        <v>1690</v>
      </c>
      <c r="AC87" s="13" t="s">
        <v>1691</v>
      </c>
      <c r="AD87" s="13" t="s">
        <v>1425</v>
      </c>
      <c r="AE87" s="13" t="s">
        <v>1692</v>
      </c>
      <c r="AF87" s="13" t="s">
        <v>1427</v>
      </c>
      <c r="AG87" s="41">
        <v>-0.28000000000000003</v>
      </c>
      <c r="AI87" s="42">
        <v>7</v>
      </c>
      <c r="AJ87" s="13" t="s">
        <v>1428</v>
      </c>
      <c r="AK87" s="13" t="s">
        <v>1429</v>
      </c>
      <c r="AL87" s="41">
        <v>0.52</v>
      </c>
      <c r="AM87" s="41">
        <v>0.19</v>
      </c>
      <c r="AN87" s="41">
        <v>5.5</v>
      </c>
      <c r="AO87" s="41">
        <v>5.83</v>
      </c>
      <c r="AP87" s="13">
        <v>15.5</v>
      </c>
      <c r="AQ87" s="13" t="s">
        <v>1693</v>
      </c>
      <c r="AR87" s="13" t="s">
        <v>1431</v>
      </c>
      <c r="AS87" s="13" t="s">
        <v>1719</v>
      </c>
      <c r="AT87" s="13" t="s">
        <v>1425</v>
      </c>
      <c r="AU87" s="13" t="s">
        <v>1432</v>
      </c>
      <c r="AV87" s="39">
        <v>45279</v>
      </c>
      <c r="AW87" s="13" t="s">
        <v>1720</v>
      </c>
      <c r="AY87" s="41">
        <v>0.42</v>
      </c>
      <c r="AZ87" s="41">
        <v>19.399999999999999</v>
      </c>
      <c r="BA87" s="41">
        <v>15.3</v>
      </c>
      <c r="BB87" s="41">
        <v>26.3</v>
      </c>
      <c r="BP87" s="15"/>
      <c r="BQ87" s="15"/>
      <c r="BR87" s="15"/>
      <c r="BS87" s="15"/>
      <c r="EA87" s="13" t="s">
        <v>1721</v>
      </c>
      <c r="EB87" s="13" t="s">
        <v>1722</v>
      </c>
      <c r="EC87" s="13" t="s">
        <v>1723</v>
      </c>
      <c r="ED87" s="13" t="s">
        <v>1454</v>
      </c>
      <c r="EE87" s="13" t="s">
        <v>1455</v>
      </c>
      <c r="EF87" s="39">
        <v>45210</v>
      </c>
      <c r="EG87" s="13" t="s">
        <v>1456</v>
      </c>
      <c r="EI87" s="41">
        <v>0.28999999999999998</v>
      </c>
      <c r="EJ87" s="41">
        <v>99.2</v>
      </c>
      <c r="EK87" s="41">
        <v>19.41</v>
      </c>
      <c r="EL87" s="41">
        <v>15.19</v>
      </c>
      <c r="EM87" s="41">
        <v>27.84</v>
      </c>
      <c r="EN87" s="41">
        <v>19.86</v>
      </c>
      <c r="EO87" s="41">
        <v>101.6</v>
      </c>
      <c r="EP87" s="13">
        <v>21.7</v>
      </c>
      <c r="EQ87" s="13">
        <v>19.8</v>
      </c>
      <c r="ER87" s="13">
        <v>65.44</v>
      </c>
      <c r="ES87" s="41">
        <v>18.8</v>
      </c>
      <c r="ET87" s="41">
        <v>18.739999999999998</v>
      </c>
      <c r="EU87" s="41">
        <v>16.25</v>
      </c>
      <c r="EV87" s="13">
        <v>0.5</v>
      </c>
      <c r="EW87" s="44">
        <v>-0.2</v>
      </c>
      <c r="EX87" s="13">
        <v>16</v>
      </c>
      <c r="EY87" s="41">
        <v>582.6</v>
      </c>
      <c r="EZ87" s="41">
        <v>486.5</v>
      </c>
      <c r="FA87" s="41">
        <v>357.8</v>
      </c>
      <c r="FB87" s="41">
        <v>196.9</v>
      </c>
      <c r="FC87" s="41">
        <v>989</v>
      </c>
      <c r="FD87" s="41">
        <v>2.0299999999999998</v>
      </c>
      <c r="FE87" s="41">
        <v>161.9</v>
      </c>
      <c r="FF87" s="41">
        <v>3.8</v>
      </c>
      <c r="FG87" s="41">
        <v>670</v>
      </c>
      <c r="FH87" s="45">
        <v>4.2199999999999998E-3</v>
      </c>
      <c r="FI87" s="45">
        <v>0.06</v>
      </c>
      <c r="FJ87" s="45">
        <v>2.14E-3</v>
      </c>
      <c r="NH87" s="13" t="s">
        <v>1724</v>
      </c>
      <c r="NI87" s="13" t="s">
        <v>1725</v>
      </c>
      <c r="NJ87" s="13" t="s">
        <v>1726</v>
      </c>
      <c r="NK87" s="13" t="s">
        <v>1454</v>
      </c>
      <c r="NL87" s="13" t="s">
        <v>1461</v>
      </c>
      <c r="NM87" s="39">
        <v>45217</v>
      </c>
      <c r="NN87" s="13" t="s">
        <v>1456</v>
      </c>
      <c r="NP87" s="41">
        <v>0.42</v>
      </c>
      <c r="NQ87" s="41">
        <v>99.2</v>
      </c>
      <c r="NR87" s="41">
        <v>19.350000000000001</v>
      </c>
      <c r="NS87" s="41">
        <v>15.33</v>
      </c>
      <c r="NT87" s="41">
        <v>28.24</v>
      </c>
      <c r="NU87" s="41">
        <v>26.28</v>
      </c>
      <c r="NV87" s="41">
        <v>100.72</v>
      </c>
      <c r="NW87" s="41">
        <v>0.69</v>
      </c>
      <c r="NX87" s="44">
        <v>2636</v>
      </c>
      <c r="NY87" s="44">
        <v>21.3</v>
      </c>
      <c r="NZ87" s="44">
        <v>21.3</v>
      </c>
      <c r="OA87" s="44">
        <v>50</v>
      </c>
      <c r="OB87" s="44">
        <v>100</v>
      </c>
      <c r="OC87" s="41" t="s">
        <v>1463</v>
      </c>
      <c r="OD87" s="41" t="s">
        <v>1464</v>
      </c>
      <c r="OE87" s="41" t="s">
        <v>1465</v>
      </c>
      <c r="OF87" s="43">
        <v>300</v>
      </c>
      <c r="OG87" s="41" t="s">
        <v>1466</v>
      </c>
      <c r="OH87" s="41">
        <v>0.61</v>
      </c>
      <c r="OI87" s="41" t="s">
        <v>1467</v>
      </c>
      <c r="OJ87" s="41">
        <v>59.66</v>
      </c>
      <c r="OK87" s="41">
        <v>0.76</v>
      </c>
      <c r="OL87" s="41">
        <v>78.03</v>
      </c>
      <c r="OM87" s="41">
        <v>19.47</v>
      </c>
      <c r="ON87" s="41">
        <v>78.03</v>
      </c>
      <c r="OO87" s="41">
        <v>19.47</v>
      </c>
      <c r="OP87" s="43">
        <v>1</v>
      </c>
      <c r="OQ87" s="41">
        <v>1.2</v>
      </c>
      <c r="OR87" s="41">
        <v>3.82</v>
      </c>
      <c r="OS87" s="41" t="s">
        <v>1468</v>
      </c>
      <c r="OT87" s="41">
        <v>0.97</v>
      </c>
      <c r="OU87" s="41">
        <v>82.52</v>
      </c>
      <c r="OV87" s="41">
        <v>47.36</v>
      </c>
      <c r="OW87" s="41">
        <v>87.87</v>
      </c>
      <c r="OX87" s="41">
        <v>51.91</v>
      </c>
      <c r="OY87" s="41">
        <v>94.8</v>
      </c>
      <c r="OZ87" s="41">
        <v>53.44</v>
      </c>
      <c r="PA87" s="41">
        <v>94.54</v>
      </c>
      <c r="PB87" s="41">
        <v>53.58</v>
      </c>
      <c r="PC87" s="41">
        <v>14.21</v>
      </c>
      <c r="PD87" s="41">
        <v>93.78</v>
      </c>
      <c r="PE87" s="41">
        <v>50.02</v>
      </c>
      <c r="PF87" s="43">
        <v>25</v>
      </c>
      <c r="PG87" s="41">
        <v>12.03</v>
      </c>
      <c r="PH87" s="41">
        <v>0.28000000000000003</v>
      </c>
      <c r="PI87" s="41">
        <v>0.17</v>
      </c>
    </row>
    <row r="88" spans="1:425">
      <c r="A88" s="14">
        <v>78</v>
      </c>
      <c r="B88" s="15" t="str">
        <f>IF(ISBLANK(D[[#This Row],[CLAS_GRONDSOORT]]),"ONWAAR","WAAR")</f>
        <v>WAAR</v>
      </c>
      <c r="C88" s="15" t="str">
        <f>IF(ISBLANK(D[[#This Row],[CLAS_VN_HOOFDNAAM]]),"ONWAAR","WAAR")</f>
        <v>ONWAAR</v>
      </c>
      <c r="D88" s="15" t="str">
        <f>IF(ISBLANK(D[[#This Row],[KV_GRONDSOORT]]),"ONWAAR","WAAR")</f>
        <v>ONWAAR</v>
      </c>
      <c r="E88" s="15" t="str">
        <f>IF(ISBLANK(D[[#This Row],[CPT_QNET]]),"ONWAAR","WAAR")</f>
        <v>ONWAAR</v>
      </c>
      <c r="F88" s="15" t="str">
        <f>IF(ISBLANK(D[[#This Row],[CRS_GRONDSOORT]]),"ONWAAR","WAAR")</f>
        <v>ONWAAR</v>
      </c>
      <c r="G88" s="15" t="str">
        <f>IF(ISBLANK(D[[#This Row],[SD_GRONDSOORT]]),"ONWAAR","WAAR")</f>
        <v>ONWAAR</v>
      </c>
      <c r="H88" s="15" t="str">
        <f>IF(ISBLANK(D[[#This Row],[DSS_GRONDSOORT]]),"ONWAAR","WAAR")</f>
        <v>ONWAAR</v>
      </c>
      <c r="I88" s="15" t="str">
        <f>IF(ISBLANK(D[[#This Row],[TXT_SS_GRONDSOORT]]),"ONWAAR","WAAR")</f>
        <v>ONWAAR</v>
      </c>
      <c r="J88" s="13" t="s">
        <v>1727</v>
      </c>
      <c r="L88" s="13" t="s">
        <v>1418</v>
      </c>
      <c r="M88" s="13" t="s">
        <v>1419</v>
      </c>
      <c r="P88" s="13" t="s">
        <v>1420</v>
      </c>
      <c r="V88" s="41">
        <v>134732.76999999999</v>
      </c>
      <c r="W88" s="41">
        <v>415382.57</v>
      </c>
      <c r="X88" s="41">
        <v>6.02</v>
      </c>
      <c r="Y88" s="13" t="s">
        <v>1689</v>
      </c>
      <c r="Z88" s="13" t="s">
        <v>1422</v>
      </c>
      <c r="AA88" s="39">
        <v>45174</v>
      </c>
      <c r="AB88" s="13" t="s">
        <v>1690</v>
      </c>
      <c r="AC88" s="13" t="s">
        <v>1691</v>
      </c>
      <c r="AD88" s="13" t="s">
        <v>1425</v>
      </c>
      <c r="AE88" s="13" t="s">
        <v>1692</v>
      </c>
      <c r="AF88" s="13" t="s">
        <v>1427</v>
      </c>
      <c r="AG88" s="41">
        <v>-0.28000000000000003</v>
      </c>
      <c r="AI88" s="42">
        <v>8</v>
      </c>
      <c r="AJ88" s="13" t="s">
        <v>1428</v>
      </c>
      <c r="AK88" s="13" t="s">
        <v>1429</v>
      </c>
      <c r="AL88" s="41">
        <v>0.02</v>
      </c>
      <c r="AM88" s="41">
        <v>-0.23</v>
      </c>
      <c r="AN88" s="41">
        <v>6</v>
      </c>
      <c r="AO88" s="41">
        <v>6.25</v>
      </c>
      <c r="AP88" s="13">
        <v>12.8</v>
      </c>
      <c r="AQ88" s="13" t="s">
        <v>1693</v>
      </c>
      <c r="AR88" s="13" t="s">
        <v>1431</v>
      </c>
      <c r="AS88" s="13" t="s">
        <v>1727</v>
      </c>
      <c r="AT88" s="13" t="s">
        <v>1425</v>
      </c>
      <c r="AU88" s="13" t="s">
        <v>1432</v>
      </c>
      <c r="AV88" s="39">
        <v>45279</v>
      </c>
      <c r="AW88" s="13" t="s">
        <v>1728</v>
      </c>
      <c r="AY88" s="41">
        <v>-0.18</v>
      </c>
      <c r="AZ88" s="41">
        <v>19.2</v>
      </c>
      <c r="BA88" s="41">
        <v>15.3</v>
      </c>
      <c r="BB88" s="41">
        <v>25.4</v>
      </c>
      <c r="BP88" s="15"/>
      <c r="BQ88" s="15"/>
      <c r="BR88" s="15"/>
      <c r="BS88" s="15"/>
    </row>
    <row r="89" spans="1:425">
      <c r="A89" s="14">
        <v>79</v>
      </c>
      <c r="B89" s="15" t="str">
        <f>IF(ISBLANK(D[[#This Row],[CLAS_GRONDSOORT]]),"ONWAAR","WAAR")</f>
        <v>WAAR</v>
      </c>
      <c r="C89" s="15" t="str">
        <f>IF(ISBLANK(D[[#This Row],[CLAS_VN_HOOFDNAAM]]),"ONWAAR","WAAR")</f>
        <v>ONWAAR</v>
      </c>
      <c r="D89" s="15" t="str">
        <f>IF(ISBLANK(D[[#This Row],[KV_GRONDSOORT]]),"ONWAAR","WAAR")</f>
        <v>ONWAAR</v>
      </c>
      <c r="E89" s="15" t="str">
        <f>IF(ISBLANK(D[[#This Row],[CPT_QNET]]),"ONWAAR","WAAR")</f>
        <v>ONWAAR</v>
      </c>
      <c r="F89" s="15" t="str">
        <f>IF(ISBLANK(D[[#This Row],[CRS_GRONDSOORT]]),"ONWAAR","WAAR")</f>
        <v>ONWAAR</v>
      </c>
      <c r="G89" s="15" t="str">
        <f>IF(ISBLANK(D[[#This Row],[SD_GRONDSOORT]]),"ONWAAR","WAAR")</f>
        <v>ONWAAR</v>
      </c>
      <c r="H89" s="15" t="str">
        <f>IF(ISBLANK(D[[#This Row],[DSS_GRONDSOORT]]),"ONWAAR","WAAR")</f>
        <v>ONWAAR</v>
      </c>
      <c r="I89" s="15" t="str">
        <f>IF(ISBLANK(D[[#This Row],[TXT_SS_GRONDSOORT]]),"ONWAAR","WAAR")</f>
        <v>ONWAAR</v>
      </c>
      <c r="J89" s="13" t="s">
        <v>1729</v>
      </c>
      <c r="L89" s="13" t="s">
        <v>1418</v>
      </c>
      <c r="M89" s="13" t="s">
        <v>1419</v>
      </c>
      <c r="P89" s="13" t="s">
        <v>1420</v>
      </c>
      <c r="V89" s="41">
        <v>134732.76999999999</v>
      </c>
      <c r="W89" s="41">
        <v>415382.57</v>
      </c>
      <c r="X89" s="41">
        <v>6.02</v>
      </c>
      <c r="Y89" s="13" t="s">
        <v>1689</v>
      </c>
      <c r="Z89" s="13" t="s">
        <v>1422</v>
      </c>
      <c r="AA89" s="39">
        <v>45174</v>
      </c>
      <c r="AB89" s="13" t="s">
        <v>1690</v>
      </c>
      <c r="AC89" s="13" t="s">
        <v>1691</v>
      </c>
      <c r="AD89" s="13" t="s">
        <v>1425</v>
      </c>
      <c r="AE89" s="13" t="s">
        <v>1692</v>
      </c>
      <c r="AF89" s="13" t="s">
        <v>1427</v>
      </c>
      <c r="AG89" s="41">
        <v>-0.28000000000000003</v>
      </c>
      <c r="AI89" s="42">
        <v>9</v>
      </c>
      <c r="AJ89" s="13" t="s">
        <v>1428</v>
      </c>
      <c r="AK89" s="13" t="s">
        <v>1429</v>
      </c>
      <c r="AL89" s="41">
        <v>-0.48</v>
      </c>
      <c r="AM89" s="41">
        <v>-0.84</v>
      </c>
      <c r="AN89" s="41">
        <v>6.5</v>
      </c>
      <c r="AO89" s="41">
        <v>6.86</v>
      </c>
      <c r="AP89" s="13">
        <v>14.5</v>
      </c>
      <c r="AQ89" s="13" t="s">
        <v>1693</v>
      </c>
      <c r="AR89" s="13" t="s">
        <v>1431</v>
      </c>
      <c r="AS89" s="13" t="s">
        <v>1729</v>
      </c>
      <c r="AT89" s="13" t="s">
        <v>1425</v>
      </c>
      <c r="AU89" s="13" t="s">
        <v>1432</v>
      </c>
      <c r="AV89" s="39">
        <v>45279</v>
      </c>
      <c r="AW89" s="13" t="s">
        <v>1730</v>
      </c>
      <c r="AY89" s="41">
        <v>-0.74</v>
      </c>
      <c r="AZ89" s="41">
        <v>15.3</v>
      </c>
      <c r="BA89" s="41">
        <v>9</v>
      </c>
      <c r="BB89" s="41">
        <v>69.099999999999994</v>
      </c>
      <c r="BP89" s="15"/>
      <c r="BQ89" s="15"/>
      <c r="BR89" s="15"/>
      <c r="BS89" s="15"/>
    </row>
    <row r="90" spans="1:425">
      <c r="A90" s="14">
        <v>80</v>
      </c>
      <c r="B90" s="15" t="str">
        <f>IF(ISBLANK(D[[#This Row],[CLAS_GRONDSOORT]]),"ONWAAR","WAAR")</f>
        <v>WAAR</v>
      </c>
      <c r="C90" s="15" t="str">
        <f>IF(ISBLANK(D[[#This Row],[CLAS_VN_HOOFDNAAM]]),"ONWAAR","WAAR")</f>
        <v>ONWAAR</v>
      </c>
      <c r="D90" s="15" t="str">
        <f>IF(ISBLANK(D[[#This Row],[KV_GRONDSOORT]]),"ONWAAR","WAAR")</f>
        <v>ONWAAR</v>
      </c>
      <c r="E90" s="15" t="str">
        <f>IF(ISBLANK(D[[#This Row],[CPT_QNET]]),"ONWAAR","WAAR")</f>
        <v>ONWAAR</v>
      </c>
      <c r="F90" s="15" t="str">
        <f>IF(ISBLANK(D[[#This Row],[CRS_GRONDSOORT]]),"ONWAAR","WAAR")</f>
        <v>ONWAAR</v>
      </c>
      <c r="G90" s="15" t="str">
        <f>IF(ISBLANK(D[[#This Row],[SD_GRONDSOORT]]),"ONWAAR","WAAR")</f>
        <v>ONWAAR</v>
      </c>
      <c r="H90" s="15" t="str">
        <f>IF(ISBLANK(D[[#This Row],[DSS_GRONDSOORT]]),"ONWAAR","WAAR")</f>
        <v>ONWAAR</v>
      </c>
      <c r="I90" s="15" t="str">
        <f>IF(ISBLANK(D[[#This Row],[TXT_SS_GRONDSOORT]]),"ONWAAR","WAAR")</f>
        <v>ONWAAR</v>
      </c>
      <c r="J90" s="13" t="s">
        <v>1731</v>
      </c>
      <c r="L90" s="13" t="s">
        <v>1418</v>
      </c>
      <c r="M90" s="13" t="s">
        <v>1419</v>
      </c>
      <c r="P90" s="13" t="s">
        <v>1420</v>
      </c>
      <c r="V90" s="41">
        <v>134732.76999999999</v>
      </c>
      <c r="W90" s="41">
        <v>415382.57</v>
      </c>
      <c r="X90" s="41">
        <v>6.02</v>
      </c>
      <c r="Y90" s="13" t="s">
        <v>1689</v>
      </c>
      <c r="Z90" s="13" t="s">
        <v>1422</v>
      </c>
      <c r="AA90" s="39">
        <v>45174</v>
      </c>
      <c r="AB90" s="13" t="s">
        <v>1690</v>
      </c>
      <c r="AC90" s="13" t="s">
        <v>1691</v>
      </c>
      <c r="AD90" s="13" t="s">
        <v>1425</v>
      </c>
      <c r="AE90" s="13" t="s">
        <v>1692</v>
      </c>
      <c r="AF90" s="13" t="s">
        <v>1427</v>
      </c>
      <c r="AG90" s="41">
        <v>-0.28000000000000003</v>
      </c>
      <c r="AI90" s="42">
        <v>10</v>
      </c>
      <c r="AJ90" s="13" t="s">
        <v>1428</v>
      </c>
      <c r="AK90" s="13" t="s">
        <v>1429</v>
      </c>
      <c r="AL90" s="41">
        <v>-0.98</v>
      </c>
      <c r="AM90" s="41">
        <v>-1.3</v>
      </c>
      <c r="AN90" s="41">
        <v>7</v>
      </c>
      <c r="AO90" s="41">
        <v>7.32</v>
      </c>
      <c r="AP90" s="13">
        <v>13.7</v>
      </c>
      <c r="AQ90" s="13" t="s">
        <v>1693</v>
      </c>
      <c r="AR90" s="13" t="s">
        <v>1431</v>
      </c>
      <c r="AS90" s="13" t="s">
        <v>1731</v>
      </c>
      <c r="AT90" s="13" t="s">
        <v>1425</v>
      </c>
      <c r="AU90" s="13" t="s">
        <v>1432</v>
      </c>
      <c r="AV90" s="39">
        <v>45279</v>
      </c>
      <c r="AW90" s="13" t="s">
        <v>1732</v>
      </c>
      <c r="AY90" s="41">
        <v>-1.2</v>
      </c>
      <c r="AZ90" s="41">
        <v>17</v>
      </c>
      <c r="BA90" s="41">
        <v>11.6</v>
      </c>
      <c r="BB90" s="41">
        <v>46</v>
      </c>
      <c r="BP90" s="15"/>
      <c r="BQ90" s="15"/>
      <c r="BR90" s="15"/>
      <c r="BS90" s="15"/>
    </row>
    <row r="91" spans="1:425">
      <c r="A91" s="14">
        <v>81</v>
      </c>
      <c r="B91" s="15" t="str">
        <f>IF(ISBLANK(D[[#This Row],[CLAS_GRONDSOORT]]),"ONWAAR","WAAR")</f>
        <v>WAAR</v>
      </c>
      <c r="C91" s="15" t="str">
        <f>IF(ISBLANK(D[[#This Row],[CLAS_VN_HOOFDNAAM]]),"ONWAAR","WAAR")</f>
        <v>ONWAAR</v>
      </c>
      <c r="D91" s="15" t="str">
        <f>IF(ISBLANK(D[[#This Row],[KV_GRONDSOORT]]),"ONWAAR","WAAR")</f>
        <v>ONWAAR</v>
      </c>
      <c r="E91" s="15" t="str">
        <f>IF(ISBLANK(D[[#This Row],[CPT_QNET]]),"ONWAAR","WAAR")</f>
        <v>ONWAAR</v>
      </c>
      <c r="F91" s="15" t="str">
        <f>IF(ISBLANK(D[[#This Row],[CRS_GRONDSOORT]]),"ONWAAR","WAAR")</f>
        <v>ONWAAR</v>
      </c>
      <c r="G91" s="15" t="str">
        <f>IF(ISBLANK(D[[#This Row],[SD_GRONDSOORT]]),"ONWAAR","WAAR")</f>
        <v>ONWAAR</v>
      </c>
      <c r="H91" s="15" t="str">
        <f>IF(ISBLANK(D[[#This Row],[DSS_GRONDSOORT]]),"ONWAAR","WAAR")</f>
        <v>ONWAAR</v>
      </c>
      <c r="I91" s="15" t="str">
        <f>IF(ISBLANK(D[[#This Row],[TXT_SS_GRONDSOORT]]),"ONWAAR","WAAR")</f>
        <v>ONWAAR</v>
      </c>
      <c r="J91" s="13" t="s">
        <v>1733</v>
      </c>
      <c r="L91" s="13" t="s">
        <v>1418</v>
      </c>
      <c r="M91" s="13" t="s">
        <v>1419</v>
      </c>
      <c r="P91" s="13" t="s">
        <v>1420</v>
      </c>
      <c r="V91" s="41">
        <v>134732.76999999999</v>
      </c>
      <c r="W91" s="41">
        <v>415382.57</v>
      </c>
      <c r="X91" s="41">
        <v>6.02</v>
      </c>
      <c r="Y91" s="13" t="s">
        <v>1689</v>
      </c>
      <c r="Z91" s="13" t="s">
        <v>1422</v>
      </c>
      <c r="AA91" s="39">
        <v>45174</v>
      </c>
      <c r="AB91" s="13" t="s">
        <v>1690</v>
      </c>
      <c r="AC91" s="13" t="s">
        <v>1691</v>
      </c>
      <c r="AD91" s="13" t="s">
        <v>1425</v>
      </c>
      <c r="AE91" s="13" t="s">
        <v>1692</v>
      </c>
      <c r="AF91" s="13" t="s">
        <v>1427</v>
      </c>
      <c r="AG91" s="41">
        <v>-0.28000000000000003</v>
      </c>
      <c r="AI91" s="42">
        <v>11</v>
      </c>
      <c r="AJ91" s="13" t="s">
        <v>1428</v>
      </c>
      <c r="AK91" s="13" t="s">
        <v>1429</v>
      </c>
      <c r="AL91" s="41">
        <v>-1.48</v>
      </c>
      <c r="AM91" s="41">
        <v>-1.81</v>
      </c>
      <c r="AN91" s="41">
        <v>7.5</v>
      </c>
      <c r="AO91" s="41">
        <v>7.83</v>
      </c>
      <c r="AP91" s="13">
        <v>15.4</v>
      </c>
      <c r="AQ91" s="13" t="s">
        <v>1693</v>
      </c>
      <c r="AR91" s="13" t="s">
        <v>1431</v>
      </c>
      <c r="AS91" s="13" t="s">
        <v>1733</v>
      </c>
      <c r="AT91" s="13" t="s">
        <v>1425</v>
      </c>
      <c r="AU91" s="13" t="s">
        <v>1432</v>
      </c>
      <c r="AV91" s="39">
        <v>45279</v>
      </c>
      <c r="AW91" s="13" t="s">
        <v>1734</v>
      </c>
      <c r="AY91" s="41">
        <v>-1.71</v>
      </c>
      <c r="AZ91" s="41">
        <v>17.2</v>
      </c>
      <c r="BA91" s="41">
        <v>11.7</v>
      </c>
      <c r="BB91" s="41">
        <v>46.4</v>
      </c>
      <c r="BP91" s="15"/>
      <c r="BQ91" s="15"/>
      <c r="BR91" s="15"/>
      <c r="BS91" s="15"/>
    </row>
    <row r="92" spans="1:425">
      <c r="A92" s="14">
        <v>82</v>
      </c>
      <c r="B92" s="15" t="str">
        <f>IF(ISBLANK(D[[#This Row],[CLAS_GRONDSOORT]]),"ONWAAR","WAAR")</f>
        <v>WAAR</v>
      </c>
      <c r="C92" s="15" t="str">
        <f>IF(ISBLANK(D[[#This Row],[CLAS_VN_HOOFDNAAM]]),"ONWAAR","WAAR")</f>
        <v>ONWAAR</v>
      </c>
      <c r="D92" s="15" t="str">
        <f>IF(ISBLANK(D[[#This Row],[KV_GRONDSOORT]]),"ONWAAR","WAAR")</f>
        <v>ONWAAR</v>
      </c>
      <c r="E92" s="15" t="str">
        <f>IF(ISBLANK(D[[#This Row],[CPT_QNET]]),"ONWAAR","WAAR")</f>
        <v>ONWAAR</v>
      </c>
      <c r="F92" s="15" t="str">
        <f>IF(ISBLANK(D[[#This Row],[CRS_GRONDSOORT]]),"ONWAAR","WAAR")</f>
        <v>ONWAAR</v>
      </c>
      <c r="G92" s="15" t="str">
        <f>IF(ISBLANK(D[[#This Row],[SD_GRONDSOORT]]),"ONWAAR","WAAR")</f>
        <v>ONWAAR</v>
      </c>
      <c r="H92" s="15" t="str">
        <f>IF(ISBLANK(D[[#This Row],[DSS_GRONDSOORT]]),"ONWAAR","WAAR")</f>
        <v>ONWAAR</v>
      </c>
      <c r="I92" s="15" t="str">
        <f>IF(ISBLANK(D[[#This Row],[TXT_SS_GRONDSOORT]]),"ONWAAR","WAAR")</f>
        <v>ONWAAR</v>
      </c>
      <c r="J92" s="13" t="s">
        <v>1735</v>
      </c>
      <c r="L92" s="13" t="s">
        <v>1418</v>
      </c>
      <c r="M92" s="13" t="s">
        <v>1419</v>
      </c>
      <c r="P92" s="13" t="s">
        <v>1420</v>
      </c>
      <c r="V92" s="41">
        <v>134348.04</v>
      </c>
      <c r="W92" s="41">
        <v>415077.43</v>
      </c>
      <c r="X92" s="41">
        <v>2.2200000000000002</v>
      </c>
      <c r="Y92" s="13" t="s">
        <v>1736</v>
      </c>
      <c r="Z92" s="13" t="s">
        <v>1737</v>
      </c>
      <c r="AA92" s="39">
        <v>45174</v>
      </c>
      <c r="AB92" s="13" t="s">
        <v>1738</v>
      </c>
      <c r="AC92" s="13" t="s">
        <v>1739</v>
      </c>
      <c r="AD92" s="13" t="s">
        <v>1425</v>
      </c>
      <c r="AE92" s="13" t="s">
        <v>1692</v>
      </c>
      <c r="AF92" s="13" t="s">
        <v>1427</v>
      </c>
      <c r="AG92" s="41">
        <v>0.22</v>
      </c>
      <c r="AI92" s="42">
        <v>1</v>
      </c>
      <c r="AJ92" s="13" t="s">
        <v>1428</v>
      </c>
      <c r="AK92" s="13" t="s">
        <v>1429</v>
      </c>
      <c r="AL92" s="41">
        <v>2.2200000000000002</v>
      </c>
      <c r="AM92" s="41">
        <v>1.82</v>
      </c>
      <c r="AN92" s="41">
        <v>0</v>
      </c>
      <c r="AO92" s="41">
        <v>0.4</v>
      </c>
      <c r="AQ92" s="13" t="s">
        <v>1740</v>
      </c>
      <c r="AR92" s="13" t="s">
        <v>1431</v>
      </c>
      <c r="AS92" s="13" t="s">
        <v>1735</v>
      </c>
      <c r="AT92" s="13" t="s">
        <v>1425</v>
      </c>
      <c r="AU92" s="13" t="s">
        <v>1432</v>
      </c>
      <c r="AV92" s="39">
        <v>45279</v>
      </c>
      <c r="AW92" s="13" t="s">
        <v>1741</v>
      </c>
      <c r="AY92" s="41">
        <v>1.89</v>
      </c>
      <c r="AZ92" s="41">
        <v>18.899999999999999</v>
      </c>
      <c r="BA92" s="41">
        <v>15.5</v>
      </c>
      <c r="BB92" s="41">
        <v>22.3</v>
      </c>
      <c r="BP92" s="15"/>
      <c r="BQ92" s="15"/>
      <c r="BR92" s="15"/>
      <c r="BS92" s="15"/>
    </row>
    <row r="93" spans="1:425">
      <c r="A93" s="14">
        <v>83</v>
      </c>
      <c r="B93" s="15" t="str">
        <f>IF(ISBLANK(D[[#This Row],[CLAS_GRONDSOORT]]),"ONWAAR","WAAR")</f>
        <v>WAAR</v>
      </c>
      <c r="C93" s="15" t="str">
        <f>IF(ISBLANK(D[[#This Row],[CLAS_VN_HOOFDNAAM]]),"ONWAAR","WAAR")</f>
        <v>ONWAAR</v>
      </c>
      <c r="D93" s="15" t="str">
        <f>IF(ISBLANK(D[[#This Row],[KV_GRONDSOORT]]),"ONWAAR","WAAR")</f>
        <v>ONWAAR</v>
      </c>
      <c r="E93" s="15" t="str">
        <f>IF(ISBLANK(D[[#This Row],[CPT_QNET]]),"ONWAAR","WAAR")</f>
        <v>ONWAAR</v>
      </c>
      <c r="F93" s="15" t="str">
        <f>IF(ISBLANK(D[[#This Row],[CRS_GRONDSOORT]]),"ONWAAR","WAAR")</f>
        <v>ONWAAR</v>
      </c>
      <c r="G93" s="15" t="str">
        <f>IF(ISBLANK(D[[#This Row],[SD_GRONDSOORT]]),"ONWAAR","WAAR")</f>
        <v>ONWAAR</v>
      </c>
      <c r="H93" s="15" t="str">
        <f>IF(ISBLANK(D[[#This Row],[DSS_GRONDSOORT]]),"ONWAAR","WAAR")</f>
        <v>ONWAAR</v>
      </c>
      <c r="I93" s="15" t="str">
        <f>IF(ISBLANK(D[[#This Row],[TXT_SS_GRONDSOORT]]),"ONWAAR","WAAR")</f>
        <v>ONWAAR</v>
      </c>
      <c r="J93" s="13" t="s">
        <v>1742</v>
      </c>
      <c r="L93" s="13" t="s">
        <v>1418</v>
      </c>
      <c r="M93" s="13" t="s">
        <v>1419</v>
      </c>
      <c r="P93" s="13" t="s">
        <v>1420</v>
      </c>
      <c r="V93" s="41">
        <v>134348.04</v>
      </c>
      <c r="W93" s="41">
        <v>415077.43</v>
      </c>
      <c r="X93" s="41">
        <v>2.2200000000000002</v>
      </c>
      <c r="Y93" s="13" t="s">
        <v>1736</v>
      </c>
      <c r="Z93" s="13" t="s">
        <v>1737</v>
      </c>
      <c r="AA93" s="39">
        <v>45174</v>
      </c>
      <c r="AB93" s="13" t="s">
        <v>1738</v>
      </c>
      <c r="AC93" s="13" t="s">
        <v>1739</v>
      </c>
      <c r="AD93" s="13" t="s">
        <v>1425</v>
      </c>
      <c r="AE93" s="13" t="s">
        <v>1692</v>
      </c>
      <c r="AF93" s="13" t="s">
        <v>1427</v>
      </c>
      <c r="AG93" s="41">
        <v>0.22</v>
      </c>
      <c r="AI93" s="42">
        <v>2</v>
      </c>
      <c r="AJ93" s="13" t="s">
        <v>1428</v>
      </c>
      <c r="AK93" s="13" t="s">
        <v>1429</v>
      </c>
      <c r="AL93" s="41">
        <v>1.72</v>
      </c>
      <c r="AM93" s="41">
        <v>1.54</v>
      </c>
      <c r="AN93" s="41">
        <v>0.5</v>
      </c>
      <c r="AO93" s="41">
        <v>0.68</v>
      </c>
      <c r="AP93" s="13">
        <v>9.8000000000000007</v>
      </c>
      <c r="AQ93" s="13" t="s">
        <v>1740</v>
      </c>
      <c r="AR93" s="13" t="s">
        <v>1431</v>
      </c>
      <c r="AS93" s="13" t="s">
        <v>1742</v>
      </c>
      <c r="AT93" s="13" t="s">
        <v>1425</v>
      </c>
      <c r="AU93" s="13" t="s">
        <v>1432</v>
      </c>
      <c r="AV93" s="39">
        <v>45279</v>
      </c>
      <c r="AW93" s="13" t="s">
        <v>1743</v>
      </c>
      <c r="AY93" s="41">
        <v>1.65</v>
      </c>
      <c r="AZ93" s="41">
        <v>18.600000000000001</v>
      </c>
      <c r="BA93" s="41">
        <v>14.8</v>
      </c>
      <c r="BB93" s="41">
        <v>25.8</v>
      </c>
      <c r="BP93" s="15"/>
      <c r="BQ93" s="15"/>
      <c r="BR93" s="15"/>
      <c r="BS93" s="15"/>
    </row>
    <row r="94" spans="1:425">
      <c r="A94" s="14">
        <v>84</v>
      </c>
      <c r="B94" s="15" t="str">
        <f>IF(ISBLANK(D[[#This Row],[CLAS_GRONDSOORT]]),"ONWAAR","WAAR")</f>
        <v>WAAR</v>
      </c>
      <c r="C94" s="15" t="str">
        <f>IF(ISBLANK(D[[#This Row],[CLAS_VN_HOOFDNAAM]]),"ONWAAR","WAAR")</f>
        <v>ONWAAR</v>
      </c>
      <c r="D94" s="15" t="str">
        <f>IF(ISBLANK(D[[#This Row],[KV_GRONDSOORT]]),"ONWAAR","WAAR")</f>
        <v>ONWAAR</v>
      </c>
      <c r="E94" s="15" t="str">
        <f>IF(ISBLANK(D[[#This Row],[CPT_QNET]]),"ONWAAR","WAAR")</f>
        <v>ONWAAR</v>
      </c>
      <c r="F94" s="15" t="str">
        <f>IF(ISBLANK(D[[#This Row],[CRS_GRONDSOORT]]),"ONWAAR","WAAR")</f>
        <v>ONWAAR</v>
      </c>
      <c r="G94" s="15" t="str">
        <f>IF(ISBLANK(D[[#This Row],[SD_GRONDSOORT]]),"ONWAAR","WAAR")</f>
        <v>ONWAAR</v>
      </c>
      <c r="H94" s="15" t="str">
        <f>IF(ISBLANK(D[[#This Row],[DSS_GRONDSOORT]]),"ONWAAR","WAAR")</f>
        <v>ONWAAR</v>
      </c>
      <c r="I94" s="15" t="str">
        <f>IF(ISBLANK(D[[#This Row],[TXT_SS_GRONDSOORT]]),"ONWAAR","WAAR")</f>
        <v>ONWAAR</v>
      </c>
      <c r="J94" s="13" t="s">
        <v>1744</v>
      </c>
      <c r="L94" s="13" t="s">
        <v>1418</v>
      </c>
      <c r="M94" s="13" t="s">
        <v>1419</v>
      </c>
      <c r="P94" s="13" t="s">
        <v>1420</v>
      </c>
      <c r="V94" s="41">
        <v>134348.04</v>
      </c>
      <c r="W94" s="41">
        <v>415077.43</v>
      </c>
      <c r="X94" s="41">
        <v>2.2200000000000002</v>
      </c>
      <c r="Y94" s="13" t="s">
        <v>1736</v>
      </c>
      <c r="Z94" s="13" t="s">
        <v>1737</v>
      </c>
      <c r="AA94" s="39">
        <v>45174</v>
      </c>
      <c r="AB94" s="13" t="s">
        <v>1738</v>
      </c>
      <c r="AC94" s="13" t="s">
        <v>1739</v>
      </c>
      <c r="AD94" s="13" t="s">
        <v>1425</v>
      </c>
      <c r="AE94" s="13" t="s">
        <v>1692</v>
      </c>
      <c r="AF94" s="13" t="s">
        <v>1427</v>
      </c>
      <c r="AG94" s="41">
        <v>0.22</v>
      </c>
      <c r="AI94" s="42">
        <v>3</v>
      </c>
      <c r="AJ94" s="13" t="s">
        <v>1428</v>
      </c>
      <c r="AK94" s="13" t="s">
        <v>1429</v>
      </c>
      <c r="AL94" s="41">
        <v>1.22</v>
      </c>
      <c r="AM94" s="41">
        <v>1.04</v>
      </c>
      <c r="AN94" s="41">
        <v>1</v>
      </c>
      <c r="AO94" s="41">
        <v>1.18</v>
      </c>
      <c r="AP94" s="13">
        <v>9</v>
      </c>
      <c r="AQ94" s="13" t="s">
        <v>1740</v>
      </c>
      <c r="AR94" s="13" t="s">
        <v>1431</v>
      </c>
      <c r="AS94" s="13" t="s">
        <v>1744</v>
      </c>
      <c r="AT94" s="13" t="s">
        <v>1425</v>
      </c>
      <c r="AU94" s="13" t="s">
        <v>1432</v>
      </c>
      <c r="AV94" s="39">
        <v>45279</v>
      </c>
      <c r="AW94" s="13" t="s">
        <v>1732</v>
      </c>
      <c r="AY94" s="41">
        <v>1.1100000000000001</v>
      </c>
      <c r="AZ94" s="41">
        <v>18.2</v>
      </c>
      <c r="BA94" s="41">
        <v>13</v>
      </c>
      <c r="BB94" s="41">
        <v>39.200000000000003</v>
      </c>
      <c r="BP94" s="15"/>
      <c r="BQ94" s="15"/>
      <c r="BR94" s="15"/>
      <c r="BS94" s="15"/>
    </row>
    <row r="95" spans="1:425">
      <c r="A95" s="14">
        <v>85</v>
      </c>
      <c r="B95" s="15" t="str">
        <f>IF(ISBLANK(D[[#This Row],[CLAS_GRONDSOORT]]),"ONWAAR","WAAR")</f>
        <v>WAAR</v>
      </c>
      <c r="C95" s="15" t="str">
        <f>IF(ISBLANK(D[[#This Row],[CLAS_VN_HOOFDNAAM]]),"ONWAAR","WAAR")</f>
        <v>ONWAAR</v>
      </c>
      <c r="D95" s="15" t="str">
        <f>IF(ISBLANK(D[[#This Row],[KV_GRONDSOORT]]),"ONWAAR","WAAR")</f>
        <v>ONWAAR</v>
      </c>
      <c r="E95" s="15" t="str">
        <f>IF(ISBLANK(D[[#This Row],[CPT_QNET]]),"ONWAAR","WAAR")</f>
        <v>ONWAAR</v>
      </c>
      <c r="F95" s="15" t="str">
        <f>IF(ISBLANK(D[[#This Row],[CRS_GRONDSOORT]]),"ONWAAR","WAAR")</f>
        <v>WAAR</v>
      </c>
      <c r="G95" s="15" t="str">
        <f>IF(ISBLANK(D[[#This Row],[SD_GRONDSOORT]]),"ONWAAR","WAAR")</f>
        <v>ONWAAR</v>
      </c>
      <c r="H95" s="15" t="str">
        <f>IF(ISBLANK(D[[#This Row],[DSS_GRONDSOORT]]),"ONWAAR","WAAR")</f>
        <v>ONWAAR</v>
      </c>
      <c r="I95" s="15" t="str">
        <f>IF(ISBLANK(D[[#This Row],[TXT_SS_GRONDSOORT]]),"ONWAAR","WAAR")</f>
        <v>WAAR</v>
      </c>
      <c r="J95" s="13" t="s">
        <v>1745</v>
      </c>
      <c r="L95" s="13" t="s">
        <v>1418</v>
      </c>
      <c r="M95" s="13" t="s">
        <v>1419</v>
      </c>
      <c r="P95" s="13" t="s">
        <v>1420</v>
      </c>
      <c r="V95" s="41">
        <v>134348.04</v>
      </c>
      <c r="W95" s="41">
        <v>415077.43</v>
      </c>
      <c r="X95" s="41">
        <v>2.2200000000000002</v>
      </c>
      <c r="Y95" s="13" t="s">
        <v>1736</v>
      </c>
      <c r="Z95" s="13" t="s">
        <v>1737</v>
      </c>
      <c r="AA95" s="39">
        <v>45174</v>
      </c>
      <c r="AB95" s="13" t="s">
        <v>1738</v>
      </c>
      <c r="AC95" s="13" t="s">
        <v>1739</v>
      </c>
      <c r="AD95" s="13" t="s">
        <v>1425</v>
      </c>
      <c r="AE95" s="13" t="s">
        <v>1692</v>
      </c>
      <c r="AF95" s="13" t="s">
        <v>1427</v>
      </c>
      <c r="AG95" s="41">
        <v>0.22</v>
      </c>
      <c r="AI95" s="42">
        <v>4</v>
      </c>
      <c r="AJ95" s="13" t="s">
        <v>1428</v>
      </c>
      <c r="AK95" s="13" t="s">
        <v>1429</v>
      </c>
      <c r="AL95" s="41">
        <v>0.72</v>
      </c>
      <c r="AM95" s="41">
        <v>0.32</v>
      </c>
      <c r="AN95" s="41">
        <v>1.5</v>
      </c>
      <c r="AO95" s="41">
        <v>1.9</v>
      </c>
      <c r="AP95" s="13">
        <v>18.399999999999999</v>
      </c>
      <c r="AQ95" s="13" t="s">
        <v>1740</v>
      </c>
      <c r="AR95" s="13" t="s">
        <v>1431</v>
      </c>
      <c r="AS95" s="13" t="s">
        <v>1745</v>
      </c>
      <c r="AT95" s="13" t="s">
        <v>1425</v>
      </c>
      <c r="AU95" s="13" t="s">
        <v>1432</v>
      </c>
      <c r="AV95" s="39">
        <v>45279</v>
      </c>
      <c r="AW95" s="13" t="s">
        <v>1732</v>
      </c>
      <c r="AY95" s="41">
        <v>0.51</v>
      </c>
      <c r="AZ95" s="41">
        <v>19.899999999999999</v>
      </c>
      <c r="BA95" s="41">
        <v>15.8</v>
      </c>
      <c r="BB95" s="41">
        <v>25.8</v>
      </c>
      <c r="BP95" s="15"/>
      <c r="BQ95" s="15"/>
      <c r="BR95" s="15"/>
      <c r="BS95" s="15"/>
      <c r="EA95" s="13" t="s">
        <v>1746</v>
      </c>
      <c r="EB95" s="13" t="s">
        <v>1747</v>
      </c>
      <c r="EC95" s="13" t="s">
        <v>1748</v>
      </c>
      <c r="ED95" s="13" t="s">
        <v>1454</v>
      </c>
      <c r="EE95" s="13" t="s">
        <v>1455</v>
      </c>
      <c r="EF95" s="39">
        <v>45201</v>
      </c>
      <c r="EG95" s="13" t="s">
        <v>1456</v>
      </c>
      <c r="EI95" s="41">
        <v>0.62</v>
      </c>
      <c r="EJ95" s="41">
        <v>31.9</v>
      </c>
      <c r="EK95" s="41">
        <v>18.21</v>
      </c>
      <c r="EL95" s="41">
        <v>14.04</v>
      </c>
      <c r="EM95" s="41">
        <v>29.64</v>
      </c>
      <c r="EN95" s="41">
        <v>24.17</v>
      </c>
      <c r="EO95" s="41">
        <v>91.19</v>
      </c>
      <c r="EP95" s="13">
        <v>21.7</v>
      </c>
      <c r="EQ95" s="13">
        <v>19.8</v>
      </c>
      <c r="ER95" s="13">
        <v>65.349999999999994</v>
      </c>
      <c r="ES95" s="41">
        <v>19</v>
      </c>
      <c r="ET95" s="41">
        <v>18.920000000000002</v>
      </c>
      <c r="EU95" s="41">
        <v>16.350000000000001</v>
      </c>
      <c r="EV95" s="13">
        <v>0.5</v>
      </c>
      <c r="EW95" s="44">
        <v>-0.2</v>
      </c>
      <c r="EX95" s="13">
        <v>16</v>
      </c>
      <c r="EY95" s="41">
        <v>184.8</v>
      </c>
      <c r="EZ95" s="41">
        <v>146.6</v>
      </c>
      <c r="FA95" s="41">
        <v>113</v>
      </c>
      <c r="FB95" s="41">
        <v>62.21</v>
      </c>
      <c r="FC95" s="41">
        <v>506.6</v>
      </c>
      <c r="FD95" s="41">
        <v>4.42</v>
      </c>
      <c r="FE95" s="41">
        <v>66.739999999999995</v>
      </c>
      <c r="FF95" s="41">
        <v>3.28</v>
      </c>
      <c r="FG95" s="41">
        <v>217.1</v>
      </c>
      <c r="FH95" s="45">
        <v>5.0000000000000001E-4</v>
      </c>
      <c r="FI95" s="45">
        <v>5.5899999999999998E-2</v>
      </c>
      <c r="FJ95" s="45">
        <v>2.7000000000000001E-3</v>
      </c>
      <c r="NH95" s="13" t="s">
        <v>1749</v>
      </c>
      <c r="NI95" s="13" t="s">
        <v>1750</v>
      </c>
      <c r="NJ95" s="13" t="s">
        <v>1751</v>
      </c>
      <c r="NK95" s="13" t="s">
        <v>1454</v>
      </c>
      <c r="NL95" s="13" t="s">
        <v>1461</v>
      </c>
      <c r="NM95" s="39">
        <v>45212</v>
      </c>
      <c r="NN95" s="13" t="s">
        <v>1456</v>
      </c>
      <c r="NP95" s="41">
        <v>0.51</v>
      </c>
      <c r="NQ95" s="41">
        <v>31.9</v>
      </c>
      <c r="NR95" s="41">
        <v>19.899999999999999</v>
      </c>
      <c r="NS95" s="41">
        <v>15.83</v>
      </c>
      <c r="NT95" s="41">
        <v>24.87</v>
      </c>
      <c r="NU95" s="41">
        <v>25.75</v>
      </c>
      <c r="NV95" s="41">
        <v>107.67</v>
      </c>
      <c r="NW95" s="41">
        <v>0.63</v>
      </c>
      <c r="NX95" s="44">
        <v>2626</v>
      </c>
      <c r="NY95" s="44">
        <v>21.3</v>
      </c>
      <c r="NZ95" s="44">
        <v>21.3</v>
      </c>
      <c r="OA95" s="44">
        <v>50</v>
      </c>
      <c r="OB95" s="44">
        <v>100</v>
      </c>
      <c r="OC95" s="41" t="s">
        <v>1463</v>
      </c>
      <c r="OD95" s="41" t="s">
        <v>1464</v>
      </c>
      <c r="OE95" s="41" t="s">
        <v>1465</v>
      </c>
      <c r="OF95" s="43">
        <v>299</v>
      </c>
      <c r="OG95" s="41" t="s">
        <v>1466</v>
      </c>
      <c r="OH95" s="41">
        <v>0.71</v>
      </c>
      <c r="OI95" s="41" t="s">
        <v>1467</v>
      </c>
      <c r="OJ95" s="41">
        <v>22.8</v>
      </c>
      <c r="OK95" s="41">
        <v>0.8</v>
      </c>
      <c r="OL95" s="41">
        <v>26.32</v>
      </c>
      <c r="OM95" s="41">
        <v>4.72</v>
      </c>
      <c r="ON95" s="41">
        <v>26.32</v>
      </c>
      <c r="OO95" s="41">
        <v>4.72</v>
      </c>
      <c r="OP95" s="43">
        <v>1</v>
      </c>
      <c r="OQ95" s="41">
        <v>0.66</v>
      </c>
      <c r="OR95" s="41">
        <v>2.89</v>
      </c>
      <c r="OS95" s="41" t="s">
        <v>1468</v>
      </c>
      <c r="OT95" s="41">
        <v>0.97</v>
      </c>
      <c r="OU95" s="41">
        <v>32</v>
      </c>
      <c r="OV95" s="41">
        <v>21.6</v>
      </c>
      <c r="OW95" s="41">
        <v>41.72</v>
      </c>
      <c r="OX95" s="41">
        <v>28.52</v>
      </c>
      <c r="OY95" s="41">
        <v>58.99</v>
      </c>
      <c r="OZ95" s="41">
        <v>36.29</v>
      </c>
      <c r="PA95" s="41">
        <v>62.23</v>
      </c>
      <c r="PB95" s="41">
        <v>37.130000000000003</v>
      </c>
      <c r="PC95" s="41">
        <v>21.34</v>
      </c>
      <c r="PD95" s="41">
        <v>63.28</v>
      </c>
      <c r="PE95" s="41">
        <v>36.880000000000003</v>
      </c>
      <c r="PF95" s="43">
        <v>25</v>
      </c>
      <c r="PG95" s="41">
        <v>1.83</v>
      </c>
      <c r="PH95" s="41">
        <v>1.77</v>
      </c>
      <c r="PI95" s="41">
        <v>-0.05</v>
      </c>
    </row>
    <row r="96" spans="1:425">
      <c r="A96" s="14">
        <v>86</v>
      </c>
      <c r="B96" s="15" t="str">
        <f>IF(ISBLANK(D[[#This Row],[CLAS_GRONDSOORT]]),"ONWAAR","WAAR")</f>
        <v>WAAR</v>
      </c>
      <c r="C96" s="15" t="str">
        <f>IF(ISBLANK(D[[#This Row],[CLAS_VN_HOOFDNAAM]]),"ONWAAR","WAAR")</f>
        <v>ONWAAR</v>
      </c>
      <c r="D96" s="15" t="str">
        <f>IF(ISBLANK(D[[#This Row],[KV_GRONDSOORT]]),"ONWAAR","WAAR")</f>
        <v>ONWAAR</v>
      </c>
      <c r="E96" s="15" t="str">
        <f>IF(ISBLANK(D[[#This Row],[CPT_QNET]]),"ONWAAR","WAAR")</f>
        <v>ONWAAR</v>
      </c>
      <c r="F96" s="15" t="str">
        <f>IF(ISBLANK(D[[#This Row],[CRS_GRONDSOORT]]),"ONWAAR","WAAR")</f>
        <v>ONWAAR</v>
      </c>
      <c r="G96" s="15" t="str">
        <f>IF(ISBLANK(D[[#This Row],[SD_GRONDSOORT]]),"ONWAAR","WAAR")</f>
        <v>ONWAAR</v>
      </c>
      <c r="H96" s="15" t="str">
        <f>IF(ISBLANK(D[[#This Row],[DSS_GRONDSOORT]]),"ONWAAR","WAAR")</f>
        <v>ONWAAR</v>
      </c>
      <c r="I96" s="15" t="str">
        <f>IF(ISBLANK(D[[#This Row],[TXT_SS_GRONDSOORT]]),"ONWAAR","WAAR")</f>
        <v>WAAR</v>
      </c>
      <c r="J96" s="13" t="s">
        <v>1752</v>
      </c>
      <c r="L96" s="13" t="s">
        <v>1418</v>
      </c>
      <c r="M96" s="13" t="s">
        <v>1419</v>
      </c>
      <c r="P96" s="13" t="s">
        <v>1420</v>
      </c>
      <c r="V96" s="41">
        <v>134348.04</v>
      </c>
      <c r="W96" s="41">
        <v>415077.43</v>
      </c>
      <c r="X96" s="41">
        <v>2.2200000000000002</v>
      </c>
      <c r="Y96" s="13" t="s">
        <v>1736</v>
      </c>
      <c r="Z96" s="13" t="s">
        <v>1737</v>
      </c>
      <c r="AA96" s="39">
        <v>45174</v>
      </c>
      <c r="AB96" s="13" t="s">
        <v>1738</v>
      </c>
      <c r="AC96" s="13" t="s">
        <v>1739</v>
      </c>
      <c r="AD96" s="13" t="s">
        <v>1425</v>
      </c>
      <c r="AE96" s="13" t="s">
        <v>1692</v>
      </c>
      <c r="AF96" s="13" t="s">
        <v>1427</v>
      </c>
      <c r="AG96" s="41">
        <v>0.22</v>
      </c>
      <c r="AI96" s="42">
        <v>5</v>
      </c>
      <c r="AJ96" s="13" t="s">
        <v>1428</v>
      </c>
      <c r="AK96" s="13" t="s">
        <v>1429</v>
      </c>
      <c r="AL96" s="41">
        <v>0.22</v>
      </c>
      <c r="AM96" s="41">
        <v>7.0000000000000007E-2</v>
      </c>
      <c r="AN96" s="41">
        <v>2</v>
      </c>
      <c r="AO96" s="41">
        <v>2.15</v>
      </c>
      <c r="AP96" s="13">
        <v>6.5</v>
      </c>
      <c r="AQ96" s="13" t="s">
        <v>1740</v>
      </c>
      <c r="AR96" s="13" t="s">
        <v>1431</v>
      </c>
      <c r="AS96" s="13" t="s">
        <v>1752</v>
      </c>
      <c r="AT96" s="13" t="s">
        <v>1425</v>
      </c>
      <c r="AU96" s="13" t="s">
        <v>1432</v>
      </c>
      <c r="AV96" s="39">
        <v>45279</v>
      </c>
      <c r="AW96" s="13" t="s">
        <v>1753</v>
      </c>
      <c r="AY96" s="41">
        <v>-0.04</v>
      </c>
      <c r="AZ96" s="41">
        <v>17.7</v>
      </c>
      <c r="BA96" s="41">
        <v>12.5</v>
      </c>
      <c r="BB96" s="41">
        <v>42.3</v>
      </c>
      <c r="BP96" s="15"/>
      <c r="BQ96" s="15"/>
      <c r="BR96" s="15"/>
      <c r="BS96" s="15"/>
      <c r="NH96" s="13" t="s">
        <v>1754</v>
      </c>
      <c r="NI96" s="13" t="s">
        <v>1755</v>
      </c>
      <c r="NJ96" s="13" t="s">
        <v>1756</v>
      </c>
      <c r="NK96" s="13" t="s">
        <v>1454</v>
      </c>
      <c r="NL96" s="13" t="s">
        <v>1461</v>
      </c>
      <c r="NM96" s="39">
        <v>45198</v>
      </c>
      <c r="NN96" s="13" t="s">
        <v>1456</v>
      </c>
      <c r="NP96" s="41">
        <v>-0.04</v>
      </c>
      <c r="NQ96" s="41">
        <v>39</v>
      </c>
      <c r="NR96" s="41">
        <v>17.73</v>
      </c>
      <c r="NS96" s="41">
        <v>12.46</v>
      </c>
      <c r="NT96" s="41">
        <v>36.229999999999997</v>
      </c>
      <c r="NU96" s="41">
        <v>42.25</v>
      </c>
      <c r="NV96" s="41">
        <v>103.98</v>
      </c>
      <c r="NW96" s="41">
        <v>1.07</v>
      </c>
      <c r="NX96" s="44">
        <v>2625</v>
      </c>
      <c r="NY96" s="44">
        <v>21.3</v>
      </c>
      <c r="NZ96" s="44">
        <v>21.3</v>
      </c>
      <c r="OA96" s="44">
        <v>50</v>
      </c>
      <c r="OB96" s="44">
        <v>100</v>
      </c>
      <c r="OC96" s="41" t="s">
        <v>1463</v>
      </c>
      <c r="OD96" s="41" t="s">
        <v>1464</v>
      </c>
      <c r="OE96" s="41" t="s">
        <v>1465</v>
      </c>
      <c r="OF96" s="43">
        <v>299</v>
      </c>
      <c r="OG96" s="41" t="s">
        <v>1466</v>
      </c>
      <c r="OH96" s="41">
        <v>0.93</v>
      </c>
      <c r="OI96" s="41" t="s">
        <v>1467</v>
      </c>
      <c r="OJ96" s="41">
        <v>35.76</v>
      </c>
      <c r="OK96" s="41">
        <v>0.76</v>
      </c>
      <c r="OL96" s="41">
        <v>35.83</v>
      </c>
      <c r="OM96" s="41">
        <v>1.75</v>
      </c>
      <c r="ON96" s="41">
        <v>35.83</v>
      </c>
      <c r="OO96" s="41">
        <v>1.75</v>
      </c>
      <c r="OP96" s="43">
        <v>1</v>
      </c>
      <c r="OQ96" s="41">
        <v>1.23</v>
      </c>
      <c r="OR96" s="41">
        <v>6.8</v>
      </c>
      <c r="OS96" s="41" t="s">
        <v>1468</v>
      </c>
      <c r="OT96" s="41">
        <v>0.97</v>
      </c>
      <c r="OU96" s="41">
        <v>37.770000000000003</v>
      </c>
      <c r="OV96" s="41">
        <v>21.59</v>
      </c>
      <c r="OW96" s="41">
        <v>40.090000000000003</v>
      </c>
      <c r="OX96" s="41">
        <v>23.71</v>
      </c>
      <c r="OY96" s="41">
        <v>43.78</v>
      </c>
      <c r="OZ96" s="41">
        <v>23.9</v>
      </c>
      <c r="PA96" s="41">
        <v>43.25</v>
      </c>
      <c r="PB96" s="41">
        <v>24.27</v>
      </c>
      <c r="PC96" s="41">
        <v>11.89</v>
      </c>
      <c r="PD96" s="41">
        <v>44.06</v>
      </c>
      <c r="PE96" s="41">
        <v>22.28</v>
      </c>
      <c r="PF96" s="43">
        <v>25</v>
      </c>
      <c r="PG96" s="41">
        <v>10.58</v>
      </c>
      <c r="PH96" s="41">
        <v>0.21</v>
      </c>
      <c r="PI96" s="41">
        <v>0.31</v>
      </c>
    </row>
    <row r="97" spans="1:425">
      <c r="A97" s="14">
        <v>87</v>
      </c>
      <c r="B97" s="15" t="str">
        <f>IF(ISBLANK(D[[#This Row],[CLAS_GRONDSOORT]]),"ONWAAR","WAAR")</f>
        <v>WAAR</v>
      </c>
      <c r="C97" s="15" t="str">
        <f>IF(ISBLANK(D[[#This Row],[CLAS_VN_HOOFDNAAM]]),"ONWAAR","WAAR")</f>
        <v>ONWAAR</v>
      </c>
      <c r="D97" s="15" t="str">
        <f>IF(ISBLANK(D[[#This Row],[KV_GRONDSOORT]]),"ONWAAR","WAAR")</f>
        <v>ONWAAR</v>
      </c>
      <c r="E97" s="15" t="str">
        <f>IF(ISBLANK(D[[#This Row],[CPT_QNET]]),"ONWAAR","WAAR")</f>
        <v>ONWAAR</v>
      </c>
      <c r="F97" s="15" t="str">
        <f>IF(ISBLANK(D[[#This Row],[CRS_GRONDSOORT]]),"ONWAAR","WAAR")</f>
        <v>ONWAAR</v>
      </c>
      <c r="G97" s="15" t="str">
        <f>IF(ISBLANK(D[[#This Row],[SD_GRONDSOORT]]),"ONWAAR","WAAR")</f>
        <v>ONWAAR</v>
      </c>
      <c r="H97" s="15" t="str">
        <f>IF(ISBLANK(D[[#This Row],[DSS_GRONDSOORT]]),"ONWAAR","WAAR")</f>
        <v>ONWAAR</v>
      </c>
      <c r="I97" s="15" t="str">
        <f>IF(ISBLANK(D[[#This Row],[TXT_SS_GRONDSOORT]]),"ONWAAR","WAAR")</f>
        <v>WAAR</v>
      </c>
      <c r="J97" s="13" t="s">
        <v>1757</v>
      </c>
      <c r="L97" s="13" t="s">
        <v>1418</v>
      </c>
      <c r="M97" s="13" t="s">
        <v>1419</v>
      </c>
      <c r="P97" s="13" t="s">
        <v>1420</v>
      </c>
      <c r="V97" s="41">
        <v>134348.04</v>
      </c>
      <c r="W97" s="41">
        <v>415077.43</v>
      </c>
      <c r="X97" s="41">
        <v>2.2200000000000002</v>
      </c>
      <c r="Y97" s="13" t="s">
        <v>1736</v>
      </c>
      <c r="Z97" s="13" t="s">
        <v>1737</v>
      </c>
      <c r="AA97" s="39">
        <v>45174</v>
      </c>
      <c r="AB97" s="13" t="s">
        <v>1738</v>
      </c>
      <c r="AC97" s="13" t="s">
        <v>1739</v>
      </c>
      <c r="AD97" s="13" t="s">
        <v>1425</v>
      </c>
      <c r="AE97" s="13" t="s">
        <v>1692</v>
      </c>
      <c r="AF97" s="13" t="s">
        <v>1427</v>
      </c>
      <c r="AG97" s="41">
        <v>0.22</v>
      </c>
      <c r="AI97" s="42" t="s">
        <v>1758</v>
      </c>
      <c r="AJ97" s="13" t="s">
        <v>1428</v>
      </c>
      <c r="AK97" s="13" t="s">
        <v>1429</v>
      </c>
      <c r="AL97" s="41">
        <v>-0.28000000000000003</v>
      </c>
      <c r="AM97" s="41">
        <v>-0.53</v>
      </c>
      <c r="AN97" s="41">
        <v>2.5</v>
      </c>
      <c r="AO97" s="41">
        <v>2.75</v>
      </c>
      <c r="AP97" s="13">
        <v>12.8</v>
      </c>
      <c r="AQ97" s="13" t="s">
        <v>1740</v>
      </c>
      <c r="AR97" s="13" t="s">
        <v>1431</v>
      </c>
      <c r="AS97" s="13" t="s">
        <v>1757</v>
      </c>
      <c r="AT97" s="13" t="s">
        <v>1425</v>
      </c>
      <c r="AU97" s="13" t="s">
        <v>1432</v>
      </c>
      <c r="AV97" s="39">
        <v>45279</v>
      </c>
      <c r="AW97" s="13" t="s">
        <v>1753</v>
      </c>
      <c r="AY97" s="41">
        <v>-0.43</v>
      </c>
      <c r="AZ97" s="41">
        <v>14.4</v>
      </c>
      <c r="BA97" s="41">
        <v>7.6</v>
      </c>
      <c r="BB97" s="41">
        <v>90</v>
      </c>
      <c r="BP97" s="15"/>
      <c r="BQ97" s="15"/>
      <c r="BR97" s="15"/>
      <c r="BS97" s="15"/>
      <c r="NH97" s="13" t="s">
        <v>1759</v>
      </c>
      <c r="NI97" s="13" t="s">
        <v>1760</v>
      </c>
      <c r="NJ97" s="13" t="s">
        <v>1761</v>
      </c>
      <c r="NK97" s="13" t="s">
        <v>1454</v>
      </c>
      <c r="NL97" s="13" t="s">
        <v>1461</v>
      </c>
      <c r="NM97" s="39">
        <v>45212</v>
      </c>
      <c r="NN97" s="13" t="s">
        <v>1456</v>
      </c>
      <c r="NO97" s="13" t="s">
        <v>1762</v>
      </c>
      <c r="NP97" s="41">
        <v>-0.43</v>
      </c>
      <c r="NQ97" s="41">
        <v>43</v>
      </c>
      <c r="NR97" s="41">
        <v>14.38</v>
      </c>
      <c r="NS97" s="41">
        <v>7.56</v>
      </c>
      <c r="NT97" s="41">
        <v>85.25</v>
      </c>
      <c r="NU97" s="41">
        <v>90.04</v>
      </c>
      <c r="NV97" s="41">
        <v>120.68</v>
      </c>
      <c r="NW97" s="41">
        <v>1.35</v>
      </c>
      <c r="NX97" s="44">
        <v>1815</v>
      </c>
      <c r="NY97" s="44">
        <v>21.3</v>
      </c>
      <c r="NZ97" s="44">
        <v>21.3</v>
      </c>
      <c r="OA97" s="44">
        <v>50</v>
      </c>
      <c r="OB97" s="44">
        <v>100</v>
      </c>
      <c r="OC97" s="41" t="s">
        <v>1463</v>
      </c>
      <c r="OD97" s="41" t="s">
        <v>1464</v>
      </c>
      <c r="OE97" s="41" t="s">
        <v>1465</v>
      </c>
      <c r="OF97" s="43">
        <v>299</v>
      </c>
      <c r="OG97" s="41" t="s">
        <v>1466</v>
      </c>
      <c r="OH97" s="41">
        <v>0.94</v>
      </c>
      <c r="OI97" s="41" t="s">
        <v>1467</v>
      </c>
      <c r="OJ97" s="41">
        <v>39.700000000000003</v>
      </c>
      <c r="OK97" s="41">
        <v>0.7</v>
      </c>
      <c r="OL97" s="41">
        <v>39.909999999999997</v>
      </c>
      <c r="OM97" s="41">
        <v>1.53</v>
      </c>
      <c r="ON97" s="41">
        <v>39.909999999999997</v>
      </c>
      <c r="OO97" s="41">
        <v>1.53</v>
      </c>
      <c r="OP97" s="43">
        <v>1</v>
      </c>
      <c r="OQ97" s="41">
        <v>1.81</v>
      </c>
      <c r="OR97" s="41">
        <v>4.59</v>
      </c>
      <c r="OS97" s="41" t="s">
        <v>1468</v>
      </c>
      <c r="OT97" s="41">
        <v>0.46</v>
      </c>
      <c r="OU97" s="41">
        <v>37.18</v>
      </c>
      <c r="OV97" s="41">
        <v>24.41</v>
      </c>
      <c r="OW97" s="41">
        <v>40.42</v>
      </c>
      <c r="OX97" s="41">
        <v>33.44</v>
      </c>
      <c r="OY97" s="41">
        <v>37.78</v>
      </c>
      <c r="OZ97" s="41">
        <v>28.4</v>
      </c>
      <c r="PA97" s="41">
        <v>41.13</v>
      </c>
      <c r="PB97" s="41">
        <v>34.26</v>
      </c>
      <c r="PC97" s="41">
        <v>6.62</v>
      </c>
      <c r="PD97" s="41">
        <v>31.73</v>
      </c>
      <c r="PE97" s="41">
        <v>22.05</v>
      </c>
      <c r="PF97" s="43">
        <v>25</v>
      </c>
      <c r="PG97" s="41">
        <v>3.28</v>
      </c>
      <c r="PH97" s="41">
        <v>1</v>
      </c>
      <c r="PI97" s="41">
        <v>0.46</v>
      </c>
    </row>
    <row r="98" spans="1:425">
      <c r="A98" s="14">
        <v>88</v>
      </c>
      <c r="B98" s="15" t="str">
        <f>IF(ISBLANK(D[[#This Row],[CLAS_GRONDSOORT]]),"ONWAAR","WAAR")</f>
        <v>WAAR</v>
      </c>
      <c r="C98" s="15" t="str">
        <f>IF(ISBLANK(D[[#This Row],[CLAS_VN_HOOFDNAAM]]),"ONWAAR","WAAR")</f>
        <v>ONWAAR</v>
      </c>
      <c r="D98" s="15" t="str">
        <f>IF(ISBLANK(D[[#This Row],[KV_GRONDSOORT]]),"ONWAAR","WAAR")</f>
        <v>ONWAAR</v>
      </c>
      <c r="E98" s="15" t="str">
        <f>IF(ISBLANK(D[[#This Row],[CPT_QNET]]),"ONWAAR","WAAR")</f>
        <v>ONWAAR</v>
      </c>
      <c r="F98" s="15" t="str">
        <f>IF(ISBLANK(D[[#This Row],[CRS_GRONDSOORT]]),"ONWAAR","WAAR")</f>
        <v>ONWAAR</v>
      </c>
      <c r="G98" s="15" t="str">
        <f>IF(ISBLANK(D[[#This Row],[SD_GRONDSOORT]]),"ONWAAR","WAAR")</f>
        <v>ONWAAR</v>
      </c>
      <c r="H98" s="15" t="str">
        <f>IF(ISBLANK(D[[#This Row],[DSS_GRONDSOORT]]),"ONWAAR","WAAR")</f>
        <v>WAAR</v>
      </c>
      <c r="I98" s="15" t="str">
        <f>IF(ISBLANK(D[[#This Row],[TXT_SS_GRONDSOORT]]),"ONWAAR","WAAR")</f>
        <v>ONWAAR</v>
      </c>
      <c r="J98" s="13" t="s">
        <v>1763</v>
      </c>
      <c r="L98" s="13" t="s">
        <v>1418</v>
      </c>
      <c r="M98" s="13" t="s">
        <v>1419</v>
      </c>
      <c r="P98" s="13" t="s">
        <v>1420</v>
      </c>
      <c r="V98" s="41">
        <v>134348.04</v>
      </c>
      <c r="W98" s="41">
        <v>415077.43</v>
      </c>
      <c r="X98" s="41">
        <v>2.2200000000000002</v>
      </c>
      <c r="Y98" s="13" t="s">
        <v>1736</v>
      </c>
      <c r="Z98" s="13" t="s">
        <v>1737</v>
      </c>
      <c r="AA98" s="39">
        <v>45174</v>
      </c>
      <c r="AB98" s="13" t="s">
        <v>1738</v>
      </c>
      <c r="AC98" s="13" t="s">
        <v>1739</v>
      </c>
      <c r="AD98" s="13" t="s">
        <v>1425</v>
      </c>
      <c r="AE98" s="13" t="s">
        <v>1692</v>
      </c>
      <c r="AF98" s="13" t="s">
        <v>1427</v>
      </c>
      <c r="AG98" s="41">
        <v>0.22</v>
      </c>
      <c r="AI98" s="42" t="s">
        <v>1764</v>
      </c>
      <c r="AJ98" s="13" t="s">
        <v>1428</v>
      </c>
      <c r="AK98" s="13" t="s">
        <v>1429</v>
      </c>
      <c r="AL98" s="41">
        <v>-0.53</v>
      </c>
      <c r="AM98" s="41">
        <v>-0.68</v>
      </c>
      <c r="AN98" s="41">
        <v>2.75</v>
      </c>
      <c r="AO98" s="41">
        <v>2.9</v>
      </c>
      <c r="AQ98" s="13" t="s">
        <v>1740</v>
      </c>
      <c r="AR98" s="13" t="s">
        <v>1431</v>
      </c>
      <c r="AS98" s="13" t="s">
        <v>1763</v>
      </c>
      <c r="AT98" s="13" t="s">
        <v>1425</v>
      </c>
      <c r="AU98" s="13" t="s">
        <v>1432</v>
      </c>
      <c r="AV98" s="39">
        <v>45279</v>
      </c>
      <c r="AW98" s="13" t="s">
        <v>1765</v>
      </c>
      <c r="AY98" s="41">
        <v>-0.61</v>
      </c>
      <c r="AZ98" s="41"/>
      <c r="BA98" s="41"/>
      <c r="BB98" s="41"/>
      <c r="BP98" s="15"/>
      <c r="BQ98" s="15"/>
      <c r="BR98" s="15"/>
      <c r="BS98" s="15"/>
      <c r="LG98" s="13" t="s">
        <v>1766</v>
      </c>
      <c r="LH98" s="13" t="s">
        <v>1767</v>
      </c>
      <c r="LI98" s="13" t="s">
        <v>1763</v>
      </c>
      <c r="LJ98" s="13" t="s">
        <v>1576</v>
      </c>
      <c r="LK98" s="13" t="s">
        <v>1577</v>
      </c>
      <c r="LL98" s="39">
        <v>45201</v>
      </c>
      <c r="LM98" s="13" t="s">
        <v>1572</v>
      </c>
      <c r="LN98" s="13" t="s">
        <v>1573</v>
      </c>
      <c r="LO98" s="41">
        <v>-0.57999999999999996</v>
      </c>
      <c r="LP98" s="41">
        <v>43</v>
      </c>
      <c r="LQ98" s="41">
        <v>10.45</v>
      </c>
      <c r="LR98" s="41">
        <v>2.91</v>
      </c>
      <c r="LS98" s="41">
        <v>259.5</v>
      </c>
      <c r="LT98" s="41">
        <v>269.39999999999998</v>
      </c>
      <c r="LU98" s="41">
        <v>0.91890000000000005</v>
      </c>
      <c r="LV98" s="41">
        <v>5.1280000000000001</v>
      </c>
      <c r="LW98" s="41">
        <v>4.13</v>
      </c>
      <c r="LX98" s="44">
        <v>1815.8</v>
      </c>
      <c r="LY98" s="44">
        <v>21.7</v>
      </c>
      <c r="LZ98" s="44">
        <v>19.8</v>
      </c>
      <c r="MA98" s="41">
        <v>65.319999999999993</v>
      </c>
      <c r="MB98" s="41">
        <v>27.93</v>
      </c>
      <c r="MC98" s="41">
        <v>23.38</v>
      </c>
      <c r="MD98" s="41" t="s">
        <v>1578</v>
      </c>
      <c r="ME98" s="41" t="s">
        <v>1579</v>
      </c>
      <c r="MF98" s="41">
        <v>43.09</v>
      </c>
      <c r="MG98" s="41">
        <v>43</v>
      </c>
      <c r="MH98" s="43">
        <v>1.002</v>
      </c>
      <c r="MI98" s="41">
        <v>16.29</v>
      </c>
      <c r="MJ98" s="43">
        <v>1</v>
      </c>
      <c r="MK98" s="41">
        <v>24.64</v>
      </c>
      <c r="ML98" s="41">
        <v>4.4000000000000004</v>
      </c>
      <c r="MM98" s="41">
        <v>1.0289999999999999</v>
      </c>
      <c r="MN98" s="41">
        <v>40.76</v>
      </c>
      <c r="MO98" s="41">
        <v>11.59</v>
      </c>
      <c r="MP98" s="41">
        <v>39.21</v>
      </c>
      <c r="MQ98" s="41">
        <v>15.56</v>
      </c>
      <c r="MR98" s="41">
        <v>38.380000000000003</v>
      </c>
      <c r="MS98" s="41">
        <v>20.02</v>
      </c>
      <c r="MT98" s="41">
        <v>37.03</v>
      </c>
      <c r="MU98" s="41">
        <v>21.2</v>
      </c>
      <c r="MV98" s="41">
        <v>37.03</v>
      </c>
      <c r="MW98" s="41">
        <v>22.4</v>
      </c>
      <c r="MX98" s="41">
        <v>37.42</v>
      </c>
      <c r="MY98" s="41">
        <v>23.13</v>
      </c>
      <c r="MZ98" s="41">
        <v>23.29</v>
      </c>
      <c r="NA98" s="41">
        <v>35.479999999999997</v>
      </c>
      <c r="NB98" s="41">
        <v>22.27</v>
      </c>
      <c r="NC98" s="41">
        <v>44</v>
      </c>
      <c r="NG98" s="41">
        <v>587.9</v>
      </c>
    </row>
    <row r="99" spans="1:425">
      <c r="A99" s="14">
        <v>89</v>
      </c>
      <c r="B99" s="15" t="str">
        <f>IF(ISBLANK(D[[#This Row],[CLAS_GRONDSOORT]]),"ONWAAR","WAAR")</f>
        <v>WAAR</v>
      </c>
      <c r="C99" s="15" t="str">
        <f>IF(ISBLANK(D[[#This Row],[CLAS_VN_HOOFDNAAM]]),"ONWAAR","WAAR")</f>
        <v>ONWAAR</v>
      </c>
      <c r="D99" s="15" t="str">
        <f>IF(ISBLANK(D[[#This Row],[KV_GRONDSOORT]]),"ONWAAR","WAAR")</f>
        <v>ONWAAR</v>
      </c>
      <c r="E99" s="15" t="str">
        <f>IF(ISBLANK(D[[#This Row],[CPT_QNET]]),"ONWAAR","WAAR")</f>
        <v>ONWAAR</v>
      </c>
      <c r="F99" s="15" t="str">
        <f>IF(ISBLANK(D[[#This Row],[CRS_GRONDSOORT]]),"ONWAAR","WAAR")</f>
        <v>ONWAAR</v>
      </c>
      <c r="G99" s="15" t="str">
        <f>IF(ISBLANK(D[[#This Row],[SD_GRONDSOORT]]),"ONWAAR","WAAR")</f>
        <v>ONWAAR</v>
      </c>
      <c r="H99" s="15" t="str">
        <f>IF(ISBLANK(D[[#This Row],[DSS_GRONDSOORT]]),"ONWAAR","WAAR")</f>
        <v>ONWAAR</v>
      </c>
      <c r="I99" s="15" t="str">
        <f>IF(ISBLANK(D[[#This Row],[TXT_SS_GRONDSOORT]]),"ONWAAR","WAAR")</f>
        <v>ONWAAR</v>
      </c>
      <c r="J99" s="13" t="s">
        <v>1768</v>
      </c>
      <c r="L99" s="13" t="s">
        <v>1418</v>
      </c>
      <c r="M99" s="13" t="s">
        <v>1419</v>
      </c>
      <c r="P99" s="13" t="s">
        <v>1420</v>
      </c>
      <c r="V99" s="41">
        <v>134348.04</v>
      </c>
      <c r="W99" s="41">
        <v>415077.43</v>
      </c>
      <c r="X99" s="41">
        <v>2.2200000000000002</v>
      </c>
      <c r="Y99" s="13" t="s">
        <v>1736</v>
      </c>
      <c r="Z99" s="13" t="s">
        <v>1737</v>
      </c>
      <c r="AA99" s="39">
        <v>45174</v>
      </c>
      <c r="AB99" s="13" t="s">
        <v>1738</v>
      </c>
      <c r="AC99" s="13" t="s">
        <v>1739</v>
      </c>
      <c r="AD99" s="13" t="s">
        <v>1425</v>
      </c>
      <c r="AE99" s="13" t="s">
        <v>1692</v>
      </c>
      <c r="AF99" s="13" t="s">
        <v>1427</v>
      </c>
      <c r="AG99" s="41">
        <v>0.22</v>
      </c>
      <c r="AI99" s="42" t="s">
        <v>1501</v>
      </c>
      <c r="AJ99" s="13" t="s">
        <v>1428</v>
      </c>
      <c r="AK99" s="13" t="s">
        <v>1429</v>
      </c>
      <c r="AL99" s="41">
        <v>-0.78</v>
      </c>
      <c r="AM99" s="41">
        <v>-1.03</v>
      </c>
      <c r="AN99" s="41">
        <v>3</v>
      </c>
      <c r="AO99" s="41">
        <v>3.25</v>
      </c>
      <c r="AP99" s="13">
        <v>12</v>
      </c>
      <c r="AQ99" s="13" t="s">
        <v>1740</v>
      </c>
      <c r="AR99" s="13" t="s">
        <v>1431</v>
      </c>
      <c r="AS99" s="13" t="s">
        <v>1768</v>
      </c>
      <c r="AT99" s="13" t="s">
        <v>1425</v>
      </c>
      <c r="AU99" s="13" t="s">
        <v>1432</v>
      </c>
      <c r="AV99" s="39">
        <v>45279</v>
      </c>
      <c r="AW99" s="13" t="s">
        <v>1769</v>
      </c>
      <c r="AY99" s="41">
        <v>-0.78</v>
      </c>
      <c r="AZ99" s="41">
        <v>13.2</v>
      </c>
      <c r="BA99" s="41">
        <v>5.9</v>
      </c>
      <c r="BB99" s="41">
        <v>123.7</v>
      </c>
      <c r="BP99" s="15"/>
      <c r="BQ99" s="15"/>
      <c r="BR99" s="15"/>
      <c r="BS99" s="15"/>
    </row>
    <row r="100" spans="1:425">
      <c r="A100" s="14">
        <v>90</v>
      </c>
      <c r="B100" s="15" t="str">
        <f>IF(ISBLANK(D[[#This Row],[CLAS_GRONDSOORT]]),"ONWAAR","WAAR")</f>
        <v>WAAR</v>
      </c>
      <c r="C100" s="15" t="str">
        <f>IF(ISBLANK(D[[#This Row],[CLAS_VN_HOOFDNAAM]]),"ONWAAR","WAAR")</f>
        <v>ONWAAR</v>
      </c>
      <c r="D100" s="15" t="str">
        <f>IF(ISBLANK(D[[#This Row],[KV_GRONDSOORT]]),"ONWAAR","WAAR")</f>
        <v>ONWAAR</v>
      </c>
      <c r="E100" s="15" t="str">
        <f>IF(ISBLANK(D[[#This Row],[CPT_QNET]]),"ONWAAR","WAAR")</f>
        <v>ONWAAR</v>
      </c>
      <c r="F100" s="15" t="str">
        <f>IF(ISBLANK(D[[#This Row],[CRS_GRONDSOORT]]),"ONWAAR","WAAR")</f>
        <v>ONWAAR</v>
      </c>
      <c r="G100" s="15" t="str">
        <f>IF(ISBLANK(D[[#This Row],[SD_GRONDSOORT]]),"ONWAAR","WAAR")</f>
        <v>ONWAAR</v>
      </c>
      <c r="H100" s="15" t="str">
        <f>IF(ISBLANK(D[[#This Row],[DSS_GRONDSOORT]]),"ONWAAR","WAAR")</f>
        <v>ONWAAR</v>
      </c>
      <c r="I100" s="15" t="str">
        <f>IF(ISBLANK(D[[#This Row],[TXT_SS_GRONDSOORT]]),"ONWAAR","WAAR")</f>
        <v>ONWAAR</v>
      </c>
      <c r="J100" s="13" t="s">
        <v>1770</v>
      </c>
      <c r="L100" s="13" t="s">
        <v>1418</v>
      </c>
      <c r="M100" s="13" t="s">
        <v>1419</v>
      </c>
      <c r="P100" s="13" t="s">
        <v>1420</v>
      </c>
      <c r="V100" s="41">
        <v>134348.04</v>
      </c>
      <c r="W100" s="41">
        <v>415077.43</v>
      </c>
      <c r="X100" s="41">
        <v>2.2200000000000002</v>
      </c>
      <c r="Y100" s="13" t="s">
        <v>1736</v>
      </c>
      <c r="Z100" s="13" t="s">
        <v>1737</v>
      </c>
      <c r="AA100" s="39">
        <v>45174</v>
      </c>
      <c r="AB100" s="13" t="s">
        <v>1738</v>
      </c>
      <c r="AC100" s="13" t="s">
        <v>1739</v>
      </c>
      <c r="AD100" s="13" t="s">
        <v>1425</v>
      </c>
      <c r="AE100" s="13" t="s">
        <v>1692</v>
      </c>
      <c r="AF100" s="13" t="s">
        <v>1427</v>
      </c>
      <c r="AG100" s="41">
        <v>0.22</v>
      </c>
      <c r="AI100" s="42" t="s">
        <v>1504</v>
      </c>
      <c r="AJ100" s="13" t="s">
        <v>1428</v>
      </c>
      <c r="AK100" s="13" t="s">
        <v>1429</v>
      </c>
      <c r="AL100" s="41">
        <v>-1.03</v>
      </c>
      <c r="AM100" s="41">
        <v>-1.18</v>
      </c>
      <c r="AN100" s="41">
        <v>3.25</v>
      </c>
      <c r="AO100" s="41">
        <v>3.4</v>
      </c>
      <c r="AQ100" s="13" t="s">
        <v>1740</v>
      </c>
      <c r="AR100" s="13" t="s">
        <v>1431</v>
      </c>
      <c r="AS100" s="13" t="s">
        <v>1770</v>
      </c>
      <c r="AT100" s="13" t="s">
        <v>1425</v>
      </c>
      <c r="AU100" s="13" t="s">
        <v>1432</v>
      </c>
      <c r="AV100" s="39">
        <v>45279</v>
      </c>
      <c r="AW100" s="13" t="s">
        <v>1771</v>
      </c>
      <c r="AY100" s="41">
        <v>-1.08</v>
      </c>
      <c r="AZ100" s="41">
        <v>10</v>
      </c>
      <c r="BA100" s="41">
        <v>2.1</v>
      </c>
      <c r="BB100" s="41">
        <v>383.3</v>
      </c>
      <c r="BP100" s="15"/>
      <c r="BQ100" s="15"/>
      <c r="BR100" s="15"/>
      <c r="BS100" s="15"/>
    </row>
    <row r="101" spans="1:425">
      <c r="A101" s="14">
        <v>91</v>
      </c>
      <c r="B101" s="15" t="str">
        <f>IF(ISBLANK(D[[#This Row],[CLAS_GRONDSOORT]]),"ONWAAR","WAAR")</f>
        <v>WAAR</v>
      </c>
      <c r="C101" s="15" t="str">
        <f>IF(ISBLANK(D[[#This Row],[CLAS_VN_HOOFDNAAM]]),"ONWAAR","WAAR")</f>
        <v>ONWAAR</v>
      </c>
      <c r="D101" s="15" t="str">
        <f>IF(ISBLANK(D[[#This Row],[KV_GRONDSOORT]]),"ONWAAR","WAAR")</f>
        <v>ONWAAR</v>
      </c>
      <c r="E101" s="15" t="str">
        <f>IF(ISBLANK(D[[#This Row],[CPT_QNET]]),"ONWAAR","WAAR")</f>
        <v>ONWAAR</v>
      </c>
      <c r="F101" s="15" t="str">
        <f>IF(ISBLANK(D[[#This Row],[CRS_GRONDSOORT]]),"ONWAAR","WAAR")</f>
        <v>ONWAAR</v>
      </c>
      <c r="G101" s="15" t="str">
        <f>IF(ISBLANK(D[[#This Row],[SD_GRONDSOORT]]),"ONWAAR","WAAR")</f>
        <v>ONWAAR</v>
      </c>
      <c r="H101" s="15" t="str">
        <f>IF(ISBLANK(D[[#This Row],[DSS_GRONDSOORT]]),"ONWAAR","WAAR")</f>
        <v>ONWAAR</v>
      </c>
      <c r="I101" s="15" t="str">
        <f>IF(ISBLANK(D[[#This Row],[TXT_SS_GRONDSOORT]]),"ONWAAR","WAAR")</f>
        <v>ONWAAR</v>
      </c>
      <c r="J101" s="13" t="s">
        <v>1772</v>
      </c>
      <c r="L101" s="13" t="s">
        <v>1418</v>
      </c>
      <c r="M101" s="13" t="s">
        <v>1419</v>
      </c>
      <c r="P101" s="13" t="s">
        <v>1420</v>
      </c>
      <c r="V101" s="41">
        <v>134348.04</v>
      </c>
      <c r="W101" s="41">
        <v>415077.43</v>
      </c>
      <c r="X101" s="41">
        <v>2.2200000000000002</v>
      </c>
      <c r="Y101" s="13" t="s">
        <v>1736</v>
      </c>
      <c r="Z101" s="13" t="s">
        <v>1737</v>
      </c>
      <c r="AA101" s="39">
        <v>45174</v>
      </c>
      <c r="AB101" s="13" t="s">
        <v>1738</v>
      </c>
      <c r="AC101" s="13" t="s">
        <v>1739</v>
      </c>
      <c r="AD101" s="13" t="s">
        <v>1425</v>
      </c>
      <c r="AE101" s="13" t="s">
        <v>1692</v>
      </c>
      <c r="AF101" s="13" t="s">
        <v>1427</v>
      </c>
      <c r="AG101" s="41">
        <v>0.22</v>
      </c>
      <c r="AI101" s="42">
        <v>8</v>
      </c>
      <c r="AJ101" s="13" t="s">
        <v>1428</v>
      </c>
      <c r="AK101" s="13" t="s">
        <v>1429</v>
      </c>
      <c r="AL101" s="41">
        <v>-1.28</v>
      </c>
      <c r="AM101" s="41">
        <v>-1.655</v>
      </c>
      <c r="AN101" s="41">
        <v>3.5</v>
      </c>
      <c r="AO101" s="41">
        <v>3.875</v>
      </c>
      <c r="AP101" s="13">
        <v>18.899999999999999</v>
      </c>
      <c r="AQ101" s="13" t="s">
        <v>1740</v>
      </c>
      <c r="AR101" s="13" t="s">
        <v>1431</v>
      </c>
      <c r="AS101" s="13" t="s">
        <v>1772</v>
      </c>
      <c r="AT101" s="13" t="s">
        <v>1425</v>
      </c>
      <c r="AU101" s="13" t="s">
        <v>1432</v>
      </c>
      <c r="AV101" s="39">
        <v>45279</v>
      </c>
      <c r="AW101" s="13" t="s">
        <v>1773</v>
      </c>
      <c r="AY101" s="41">
        <v>-1.47</v>
      </c>
      <c r="AZ101" s="41"/>
      <c r="BA101" s="41"/>
      <c r="BB101" s="41"/>
      <c r="BP101" s="15"/>
      <c r="BQ101" s="15"/>
      <c r="BR101" s="15"/>
      <c r="BS101" s="15"/>
    </row>
    <row r="102" spans="1:425">
      <c r="A102" s="14">
        <v>92</v>
      </c>
      <c r="B102" s="15" t="str">
        <f>IF(ISBLANK(D[[#This Row],[CLAS_GRONDSOORT]]),"ONWAAR","WAAR")</f>
        <v>WAAR</v>
      </c>
      <c r="C102" s="15" t="str">
        <f>IF(ISBLANK(D[[#This Row],[CLAS_VN_HOOFDNAAM]]),"ONWAAR","WAAR")</f>
        <v>ONWAAR</v>
      </c>
      <c r="D102" s="15" t="str">
        <f>IF(ISBLANK(D[[#This Row],[KV_GRONDSOORT]]),"ONWAAR","WAAR")</f>
        <v>ONWAAR</v>
      </c>
      <c r="E102" s="15" t="str">
        <f>IF(ISBLANK(D[[#This Row],[CPT_QNET]]),"ONWAAR","WAAR")</f>
        <v>ONWAAR</v>
      </c>
      <c r="F102" s="15" t="str">
        <f>IF(ISBLANK(D[[#This Row],[CRS_GRONDSOORT]]),"ONWAAR","WAAR")</f>
        <v>ONWAAR</v>
      </c>
      <c r="G102" s="15" t="str">
        <f>IF(ISBLANK(D[[#This Row],[SD_GRONDSOORT]]),"ONWAAR","WAAR")</f>
        <v>ONWAAR</v>
      </c>
      <c r="H102" s="15" t="str">
        <f>IF(ISBLANK(D[[#This Row],[DSS_GRONDSOORT]]),"ONWAAR","WAAR")</f>
        <v>ONWAAR</v>
      </c>
      <c r="I102" s="15" t="str">
        <f>IF(ISBLANK(D[[#This Row],[TXT_SS_GRONDSOORT]]),"ONWAAR","WAAR")</f>
        <v>ONWAAR</v>
      </c>
      <c r="J102" s="13" t="s">
        <v>1774</v>
      </c>
      <c r="L102" s="13" t="s">
        <v>1418</v>
      </c>
      <c r="M102" s="13" t="s">
        <v>1419</v>
      </c>
      <c r="P102" s="13" t="s">
        <v>1420</v>
      </c>
      <c r="V102" s="41">
        <v>134119.18</v>
      </c>
      <c r="W102" s="41">
        <v>414879.05</v>
      </c>
      <c r="X102" s="41">
        <v>2.48</v>
      </c>
      <c r="Y102" s="13" t="s">
        <v>1775</v>
      </c>
      <c r="Z102" s="13" t="s">
        <v>1737</v>
      </c>
      <c r="AA102" s="39">
        <v>45177</v>
      </c>
      <c r="AB102" s="13" t="s">
        <v>1776</v>
      </c>
      <c r="AC102" s="13" t="s">
        <v>1777</v>
      </c>
      <c r="AD102" s="13" t="s">
        <v>1425</v>
      </c>
      <c r="AE102" s="13" t="s">
        <v>1692</v>
      </c>
      <c r="AF102" s="13" t="s">
        <v>1427</v>
      </c>
      <c r="AG102" s="41">
        <v>-0.22</v>
      </c>
      <c r="AI102" s="13">
        <v>1</v>
      </c>
      <c r="AJ102" s="13" t="s">
        <v>1428</v>
      </c>
      <c r="AK102" s="13" t="s">
        <v>1429</v>
      </c>
      <c r="AL102" s="41">
        <v>1.78</v>
      </c>
      <c r="AM102" s="41">
        <v>1.38</v>
      </c>
      <c r="AN102" s="41">
        <v>0.7</v>
      </c>
      <c r="AO102" s="41">
        <v>1.1000000000000001</v>
      </c>
      <c r="AP102" s="13">
        <v>12.7</v>
      </c>
      <c r="AQ102" s="13" t="s">
        <v>1778</v>
      </c>
      <c r="AR102" s="13" t="s">
        <v>1431</v>
      </c>
      <c r="AS102" s="13" t="s">
        <v>1774</v>
      </c>
      <c r="AT102" s="13" t="s">
        <v>1425</v>
      </c>
      <c r="AU102" s="13" t="s">
        <v>1432</v>
      </c>
      <c r="AV102" s="39">
        <v>45279</v>
      </c>
      <c r="AW102" s="13" t="s">
        <v>1779</v>
      </c>
      <c r="AY102" s="41">
        <v>1.58</v>
      </c>
      <c r="AZ102" s="41"/>
      <c r="BA102" s="41"/>
      <c r="BB102" s="41"/>
    </row>
    <row r="103" spans="1:425">
      <c r="A103" s="14">
        <v>93</v>
      </c>
      <c r="B103" s="15" t="str">
        <f>IF(ISBLANK(D[[#This Row],[CLAS_GRONDSOORT]]),"ONWAAR","WAAR")</f>
        <v>WAAR</v>
      </c>
      <c r="C103" s="15" t="str">
        <f>IF(ISBLANK(D[[#This Row],[CLAS_VN_HOOFDNAAM]]),"ONWAAR","WAAR")</f>
        <v>ONWAAR</v>
      </c>
      <c r="D103" s="15" t="str">
        <f>IF(ISBLANK(D[[#This Row],[KV_GRONDSOORT]]),"ONWAAR","WAAR")</f>
        <v>ONWAAR</v>
      </c>
      <c r="E103" s="15" t="str">
        <f>IF(ISBLANK(D[[#This Row],[CPT_QNET]]),"ONWAAR","WAAR")</f>
        <v>ONWAAR</v>
      </c>
      <c r="F103" s="15" t="str">
        <f>IF(ISBLANK(D[[#This Row],[CRS_GRONDSOORT]]),"ONWAAR","WAAR")</f>
        <v>ONWAAR</v>
      </c>
      <c r="G103" s="15" t="str">
        <f>IF(ISBLANK(D[[#This Row],[SD_GRONDSOORT]]),"ONWAAR","WAAR")</f>
        <v>ONWAAR</v>
      </c>
      <c r="H103" s="15" t="str">
        <f>IF(ISBLANK(D[[#This Row],[DSS_GRONDSOORT]]),"ONWAAR","WAAR")</f>
        <v>ONWAAR</v>
      </c>
      <c r="I103" s="15" t="str">
        <f>IF(ISBLANK(D[[#This Row],[TXT_SS_GRONDSOORT]]),"ONWAAR","WAAR")</f>
        <v>ONWAAR</v>
      </c>
      <c r="J103" s="13" t="s">
        <v>1780</v>
      </c>
      <c r="L103" s="13" t="s">
        <v>1418</v>
      </c>
      <c r="M103" s="13" t="s">
        <v>1419</v>
      </c>
      <c r="P103" s="13" t="s">
        <v>1420</v>
      </c>
      <c r="V103" s="41">
        <v>134119.18</v>
      </c>
      <c r="W103" s="41">
        <v>414879.05</v>
      </c>
      <c r="X103" s="41">
        <v>2.48</v>
      </c>
      <c r="Y103" s="13" t="s">
        <v>1775</v>
      </c>
      <c r="Z103" s="13" t="s">
        <v>1737</v>
      </c>
      <c r="AA103" s="39">
        <v>45177</v>
      </c>
      <c r="AB103" s="13" t="s">
        <v>1776</v>
      </c>
      <c r="AC103" s="13" t="s">
        <v>1777</v>
      </c>
      <c r="AD103" s="13" t="s">
        <v>1425</v>
      </c>
      <c r="AE103" s="13" t="s">
        <v>1692</v>
      </c>
      <c r="AF103" s="13" t="s">
        <v>1427</v>
      </c>
      <c r="AG103" s="41">
        <v>-0.22</v>
      </c>
      <c r="AI103" s="13" t="s">
        <v>1480</v>
      </c>
      <c r="AJ103" s="13" t="s">
        <v>1428</v>
      </c>
      <c r="AK103" s="13" t="s">
        <v>1429</v>
      </c>
      <c r="AL103" s="41">
        <v>0.78</v>
      </c>
      <c r="AM103" s="41">
        <v>0.56999999999999995</v>
      </c>
      <c r="AN103" s="41">
        <v>1.7</v>
      </c>
      <c r="AO103" s="41">
        <v>1.91</v>
      </c>
      <c r="AP103" s="13">
        <v>15.5</v>
      </c>
      <c r="AQ103" s="13" t="s">
        <v>1778</v>
      </c>
      <c r="AR103" s="13" t="s">
        <v>1431</v>
      </c>
      <c r="AS103" s="13" t="s">
        <v>1780</v>
      </c>
      <c r="AT103" s="13" t="s">
        <v>1425</v>
      </c>
      <c r="AU103" s="13" t="s">
        <v>1432</v>
      </c>
      <c r="AV103" s="39">
        <v>45279</v>
      </c>
      <c r="AW103" s="13" t="s">
        <v>1781</v>
      </c>
      <c r="AY103" s="41">
        <v>0.68</v>
      </c>
      <c r="AZ103" s="41"/>
      <c r="BA103" s="41"/>
      <c r="BB103" s="41"/>
    </row>
    <row r="104" spans="1:425">
      <c r="A104" s="14">
        <v>94</v>
      </c>
      <c r="B104" s="15" t="str">
        <f>IF(ISBLANK(D[[#This Row],[CLAS_GRONDSOORT]]),"ONWAAR","WAAR")</f>
        <v>WAAR</v>
      </c>
      <c r="C104" s="15" t="str">
        <f>IF(ISBLANK(D[[#This Row],[CLAS_VN_HOOFDNAAM]]),"ONWAAR","WAAR")</f>
        <v>ONWAAR</v>
      </c>
      <c r="D104" s="15" t="str">
        <f>IF(ISBLANK(D[[#This Row],[KV_GRONDSOORT]]),"ONWAAR","WAAR")</f>
        <v>ONWAAR</v>
      </c>
      <c r="E104" s="15" t="str">
        <f>IF(ISBLANK(D[[#This Row],[CPT_QNET]]),"ONWAAR","WAAR")</f>
        <v>ONWAAR</v>
      </c>
      <c r="F104" s="15" t="str">
        <f>IF(ISBLANK(D[[#This Row],[CRS_GRONDSOORT]]),"ONWAAR","WAAR")</f>
        <v>ONWAAR</v>
      </c>
      <c r="G104" s="15" t="str">
        <f>IF(ISBLANK(D[[#This Row],[SD_GRONDSOORT]]),"ONWAAR","WAAR")</f>
        <v>ONWAAR</v>
      </c>
      <c r="H104" s="15" t="str">
        <f>IF(ISBLANK(D[[#This Row],[DSS_GRONDSOORT]]),"ONWAAR","WAAR")</f>
        <v>ONWAAR</v>
      </c>
      <c r="I104" s="15" t="str">
        <f>IF(ISBLANK(D[[#This Row],[TXT_SS_GRONDSOORT]]),"ONWAAR","WAAR")</f>
        <v>ONWAAR</v>
      </c>
      <c r="J104" s="13" t="s">
        <v>1782</v>
      </c>
      <c r="L104" s="13" t="s">
        <v>1418</v>
      </c>
      <c r="M104" s="13" t="s">
        <v>1419</v>
      </c>
      <c r="P104" s="13" t="s">
        <v>1420</v>
      </c>
      <c r="V104" s="41">
        <v>134119.18</v>
      </c>
      <c r="W104" s="41">
        <v>414879.05</v>
      </c>
      <c r="X104" s="41">
        <v>2.48</v>
      </c>
      <c r="Y104" s="13" t="s">
        <v>1775</v>
      </c>
      <c r="Z104" s="13" t="s">
        <v>1737</v>
      </c>
      <c r="AA104" s="39">
        <v>45177</v>
      </c>
      <c r="AB104" s="13" t="s">
        <v>1776</v>
      </c>
      <c r="AC104" s="13" t="s">
        <v>1777</v>
      </c>
      <c r="AD104" s="13" t="s">
        <v>1425</v>
      </c>
      <c r="AE104" s="13" t="s">
        <v>1692</v>
      </c>
      <c r="AF104" s="13" t="s">
        <v>1427</v>
      </c>
      <c r="AG104" s="41">
        <v>-0.22</v>
      </c>
      <c r="AI104" s="13" t="s">
        <v>1483</v>
      </c>
      <c r="AJ104" s="13" t="s">
        <v>1428</v>
      </c>
      <c r="AK104" s="13" t="s">
        <v>1429</v>
      </c>
      <c r="AL104" s="41">
        <v>0.56999999999999995</v>
      </c>
      <c r="AM104" s="41">
        <v>0.45</v>
      </c>
      <c r="AN104" s="41">
        <v>1.91</v>
      </c>
      <c r="AO104" s="41">
        <v>2.0299999999999998</v>
      </c>
      <c r="AQ104" s="13" t="s">
        <v>1778</v>
      </c>
      <c r="AR104" s="13" t="s">
        <v>1431</v>
      </c>
      <c r="AS104" s="13" t="s">
        <v>1782</v>
      </c>
      <c r="AT104" s="13" t="s">
        <v>1425</v>
      </c>
      <c r="AU104" s="13" t="s">
        <v>1432</v>
      </c>
      <c r="AV104" s="39">
        <v>45279</v>
      </c>
      <c r="AW104" s="13" t="s">
        <v>1783</v>
      </c>
      <c r="AY104" s="41">
        <v>0.51</v>
      </c>
      <c r="AZ104" s="41"/>
      <c r="BA104" s="41"/>
      <c r="BB104" s="41"/>
    </row>
    <row r="105" spans="1:425">
      <c r="A105" s="14">
        <v>95</v>
      </c>
      <c r="B105" s="15" t="str">
        <f>IF(ISBLANK(D[[#This Row],[CLAS_GRONDSOORT]]),"ONWAAR","WAAR")</f>
        <v>WAAR</v>
      </c>
      <c r="C105" s="15" t="str">
        <f>IF(ISBLANK(D[[#This Row],[CLAS_VN_HOOFDNAAM]]),"ONWAAR","WAAR")</f>
        <v>ONWAAR</v>
      </c>
      <c r="D105" s="15" t="str">
        <f>IF(ISBLANK(D[[#This Row],[KV_GRONDSOORT]]),"ONWAAR","WAAR")</f>
        <v>ONWAAR</v>
      </c>
      <c r="E105" s="15" t="str">
        <f>IF(ISBLANK(D[[#This Row],[CPT_QNET]]),"ONWAAR","WAAR")</f>
        <v>ONWAAR</v>
      </c>
      <c r="F105" s="15" t="str">
        <f>IF(ISBLANK(D[[#This Row],[CRS_GRONDSOORT]]),"ONWAAR","WAAR")</f>
        <v>ONWAAR</v>
      </c>
      <c r="G105" s="15" t="str">
        <f>IF(ISBLANK(D[[#This Row],[SD_GRONDSOORT]]),"ONWAAR","WAAR")</f>
        <v>ONWAAR</v>
      </c>
      <c r="H105" s="15" t="str">
        <f>IF(ISBLANK(D[[#This Row],[DSS_GRONDSOORT]]),"ONWAAR","WAAR")</f>
        <v>ONWAAR</v>
      </c>
      <c r="I105" s="15" t="str">
        <f>IF(ISBLANK(D[[#This Row],[TXT_SS_GRONDSOORT]]),"ONWAAR","WAAR")</f>
        <v>WAAR</v>
      </c>
      <c r="J105" s="13" t="s">
        <v>1784</v>
      </c>
      <c r="L105" s="13" t="s">
        <v>1418</v>
      </c>
      <c r="M105" s="13" t="s">
        <v>1419</v>
      </c>
      <c r="P105" s="13" t="s">
        <v>1420</v>
      </c>
      <c r="V105" s="41">
        <v>134119.18</v>
      </c>
      <c r="W105" s="41">
        <v>414879.05</v>
      </c>
      <c r="X105" s="41">
        <v>2.48</v>
      </c>
      <c r="Y105" s="13" t="s">
        <v>1775</v>
      </c>
      <c r="Z105" s="13" t="s">
        <v>1737</v>
      </c>
      <c r="AA105" s="39">
        <v>45177</v>
      </c>
      <c r="AB105" s="13" t="s">
        <v>1776</v>
      </c>
      <c r="AC105" s="13" t="s">
        <v>1777</v>
      </c>
      <c r="AD105" s="13" t="s">
        <v>1425</v>
      </c>
      <c r="AE105" s="13" t="s">
        <v>1692</v>
      </c>
      <c r="AF105" s="13" t="s">
        <v>1427</v>
      </c>
      <c r="AG105" s="41">
        <v>-0.22</v>
      </c>
      <c r="AI105" s="13">
        <v>3</v>
      </c>
      <c r="AJ105" s="13" t="s">
        <v>1428</v>
      </c>
      <c r="AK105" s="13" t="s">
        <v>1429</v>
      </c>
      <c r="AL105" s="41">
        <v>-0.12</v>
      </c>
      <c r="AM105" s="41">
        <v>-0.42</v>
      </c>
      <c r="AN105" s="41">
        <v>2.6</v>
      </c>
      <c r="AO105" s="41">
        <v>2.9</v>
      </c>
      <c r="AP105" s="13">
        <v>13.8</v>
      </c>
      <c r="AQ105" s="13" t="s">
        <v>1778</v>
      </c>
      <c r="AR105" s="13" t="s">
        <v>1431</v>
      </c>
      <c r="AS105" s="13" t="s">
        <v>1784</v>
      </c>
      <c r="AT105" s="13" t="s">
        <v>1425</v>
      </c>
      <c r="AU105" s="13" t="s">
        <v>1432</v>
      </c>
      <c r="AV105" s="39">
        <v>45279</v>
      </c>
      <c r="AW105" s="13" t="s">
        <v>1785</v>
      </c>
      <c r="AY105" s="41">
        <v>-0.24</v>
      </c>
      <c r="AZ105" s="41">
        <v>17.600000000000001</v>
      </c>
      <c r="BA105" s="41">
        <v>12.4</v>
      </c>
      <c r="BB105" s="41">
        <v>42</v>
      </c>
      <c r="NH105" s="13" t="s">
        <v>1786</v>
      </c>
      <c r="NI105" s="13" t="s">
        <v>1787</v>
      </c>
      <c r="NJ105" s="13" t="s">
        <v>1788</v>
      </c>
      <c r="NK105" s="13" t="s">
        <v>1454</v>
      </c>
      <c r="NL105" s="13" t="s">
        <v>1461</v>
      </c>
      <c r="NM105" s="39">
        <v>45208</v>
      </c>
      <c r="NN105" s="13" t="s">
        <v>1456</v>
      </c>
      <c r="NP105" s="41">
        <v>-0.24</v>
      </c>
      <c r="NQ105" s="41">
        <v>47.6</v>
      </c>
      <c r="NR105" s="41">
        <v>17.57</v>
      </c>
      <c r="NS105" s="41">
        <v>12.37</v>
      </c>
      <c r="NT105" s="41">
        <v>39.08</v>
      </c>
      <c r="NU105" s="41">
        <v>42.03</v>
      </c>
      <c r="NV105" s="41">
        <v>102.31</v>
      </c>
      <c r="NW105" s="41">
        <v>1.08</v>
      </c>
      <c r="NX105" s="44">
        <v>2617</v>
      </c>
      <c r="NY105" s="44">
        <v>21.3</v>
      </c>
      <c r="NZ105" s="44">
        <v>21.3</v>
      </c>
      <c r="OA105" s="44">
        <v>50</v>
      </c>
      <c r="OB105" s="44">
        <v>100</v>
      </c>
      <c r="OC105" s="41" t="s">
        <v>1463</v>
      </c>
      <c r="OD105" s="41" t="s">
        <v>1464</v>
      </c>
      <c r="OE105" s="41" t="s">
        <v>1465</v>
      </c>
      <c r="OF105" s="43">
        <v>299</v>
      </c>
      <c r="OG105" s="41" t="s">
        <v>1466</v>
      </c>
      <c r="OH105" s="41">
        <v>0.93</v>
      </c>
      <c r="OI105" s="41" t="s">
        <v>1467</v>
      </c>
      <c r="OJ105" s="41">
        <v>43.76</v>
      </c>
      <c r="OK105" s="41">
        <v>0.76</v>
      </c>
      <c r="OL105" s="41">
        <v>44.41</v>
      </c>
      <c r="OM105" s="41">
        <v>2</v>
      </c>
      <c r="ON105" s="41">
        <v>44.41</v>
      </c>
      <c r="OO105" s="41">
        <v>2</v>
      </c>
      <c r="OP105" s="43">
        <v>1</v>
      </c>
      <c r="OQ105" s="41">
        <v>1.56</v>
      </c>
      <c r="OR105" s="41">
        <v>4.9000000000000004</v>
      </c>
      <c r="OS105" s="41" t="s">
        <v>1468</v>
      </c>
      <c r="OT105" s="41">
        <v>0.97</v>
      </c>
      <c r="OU105" s="41">
        <v>42.69</v>
      </c>
      <c r="OV105" s="41">
        <v>23.48</v>
      </c>
      <c r="OW105" s="41">
        <v>46.13</v>
      </c>
      <c r="OX105" s="41">
        <v>28.82</v>
      </c>
      <c r="OY105" s="41">
        <v>50.23</v>
      </c>
      <c r="OZ105" s="41">
        <v>30.63</v>
      </c>
      <c r="PA105" s="41">
        <v>49.96</v>
      </c>
      <c r="PB105" s="41">
        <v>30.95</v>
      </c>
      <c r="PC105" s="41">
        <v>11.12</v>
      </c>
      <c r="PD105" s="41">
        <v>48.09</v>
      </c>
      <c r="PE105" s="41">
        <v>28.19</v>
      </c>
      <c r="PF105" s="43">
        <v>25</v>
      </c>
      <c r="PG105" s="41">
        <v>5.21</v>
      </c>
      <c r="PH105" s="41">
        <v>0.56000000000000005</v>
      </c>
      <c r="PI105" s="41">
        <v>0.38</v>
      </c>
    </row>
    <row r="106" spans="1:425">
      <c r="A106" s="14">
        <v>96</v>
      </c>
      <c r="B106" s="15" t="str">
        <f>IF(ISBLANK(D[[#This Row],[CLAS_GRONDSOORT]]),"ONWAAR","WAAR")</f>
        <v>WAAR</v>
      </c>
      <c r="C106" s="15" t="str">
        <f>IF(ISBLANK(D[[#This Row],[CLAS_VN_HOOFDNAAM]]),"ONWAAR","WAAR")</f>
        <v>ONWAAR</v>
      </c>
      <c r="D106" s="15" t="str">
        <f>IF(ISBLANK(D[[#This Row],[KV_GRONDSOORT]]),"ONWAAR","WAAR")</f>
        <v>ONWAAR</v>
      </c>
      <c r="E106" s="15" t="str">
        <f>IF(ISBLANK(D[[#This Row],[CPT_QNET]]),"ONWAAR","WAAR")</f>
        <v>ONWAAR</v>
      </c>
      <c r="F106" s="15" t="str">
        <f>IF(ISBLANK(D[[#This Row],[CRS_GRONDSOORT]]),"ONWAAR","WAAR")</f>
        <v>WAAR</v>
      </c>
      <c r="G106" s="15" t="str">
        <f>IF(ISBLANK(D[[#This Row],[SD_GRONDSOORT]]),"ONWAAR","WAAR")</f>
        <v>ONWAAR</v>
      </c>
      <c r="H106" s="15" t="str">
        <f>IF(ISBLANK(D[[#This Row],[DSS_GRONDSOORT]]),"ONWAAR","WAAR")</f>
        <v>ONWAAR</v>
      </c>
      <c r="I106" s="15" t="str">
        <f>IF(ISBLANK(D[[#This Row],[TXT_SS_GRONDSOORT]]),"ONWAAR","WAAR")</f>
        <v>WAAR</v>
      </c>
      <c r="J106" s="13" t="s">
        <v>1789</v>
      </c>
      <c r="L106" s="13" t="s">
        <v>1418</v>
      </c>
      <c r="M106" s="13" t="s">
        <v>1419</v>
      </c>
      <c r="P106" s="13" t="s">
        <v>1420</v>
      </c>
      <c r="V106" s="41">
        <v>134119.18</v>
      </c>
      <c r="W106" s="41">
        <v>414879.05</v>
      </c>
      <c r="X106" s="41">
        <v>2.48</v>
      </c>
      <c r="Y106" s="13" t="s">
        <v>1775</v>
      </c>
      <c r="Z106" s="13" t="s">
        <v>1737</v>
      </c>
      <c r="AA106" s="39">
        <v>45177</v>
      </c>
      <c r="AB106" s="13" t="s">
        <v>1776</v>
      </c>
      <c r="AC106" s="13" t="s">
        <v>1777</v>
      </c>
      <c r="AD106" s="13" t="s">
        <v>1425</v>
      </c>
      <c r="AE106" s="13" t="s">
        <v>1692</v>
      </c>
      <c r="AF106" s="13" t="s">
        <v>1427</v>
      </c>
      <c r="AG106" s="41">
        <v>-0.22</v>
      </c>
      <c r="AI106" s="13">
        <v>4</v>
      </c>
      <c r="AJ106" s="13" t="s">
        <v>1428</v>
      </c>
      <c r="AK106" s="13" t="s">
        <v>1429</v>
      </c>
      <c r="AL106" s="41">
        <v>-0.62</v>
      </c>
      <c r="AM106" s="41">
        <v>-1.02</v>
      </c>
      <c r="AN106" s="41">
        <v>3.1</v>
      </c>
      <c r="AO106" s="41">
        <v>3.5</v>
      </c>
      <c r="AP106" s="13">
        <v>15.1</v>
      </c>
      <c r="AQ106" s="13" t="s">
        <v>1778</v>
      </c>
      <c r="AR106" s="13" t="s">
        <v>1431</v>
      </c>
      <c r="AS106" s="13" t="s">
        <v>1789</v>
      </c>
      <c r="AT106" s="13" t="s">
        <v>1425</v>
      </c>
      <c r="AU106" s="13" t="s">
        <v>1432</v>
      </c>
      <c r="AV106" s="39">
        <v>45279</v>
      </c>
      <c r="AW106" s="13" t="s">
        <v>1790</v>
      </c>
      <c r="AY106" s="41">
        <v>-0.68</v>
      </c>
      <c r="AZ106" s="41">
        <v>16.100000000000001</v>
      </c>
      <c r="BA106" s="41">
        <v>10.199999999999999</v>
      </c>
      <c r="BB106" s="41">
        <v>58.2</v>
      </c>
      <c r="EA106" s="13" t="s">
        <v>1791</v>
      </c>
      <c r="EB106" s="13" t="s">
        <v>1792</v>
      </c>
      <c r="EC106" s="13" t="s">
        <v>1793</v>
      </c>
      <c r="ED106" s="13" t="s">
        <v>1454</v>
      </c>
      <c r="EE106" s="13" t="s">
        <v>1455</v>
      </c>
      <c r="EF106" s="39">
        <v>45203</v>
      </c>
      <c r="EG106" s="13" t="s">
        <v>1456</v>
      </c>
      <c r="EH106" s="13" t="s">
        <v>1794</v>
      </c>
      <c r="EI106" s="41">
        <v>-0.82</v>
      </c>
      <c r="EJ106" s="41">
        <v>51.5</v>
      </c>
      <c r="EK106" s="41">
        <v>16.61</v>
      </c>
      <c r="EL106" s="41">
        <v>12.31</v>
      </c>
      <c r="EM106" s="41">
        <v>34.97</v>
      </c>
      <c r="EN106" s="41">
        <v>35.06</v>
      </c>
      <c r="EO106" s="41">
        <v>83.13</v>
      </c>
      <c r="EP106" s="13">
        <v>21.7</v>
      </c>
      <c r="EQ106" s="13">
        <v>19.8</v>
      </c>
      <c r="ER106" s="13">
        <v>63.49</v>
      </c>
      <c r="ES106" s="41">
        <v>18.95</v>
      </c>
      <c r="ET106" s="41">
        <v>18.25</v>
      </c>
      <c r="EU106" s="41">
        <v>14.51</v>
      </c>
      <c r="EV106" s="13">
        <v>0.5</v>
      </c>
      <c r="EW106" s="44">
        <v>-0.2</v>
      </c>
      <c r="EX106" s="13">
        <v>16</v>
      </c>
      <c r="EY106" s="41">
        <v>303.7</v>
      </c>
      <c r="EZ106" s="41">
        <v>238.3</v>
      </c>
      <c r="FA106" s="41">
        <v>178.9</v>
      </c>
      <c r="FB106" s="41">
        <v>102.3</v>
      </c>
      <c r="FC106" s="41">
        <v>822.2</v>
      </c>
      <c r="FD106" s="41">
        <v>2.63</v>
      </c>
      <c r="FE106" s="41">
        <v>81.52</v>
      </c>
      <c r="FF106" s="41">
        <v>9.84</v>
      </c>
      <c r="FG106" s="41">
        <v>386.3</v>
      </c>
      <c r="FH106" s="45">
        <v>3.7000000000000002E-3</v>
      </c>
      <c r="FI106" s="45">
        <v>7.8E-2</v>
      </c>
      <c r="FJ106" s="45">
        <v>4.3E-3</v>
      </c>
      <c r="NH106" s="13" t="s">
        <v>1795</v>
      </c>
      <c r="NI106" s="13" t="s">
        <v>1796</v>
      </c>
      <c r="NJ106" s="13" t="s">
        <v>1797</v>
      </c>
      <c r="NK106" s="13" t="s">
        <v>1454</v>
      </c>
      <c r="NL106" s="13" t="s">
        <v>1461</v>
      </c>
      <c r="NM106" s="39">
        <v>45215</v>
      </c>
      <c r="NN106" s="13" t="s">
        <v>1456</v>
      </c>
      <c r="NO106" s="13" t="s">
        <v>1497</v>
      </c>
      <c r="NP106" s="41">
        <v>-0.68</v>
      </c>
      <c r="NQ106" s="41">
        <v>51.5</v>
      </c>
      <c r="NR106" s="41">
        <v>16.11</v>
      </c>
      <c r="NS106" s="41">
        <v>10.19</v>
      </c>
      <c r="NT106" s="41">
        <v>51.72</v>
      </c>
      <c r="NU106" s="41">
        <v>58.17</v>
      </c>
      <c r="NV106" s="41">
        <v>100.35</v>
      </c>
      <c r="NW106" s="41">
        <v>1.51</v>
      </c>
      <c r="NX106" s="44">
        <v>2607</v>
      </c>
      <c r="NY106" s="44">
        <v>21.3</v>
      </c>
      <c r="NZ106" s="44">
        <v>21.3</v>
      </c>
      <c r="OA106" s="44">
        <v>50</v>
      </c>
      <c r="OB106" s="44">
        <v>100</v>
      </c>
      <c r="OC106" s="41" t="s">
        <v>1463</v>
      </c>
      <c r="OD106" s="41" t="s">
        <v>1464</v>
      </c>
      <c r="OE106" s="41" t="s">
        <v>1465</v>
      </c>
      <c r="OF106" s="43">
        <v>299</v>
      </c>
      <c r="OG106" s="41" t="s">
        <v>1466</v>
      </c>
      <c r="OH106" s="41">
        <v>0.62</v>
      </c>
      <c r="OI106" s="41" t="s">
        <v>1467</v>
      </c>
      <c r="OJ106" s="41">
        <v>31.75</v>
      </c>
      <c r="OK106" s="41">
        <v>0.75</v>
      </c>
      <c r="OL106" s="41">
        <v>40.08</v>
      </c>
      <c r="OM106" s="41">
        <v>9.8800000000000008</v>
      </c>
      <c r="ON106" s="41">
        <v>40.08</v>
      </c>
      <c r="OO106" s="41">
        <v>9.8800000000000008</v>
      </c>
      <c r="OP106" s="43">
        <v>1</v>
      </c>
      <c r="OQ106" s="41">
        <v>3.47</v>
      </c>
      <c r="OR106" s="41">
        <v>7.54</v>
      </c>
      <c r="OS106" s="41" t="s">
        <v>1468</v>
      </c>
      <c r="OT106" s="41">
        <v>0.94</v>
      </c>
      <c r="OU106" s="41">
        <v>36.869999999999997</v>
      </c>
      <c r="OV106" s="41">
        <v>20.77</v>
      </c>
      <c r="OW106" s="41">
        <v>37.979999999999997</v>
      </c>
      <c r="OX106" s="41">
        <v>25.78</v>
      </c>
      <c r="OY106" s="41">
        <v>40.130000000000003</v>
      </c>
      <c r="OZ106" s="41">
        <v>28.33</v>
      </c>
      <c r="PA106" s="41">
        <v>40.82</v>
      </c>
      <c r="PB106" s="41">
        <v>29.92</v>
      </c>
      <c r="PC106" s="41">
        <v>10.55</v>
      </c>
      <c r="PD106" s="41">
        <v>36.56</v>
      </c>
      <c r="PE106" s="41">
        <v>24.26</v>
      </c>
      <c r="PF106" s="43">
        <v>25</v>
      </c>
      <c r="PG106" s="41">
        <v>1.25</v>
      </c>
      <c r="PH106" s="41">
        <v>1.6</v>
      </c>
      <c r="PI106" s="41">
        <v>0.32</v>
      </c>
    </row>
    <row r="107" spans="1:425">
      <c r="A107" s="14">
        <v>97</v>
      </c>
      <c r="B107" s="15" t="str">
        <f>IF(ISBLANK(D[[#This Row],[CLAS_GRONDSOORT]]),"ONWAAR","WAAR")</f>
        <v>WAAR</v>
      </c>
      <c r="C107" s="15" t="str">
        <f>IF(ISBLANK(D[[#This Row],[CLAS_VN_HOOFDNAAM]]),"ONWAAR","WAAR")</f>
        <v>ONWAAR</v>
      </c>
      <c r="D107" s="15" t="str">
        <f>IF(ISBLANK(D[[#This Row],[KV_GRONDSOORT]]),"ONWAAR","WAAR")</f>
        <v>ONWAAR</v>
      </c>
      <c r="E107" s="15" t="str">
        <f>IF(ISBLANK(D[[#This Row],[CPT_QNET]]),"ONWAAR","WAAR")</f>
        <v>ONWAAR</v>
      </c>
      <c r="F107" s="15" t="str">
        <f>IF(ISBLANK(D[[#This Row],[CRS_GRONDSOORT]]),"ONWAAR","WAAR")</f>
        <v>ONWAAR</v>
      </c>
      <c r="G107" s="15" t="str">
        <f>IF(ISBLANK(D[[#This Row],[SD_GRONDSOORT]]),"ONWAAR","WAAR")</f>
        <v>ONWAAR</v>
      </c>
      <c r="H107" s="15" t="str">
        <f>IF(ISBLANK(D[[#This Row],[DSS_GRONDSOORT]]),"ONWAAR","WAAR")</f>
        <v>ONWAAR</v>
      </c>
      <c r="I107" s="15" t="str">
        <f>IF(ISBLANK(D[[#This Row],[TXT_SS_GRONDSOORT]]),"ONWAAR","WAAR")</f>
        <v>ONWAAR</v>
      </c>
      <c r="J107" s="13" t="s">
        <v>1798</v>
      </c>
      <c r="L107" s="13" t="s">
        <v>1418</v>
      </c>
      <c r="M107" s="13" t="s">
        <v>1419</v>
      </c>
      <c r="P107" s="13" t="s">
        <v>1420</v>
      </c>
      <c r="V107" s="41">
        <v>134119.18</v>
      </c>
      <c r="W107" s="41">
        <v>414879.05</v>
      </c>
      <c r="X107" s="41">
        <v>2.48</v>
      </c>
      <c r="Y107" s="13" t="s">
        <v>1775</v>
      </c>
      <c r="Z107" s="13" t="s">
        <v>1737</v>
      </c>
      <c r="AA107" s="39">
        <v>45177</v>
      </c>
      <c r="AB107" s="13" t="s">
        <v>1776</v>
      </c>
      <c r="AC107" s="13" t="s">
        <v>1777</v>
      </c>
      <c r="AD107" s="13" t="s">
        <v>1425</v>
      </c>
      <c r="AE107" s="13" t="s">
        <v>1692</v>
      </c>
      <c r="AF107" s="13" t="s">
        <v>1427</v>
      </c>
      <c r="AG107" s="41">
        <v>-0.22</v>
      </c>
      <c r="AI107" s="13" t="s">
        <v>1710</v>
      </c>
      <c r="AJ107" s="13" t="s">
        <v>1428</v>
      </c>
      <c r="AK107" s="13" t="s">
        <v>1429</v>
      </c>
      <c r="AL107" s="41">
        <v>-1.1200000000000001</v>
      </c>
      <c r="AM107" s="41">
        <v>-1.27</v>
      </c>
      <c r="AN107" s="41">
        <v>3.6</v>
      </c>
      <c r="AO107" s="41">
        <v>3.75</v>
      </c>
      <c r="AP107" s="13">
        <v>16.899999999999999</v>
      </c>
      <c r="AQ107" s="13" t="s">
        <v>1778</v>
      </c>
      <c r="AR107" s="13" t="s">
        <v>1431</v>
      </c>
      <c r="AS107" s="13" t="s">
        <v>1798</v>
      </c>
      <c r="AT107" s="13" t="s">
        <v>1425</v>
      </c>
      <c r="AU107" s="13" t="s">
        <v>1432</v>
      </c>
      <c r="AV107" s="39">
        <v>45279</v>
      </c>
      <c r="AW107" s="13" t="s">
        <v>1799</v>
      </c>
      <c r="AY107" s="41">
        <v>-1.1499999999999999</v>
      </c>
      <c r="AZ107" s="41">
        <v>17.8</v>
      </c>
      <c r="BA107" s="41">
        <v>12.8</v>
      </c>
      <c r="BB107" s="41">
        <v>39.299999999999997</v>
      </c>
    </row>
    <row r="108" spans="1:425">
      <c r="A108" s="14">
        <v>98</v>
      </c>
      <c r="B108" s="15" t="str">
        <f>IF(ISBLANK(D[[#This Row],[CLAS_GRONDSOORT]]),"ONWAAR","WAAR")</f>
        <v>WAAR</v>
      </c>
      <c r="C108" s="15" t="str">
        <f>IF(ISBLANK(D[[#This Row],[CLAS_VN_HOOFDNAAM]]),"ONWAAR","WAAR")</f>
        <v>ONWAAR</v>
      </c>
      <c r="D108" s="15" t="str">
        <f>IF(ISBLANK(D[[#This Row],[KV_GRONDSOORT]]),"ONWAAR","WAAR")</f>
        <v>ONWAAR</v>
      </c>
      <c r="E108" s="15" t="str">
        <f>IF(ISBLANK(D[[#This Row],[CPT_QNET]]),"ONWAAR","WAAR")</f>
        <v>ONWAAR</v>
      </c>
      <c r="F108" s="15" t="str">
        <f>IF(ISBLANK(D[[#This Row],[CRS_GRONDSOORT]]),"ONWAAR","WAAR")</f>
        <v>ONWAAR</v>
      </c>
      <c r="G108" s="15" t="str">
        <f>IF(ISBLANK(D[[#This Row],[SD_GRONDSOORT]]),"ONWAAR","WAAR")</f>
        <v>ONWAAR</v>
      </c>
      <c r="H108" s="15" t="str">
        <f>IF(ISBLANK(D[[#This Row],[DSS_GRONDSOORT]]),"ONWAAR","WAAR")</f>
        <v>ONWAAR</v>
      </c>
      <c r="I108" s="15" t="str">
        <f>IF(ISBLANK(D[[#This Row],[TXT_SS_GRONDSOORT]]),"ONWAAR","WAAR")</f>
        <v>ONWAAR</v>
      </c>
      <c r="J108" s="13" t="s">
        <v>1800</v>
      </c>
      <c r="L108" s="13" t="s">
        <v>1418</v>
      </c>
      <c r="M108" s="13" t="s">
        <v>1419</v>
      </c>
      <c r="P108" s="13" t="s">
        <v>1420</v>
      </c>
      <c r="V108" s="41">
        <v>134119.18</v>
      </c>
      <c r="W108" s="41">
        <v>414879.05</v>
      </c>
      <c r="X108" s="41">
        <v>2.48</v>
      </c>
      <c r="Y108" s="13" t="s">
        <v>1775</v>
      </c>
      <c r="Z108" s="13" t="s">
        <v>1737</v>
      </c>
      <c r="AA108" s="39">
        <v>45177</v>
      </c>
      <c r="AB108" s="13" t="s">
        <v>1776</v>
      </c>
      <c r="AC108" s="13" t="s">
        <v>1777</v>
      </c>
      <c r="AD108" s="13" t="s">
        <v>1425</v>
      </c>
      <c r="AE108" s="13" t="s">
        <v>1692</v>
      </c>
      <c r="AF108" s="13" t="s">
        <v>1427</v>
      </c>
      <c r="AG108" s="41">
        <v>-0.22</v>
      </c>
      <c r="AI108" s="13" t="s">
        <v>1713</v>
      </c>
      <c r="AJ108" s="13" t="s">
        <v>1428</v>
      </c>
      <c r="AK108" s="13" t="s">
        <v>1429</v>
      </c>
      <c r="AL108" s="41">
        <v>-1.27</v>
      </c>
      <c r="AM108" s="41">
        <v>-1.52</v>
      </c>
      <c r="AN108" s="41">
        <v>3.75</v>
      </c>
      <c r="AO108" s="41">
        <v>4</v>
      </c>
      <c r="AQ108" s="13" t="s">
        <v>1778</v>
      </c>
      <c r="AR108" s="13" t="s">
        <v>1431</v>
      </c>
      <c r="AS108" s="13" t="s">
        <v>1800</v>
      </c>
      <c r="AT108" s="13" t="s">
        <v>1425</v>
      </c>
      <c r="AU108" s="13" t="s">
        <v>1432</v>
      </c>
      <c r="AV108" s="39">
        <v>45279</v>
      </c>
      <c r="AW108" s="13" t="s">
        <v>1801</v>
      </c>
      <c r="AY108" s="41">
        <v>-1.4</v>
      </c>
      <c r="AZ108" s="41"/>
      <c r="BA108" s="41"/>
      <c r="BB108" s="41"/>
    </row>
    <row r="109" spans="1:425">
      <c r="A109" s="14">
        <v>99</v>
      </c>
      <c r="B109" s="15" t="str">
        <f>IF(ISBLANK(D[[#This Row],[CLAS_GRONDSOORT]]),"ONWAAR","WAAR")</f>
        <v>WAAR</v>
      </c>
      <c r="C109" s="15" t="str">
        <f>IF(ISBLANK(D[[#This Row],[CLAS_VN_HOOFDNAAM]]),"ONWAAR","WAAR")</f>
        <v>ONWAAR</v>
      </c>
      <c r="D109" s="15" t="str">
        <f>IF(ISBLANK(D[[#This Row],[KV_GRONDSOORT]]),"ONWAAR","WAAR")</f>
        <v>ONWAAR</v>
      </c>
      <c r="E109" s="15" t="str">
        <f>IF(ISBLANK(D[[#This Row],[CPT_QNET]]),"ONWAAR","WAAR")</f>
        <v>ONWAAR</v>
      </c>
      <c r="F109" s="15" t="str">
        <f>IF(ISBLANK(D[[#This Row],[CRS_GRONDSOORT]]),"ONWAAR","WAAR")</f>
        <v>ONWAAR</v>
      </c>
      <c r="G109" s="15" t="str">
        <f>IF(ISBLANK(D[[#This Row],[SD_GRONDSOORT]]),"ONWAAR","WAAR")</f>
        <v>ONWAAR</v>
      </c>
      <c r="H109" s="15" t="str">
        <f>IF(ISBLANK(D[[#This Row],[DSS_GRONDSOORT]]),"ONWAAR","WAAR")</f>
        <v>ONWAAR</v>
      </c>
      <c r="I109" s="15" t="str">
        <f>IF(ISBLANK(D[[#This Row],[TXT_SS_GRONDSOORT]]),"ONWAAR","WAAR")</f>
        <v>ONWAAR</v>
      </c>
      <c r="J109" s="13" t="s">
        <v>1802</v>
      </c>
      <c r="L109" s="13" t="s">
        <v>1418</v>
      </c>
      <c r="M109" s="13" t="s">
        <v>1419</v>
      </c>
      <c r="P109" s="13" t="s">
        <v>1420</v>
      </c>
      <c r="V109" s="41">
        <v>134119.18</v>
      </c>
      <c r="W109" s="41">
        <v>414879.05</v>
      </c>
      <c r="X109" s="41">
        <v>2.48</v>
      </c>
      <c r="Y109" s="13" t="s">
        <v>1775</v>
      </c>
      <c r="Z109" s="13" t="s">
        <v>1737</v>
      </c>
      <c r="AA109" s="39">
        <v>45177</v>
      </c>
      <c r="AB109" s="13" t="s">
        <v>1776</v>
      </c>
      <c r="AC109" s="13" t="s">
        <v>1777</v>
      </c>
      <c r="AD109" s="13" t="s">
        <v>1425</v>
      </c>
      <c r="AE109" s="13" t="s">
        <v>1692</v>
      </c>
      <c r="AF109" s="13" t="s">
        <v>1427</v>
      </c>
      <c r="AG109" s="41">
        <v>-0.22</v>
      </c>
      <c r="AI109" s="13" t="s">
        <v>1758</v>
      </c>
      <c r="AJ109" s="13" t="s">
        <v>1428</v>
      </c>
      <c r="AK109" s="13" t="s">
        <v>1429</v>
      </c>
      <c r="AL109" s="41">
        <v>-1.62</v>
      </c>
      <c r="AM109" s="41">
        <v>-1.68</v>
      </c>
      <c r="AN109" s="41">
        <v>4.0999999999999996</v>
      </c>
      <c r="AO109" s="41">
        <v>4.16</v>
      </c>
      <c r="AQ109" s="13" t="s">
        <v>1778</v>
      </c>
      <c r="AR109" s="13" t="s">
        <v>1431</v>
      </c>
      <c r="AS109" s="13" t="s">
        <v>1802</v>
      </c>
      <c r="AT109" s="13" t="s">
        <v>1425</v>
      </c>
      <c r="AU109" s="13" t="s">
        <v>1432</v>
      </c>
      <c r="AV109" s="39">
        <v>45279</v>
      </c>
      <c r="AW109" s="13" t="s">
        <v>1803</v>
      </c>
      <c r="AY109" s="41">
        <v>-1.65</v>
      </c>
      <c r="AZ109" s="41"/>
      <c r="BA109" s="41"/>
      <c r="BB109" s="41"/>
    </row>
    <row r="110" spans="1:425">
      <c r="A110" s="14">
        <v>100</v>
      </c>
      <c r="B110" s="15" t="str">
        <f>IF(ISBLANK(D[[#This Row],[CLAS_GRONDSOORT]]),"ONWAAR","WAAR")</f>
        <v>WAAR</v>
      </c>
      <c r="C110" s="15" t="str">
        <f>IF(ISBLANK(D[[#This Row],[CLAS_VN_HOOFDNAAM]]),"ONWAAR","WAAR")</f>
        <v>ONWAAR</v>
      </c>
      <c r="D110" s="15" t="str">
        <f>IF(ISBLANK(D[[#This Row],[KV_GRONDSOORT]]),"ONWAAR","WAAR")</f>
        <v>WAAR</v>
      </c>
      <c r="E110" s="15" t="str">
        <f>IF(ISBLANK(D[[#This Row],[CPT_QNET]]),"ONWAAR","WAAR")</f>
        <v>ONWAAR</v>
      </c>
      <c r="F110" s="15" t="str">
        <f>IF(ISBLANK(D[[#This Row],[CRS_GRONDSOORT]]),"ONWAAR","WAAR")</f>
        <v>ONWAAR</v>
      </c>
      <c r="G110" s="15" t="str">
        <f>IF(ISBLANK(D[[#This Row],[SD_GRONDSOORT]]),"ONWAAR","WAAR")</f>
        <v>ONWAAR</v>
      </c>
      <c r="H110" s="15" t="str">
        <f>IF(ISBLANK(D[[#This Row],[DSS_GRONDSOORT]]),"ONWAAR","WAAR")</f>
        <v>ONWAAR</v>
      </c>
      <c r="I110" s="15" t="str">
        <f>IF(ISBLANK(D[[#This Row],[TXT_SS_GRONDSOORT]]),"ONWAAR","WAAR")</f>
        <v>ONWAAR</v>
      </c>
      <c r="J110" s="13" t="s">
        <v>1804</v>
      </c>
      <c r="L110" s="13" t="s">
        <v>1418</v>
      </c>
      <c r="M110" s="13" t="s">
        <v>1419</v>
      </c>
      <c r="P110" s="13" t="s">
        <v>1420</v>
      </c>
      <c r="V110" s="41">
        <v>134119.18</v>
      </c>
      <c r="W110" s="41">
        <v>414879.05</v>
      </c>
      <c r="X110" s="41">
        <v>2.48</v>
      </c>
      <c r="Y110" s="13" t="s">
        <v>1775</v>
      </c>
      <c r="Z110" s="13" t="s">
        <v>1737</v>
      </c>
      <c r="AA110" s="39">
        <v>45177</v>
      </c>
      <c r="AB110" s="13" t="s">
        <v>1776</v>
      </c>
      <c r="AC110" s="13" t="s">
        <v>1777</v>
      </c>
      <c r="AD110" s="13" t="s">
        <v>1425</v>
      </c>
      <c r="AE110" s="13" t="s">
        <v>1692</v>
      </c>
      <c r="AF110" s="13" t="s">
        <v>1427</v>
      </c>
      <c r="AG110" s="41">
        <v>-0.22</v>
      </c>
      <c r="AI110" s="13" t="s">
        <v>1764</v>
      </c>
      <c r="AJ110" s="13" t="s">
        <v>1428</v>
      </c>
      <c r="AK110" s="13" t="s">
        <v>1429</v>
      </c>
      <c r="AL110" s="41">
        <v>-1.68</v>
      </c>
      <c r="AM110" s="41">
        <v>-2.02</v>
      </c>
      <c r="AN110" s="41">
        <v>4.16</v>
      </c>
      <c r="AO110" s="41">
        <v>4.5</v>
      </c>
      <c r="AP110" s="13">
        <v>19.7</v>
      </c>
      <c r="AQ110" s="13" t="s">
        <v>1778</v>
      </c>
      <c r="AR110" s="13" t="s">
        <v>1431</v>
      </c>
      <c r="AS110" s="13" t="s">
        <v>1804</v>
      </c>
      <c r="AT110" s="13" t="s">
        <v>1425</v>
      </c>
      <c r="AU110" s="13" t="s">
        <v>1432</v>
      </c>
      <c r="AV110" s="39">
        <v>45279</v>
      </c>
      <c r="AW110" s="13" t="s">
        <v>1805</v>
      </c>
      <c r="AY110" s="41">
        <v>-1.85</v>
      </c>
      <c r="AZ110" s="41"/>
      <c r="BA110" s="41"/>
      <c r="BB110" s="41"/>
      <c r="CE110" s="13" t="s">
        <v>1806</v>
      </c>
      <c r="CF110" s="13" t="s">
        <v>1687</v>
      </c>
      <c r="CG110" s="13" t="s">
        <v>1804</v>
      </c>
      <c r="CH110" s="13" t="s">
        <v>1425</v>
      </c>
      <c r="CI110" s="13" t="s">
        <v>1524</v>
      </c>
      <c r="CJ110" s="39">
        <v>45212</v>
      </c>
      <c r="CK110" s="13" t="s">
        <v>1807</v>
      </c>
      <c r="CM110" s="13">
        <v>175</v>
      </c>
      <c r="CN110" s="13">
        <v>169</v>
      </c>
      <c r="CO110" s="41">
        <v>0</v>
      </c>
      <c r="CP110" s="41">
        <v>91.35</v>
      </c>
      <c r="CQ110" s="41">
        <v>6.15</v>
      </c>
      <c r="CR110" s="41">
        <v>100</v>
      </c>
      <c r="CS110" s="41">
        <v>100</v>
      </c>
      <c r="CT110" s="41">
        <v>100</v>
      </c>
      <c r="CU110" s="41">
        <v>100</v>
      </c>
      <c r="CV110" s="41">
        <v>100</v>
      </c>
      <c r="CW110" s="41">
        <v>100</v>
      </c>
      <c r="CX110" s="41">
        <v>99.85</v>
      </c>
      <c r="CY110" s="41">
        <v>99.08</v>
      </c>
      <c r="CZ110" s="41">
        <v>90.41</v>
      </c>
      <c r="DA110" s="41">
        <v>57.28</v>
      </c>
      <c r="DB110" s="41">
        <v>22.38</v>
      </c>
      <c r="DC110" s="41">
        <v>8.65</v>
      </c>
      <c r="DD110" s="41">
        <v>3.2</v>
      </c>
      <c r="DE110" s="41">
        <v>2.92</v>
      </c>
      <c r="DF110" s="41">
        <v>2.88</v>
      </c>
      <c r="DG110" s="41">
        <v>2.5</v>
      </c>
      <c r="DH110" s="13">
        <v>212</v>
      </c>
      <c r="DI110" s="13">
        <v>193</v>
      </c>
      <c r="DJ110" s="13">
        <v>175</v>
      </c>
      <c r="DK110" s="13">
        <v>108</v>
      </c>
      <c r="DL110" s="13">
        <v>1.8</v>
      </c>
    </row>
    <row r="111" spans="1:425">
      <c r="A111" s="14">
        <v>101</v>
      </c>
      <c r="B111" s="15" t="str">
        <f>IF(ISBLANK(D[[#This Row],[CLAS_GRONDSOORT]]),"ONWAAR","WAAR")</f>
        <v>WAAR</v>
      </c>
      <c r="C111" s="15" t="str">
        <f>IF(ISBLANK(D[[#This Row],[CLAS_VN_HOOFDNAAM]]),"ONWAAR","WAAR")</f>
        <v>ONWAAR</v>
      </c>
      <c r="D111" s="15" t="str">
        <f>IF(ISBLANK(D[[#This Row],[KV_GRONDSOORT]]),"ONWAAR","WAAR")</f>
        <v>ONWAAR</v>
      </c>
      <c r="E111" s="15" t="str">
        <f>IF(ISBLANK(D[[#This Row],[CPT_QNET]]),"ONWAAR","WAAR")</f>
        <v>ONWAAR</v>
      </c>
      <c r="F111" s="15" t="str">
        <f>IF(ISBLANK(D[[#This Row],[CRS_GRONDSOORT]]),"ONWAAR","WAAR")</f>
        <v>ONWAAR</v>
      </c>
      <c r="G111" s="15" t="str">
        <f>IF(ISBLANK(D[[#This Row],[SD_GRONDSOORT]]),"ONWAAR","WAAR")</f>
        <v>ONWAAR</v>
      </c>
      <c r="H111" s="15" t="str">
        <f>IF(ISBLANK(D[[#This Row],[DSS_GRONDSOORT]]),"ONWAAR","WAAR")</f>
        <v>ONWAAR</v>
      </c>
      <c r="I111" s="15" t="str">
        <f>IF(ISBLANK(D[[#This Row],[TXT_SS_GRONDSOORT]]),"ONWAAR","WAAR")</f>
        <v>ONWAAR</v>
      </c>
      <c r="J111" s="13" t="s">
        <v>1808</v>
      </c>
      <c r="L111" s="13" t="s">
        <v>1418</v>
      </c>
      <c r="M111" s="13" t="s">
        <v>1419</v>
      </c>
      <c r="P111" s="13" t="s">
        <v>1420</v>
      </c>
      <c r="V111" s="41">
        <v>134119.18</v>
      </c>
      <c r="W111" s="41">
        <v>414879.05</v>
      </c>
      <c r="X111" s="41">
        <v>2.48</v>
      </c>
      <c r="Y111" s="13" t="s">
        <v>1775</v>
      </c>
      <c r="Z111" s="13" t="s">
        <v>1737</v>
      </c>
      <c r="AA111" s="39">
        <v>45177</v>
      </c>
      <c r="AB111" s="13" t="s">
        <v>1776</v>
      </c>
      <c r="AC111" s="13" t="s">
        <v>1777</v>
      </c>
      <c r="AD111" s="13" t="s">
        <v>1425</v>
      </c>
      <c r="AE111" s="13" t="s">
        <v>1692</v>
      </c>
      <c r="AF111" s="13" t="s">
        <v>1427</v>
      </c>
      <c r="AG111" s="41">
        <v>-0.22</v>
      </c>
      <c r="AI111" s="13">
        <v>7</v>
      </c>
      <c r="AJ111" s="13" t="s">
        <v>1428</v>
      </c>
      <c r="AK111" s="13" t="s">
        <v>1429</v>
      </c>
      <c r="AL111" s="41">
        <v>-2.12</v>
      </c>
      <c r="AM111" s="41">
        <v>-2.52</v>
      </c>
      <c r="AN111" s="41">
        <v>4.5999999999999996</v>
      </c>
      <c r="AO111" s="41">
        <v>5</v>
      </c>
      <c r="AP111" s="13">
        <v>19.600000000000001</v>
      </c>
      <c r="AQ111" s="13" t="s">
        <v>1778</v>
      </c>
      <c r="AR111" s="13" t="s">
        <v>1431</v>
      </c>
      <c r="AS111" s="13" t="s">
        <v>1808</v>
      </c>
      <c r="AT111" s="13" t="s">
        <v>1425</v>
      </c>
      <c r="AU111" s="13" t="s">
        <v>1432</v>
      </c>
      <c r="AV111" s="39">
        <v>45279</v>
      </c>
      <c r="AW111" s="13" t="s">
        <v>1809</v>
      </c>
      <c r="AY111" s="41">
        <v>-2.3199999999999998</v>
      </c>
      <c r="AZ111" s="41"/>
      <c r="BA111" s="41"/>
      <c r="BB111" s="41"/>
    </row>
    <row r="112" spans="1:425">
      <c r="A112" s="14">
        <v>102</v>
      </c>
      <c r="B112" s="15" t="str">
        <f>IF(ISBLANK(D[[#This Row],[CLAS_GRONDSOORT]]),"ONWAAR","WAAR")</f>
        <v>WAAR</v>
      </c>
      <c r="C112" s="15" t="str">
        <f>IF(ISBLANK(D[[#This Row],[CLAS_VN_HOOFDNAAM]]),"ONWAAR","WAAR")</f>
        <v>ONWAAR</v>
      </c>
      <c r="D112" s="15" t="str">
        <f>IF(ISBLANK(D[[#This Row],[KV_GRONDSOORT]]),"ONWAAR","WAAR")</f>
        <v>ONWAAR</v>
      </c>
      <c r="E112" s="15" t="str">
        <f>IF(ISBLANK(D[[#This Row],[CPT_QNET]]),"ONWAAR","WAAR")</f>
        <v>ONWAAR</v>
      </c>
      <c r="F112" s="15" t="str">
        <f>IF(ISBLANK(D[[#This Row],[CRS_GRONDSOORT]]),"ONWAAR","WAAR")</f>
        <v>ONWAAR</v>
      </c>
      <c r="G112" s="15" t="str">
        <f>IF(ISBLANK(D[[#This Row],[SD_GRONDSOORT]]),"ONWAAR","WAAR")</f>
        <v>ONWAAR</v>
      </c>
      <c r="H112" s="15" t="str">
        <f>IF(ISBLANK(D[[#This Row],[DSS_GRONDSOORT]]),"ONWAAR","WAAR")</f>
        <v>ONWAAR</v>
      </c>
      <c r="I112" s="15" t="str">
        <f>IF(ISBLANK(D[[#This Row],[TXT_SS_GRONDSOORT]]),"ONWAAR","WAAR")</f>
        <v>ONWAAR</v>
      </c>
      <c r="J112" s="13" t="s">
        <v>1810</v>
      </c>
      <c r="L112" s="13" t="s">
        <v>1418</v>
      </c>
      <c r="M112" s="13" t="s">
        <v>1419</v>
      </c>
      <c r="P112" s="13" t="s">
        <v>1420</v>
      </c>
      <c r="V112" s="41">
        <v>134119.18</v>
      </c>
      <c r="W112" s="41">
        <v>414879.05</v>
      </c>
      <c r="X112" s="41">
        <v>2.48</v>
      </c>
      <c r="Y112" s="13" t="s">
        <v>1775</v>
      </c>
      <c r="Z112" s="13" t="s">
        <v>1737</v>
      </c>
      <c r="AA112" s="39">
        <v>45177</v>
      </c>
      <c r="AB112" s="13" t="s">
        <v>1776</v>
      </c>
      <c r="AC112" s="13" t="s">
        <v>1777</v>
      </c>
      <c r="AD112" s="13" t="s">
        <v>1425</v>
      </c>
      <c r="AE112" s="13" t="s">
        <v>1692</v>
      </c>
      <c r="AF112" s="13" t="s">
        <v>1427</v>
      </c>
      <c r="AG112" s="41">
        <v>-0.22</v>
      </c>
      <c r="AI112" s="13">
        <v>8</v>
      </c>
      <c r="AJ112" s="13" t="s">
        <v>1428</v>
      </c>
      <c r="AK112" s="13" t="s">
        <v>1429</v>
      </c>
      <c r="AL112" s="41">
        <v>-2.62</v>
      </c>
      <c r="AM112" s="41">
        <v>-3.02</v>
      </c>
      <c r="AN112" s="41">
        <v>5.0999999999999996</v>
      </c>
      <c r="AO112" s="41">
        <v>5.5</v>
      </c>
      <c r="AP112" s="13">
        <v>15.2</v>
      </c>
      <c r="AQ112" s="13" t="s">
        <v>1778</v>
      </c>
      <c r="AR112" s="13" t="s">
        <v>1431</v>
      </c>
      <c r="AS112" s="13" t="s">
        <v>1810</v>
      </c>
      <c r="AT112" s="13" t="s">
        <v>1425</v>
      </c>
      <c r="AU112" s="13" t="s">
        <v>1432</v>
      </c>
      <c r="AV112" s="39">
        <v>45279</v>
      </c>
      <c r="AW112" s="13" t="s">
        <v>1809</v>
      </c>
      <c r="AY112" s="41">
        <v>-2.82</v>
      </c>
      <c r="AZ112" s="41"/>
      <c r="BA112" s="41"/>
      <c r="BB112" s="41"/>
    </row>
    <row r="113" spans="1:425">
      <c r="A113" s="14">
        <v>103</v>
      </c>
      <c r="B113" s="15" t="str">
        <f>IF(ISBLANK(D[[#This Row],[CLAS_GRONDSOORT]]),"ONWAAR","WAAR")</f>
        <v>WAAR</v>
      </c>
      <c r="C113" s="15" t="str">
        <f>IF(ISBLANK(D[[#This Row],[CLAS_VN_HOOFDNAAM]]),"ONWAAR","WAAR")</f>
        <v>ONWAAR</v>
      </c>
      <c r="D113" s="15" t="str">
        <f>IF(ISBLANK(D[[#This Row],[KV_GRONDSOORT]]),"ONWAAR","WAAR")</f>
        <v>ONWAAR</v>
      </c>
      <c r="E113" s="15" t="str">
        <f>IF(ISBLANK(D[[#This Row],[CPT_QNET]]),"ONWAAR","WAAR")</f>
        <v>ONWAAR</v>
      </c>
      <c r="F113" s="15" t="str">
        <f>IF(ISBLANK(D[[#This Row],[CRS_GRONDSOORT]]),"ONWAAR","WAAR")</f>
        <v>ONWAAR</v>
      </c>
      <c r="G113" s="15" t="str">
        <f>IF(ISBLANK(D[[#This Row],[SD_GRONDSOORT]]),"ONWAAR","WAAR")</f>
        <v>ONWAAR</v>
      </c>
      <c r="H113" s="15" t="str">
        <f>IF(ISBLANK(D[[#This Row],[DSS_GRONDSOORT]]),"ONWAAR","WAAR")</f>
        <v>ONWAAR</v>
      </c>
      <c r="I113" s="15" t="str">
        <f>IF(ISBLANK(D[[#This Row],[TXT_SS_GRONDSOORT]]),"ONWAAR","WAAR")</f>
        <v>ONWAAR</v>
      </c>
      <c r="J113" s="13" t="s">
        <v>1811</v>
      </c>
      <c r="L113" s="13" t="s">
        <v>1418</v>
      </c>
      <c r="M113" s="13" t="s">
        <v>1419</v>
      </c>
      <c r="P113" s="13" t="s">
        <v>1420</v>
      </c>
      <c r="V113" s="41">
        <v>134119.18</v>
      </c>
      <c r="W113" s="41">
        <v>414879.05</v>
      </c>
      <c r="X113" s="41">
        <v>2.48</v>
      </c>
      <c r="Y113" s="13" t="s">
        <v>1775</v>
      </c>
      <c r="Z113" s="13" t="s">
        <v>1737</v>
      </c>
      <c r="AA113" s="39">
        <v>45177</v>
      </c>
      <c r="AB113" s="13" t="s">
        <v>1776</v>
      </c>
      <c r="AC113" s="13" t="s">
        <v>1777</v>
      </c>
      <c r="AD113" s="13" t="s">
        <v>1425</v>
      </c>
      <c r="AE113" s="13" t="s">
        <v>1692</v>
      </c>
      <c r="AF113" s="13" t="s">
        <v>1427</v>
      </c>
      <c r="AG113" s="41">
        <v>-0.22</v>
      </c>
      <c r="AI113" s="13">
        <v>9</v>
      </c>
      <c r="AJ113" s="13" t="s">
        <v>1428</v>
      </c>
      <c r="AK113" s="13" t="s">
        <v>1429</v>
      </c>
      <c r="AL113" s="41">
        <v>-3.12</v>
      </c>
      <c r="AM113" s="41">
        <v>-3.47</v>
      </c>
      <c r="AN113" s="41">
        <v>5.6</v>
      </c>
      <c r="AO113" s="41">
        <v>5.95</v>
      </c>
      <c r="AP113" s="13">
        <v>18.899999999999999</v>
      </c>
      <c r="AQ113" s="13" t="s">
        <v>1778</v>
      </c>
      <c r="AR113" s="13" t="s">
        <v>1431</v>
      </c>
      <c r="AS113" s="13" t="s">
        <v>1811</v>
      </c>
      <c r="AT113" s="13" t="s">
        <v>1425</v>
      </c>
      <c r="AU113" s="13" t="s">
        <v>1432</v>
      </c>
      <c r="AV113" s="39">
        <v>45279</v>
      </c>
      <c r="AW113" s="13" t="s">
        <v>1809</v>
      </c>
      <c r="AY113" s="41">
        <v>-3.3</v>
      </c>
      <c r="AZ113" s="41"/>
      <c r="BA113" s="41"/>
      <c r="BB113" s="41"/>
    </row>
    <row r="114" spans="1:425">
      <c r="A114" s="14">
        <v>104</v>
      </c>
      <c r="B114" s="15" t="str">
        <f>IF(ISBLANK(D[[#This Row],[CLAS_GRONDSOORT]]),"ONWAAR","WAAR")</f>
        <v>WAAR</v>
      </c>
      <c r="C114" s="15" t="str">
        <f>IF(ISBLANK(D[[#This Row],[CLAS_VN_HOOFDNAAM]]),"ONWAAR","WAAR")</f>
        <v>ONWAAR</v>
      </c>
      <c r="D114" s="15" t="str">
        <f>IF(ISBLANK(D[[#This Row],[KV_GRONDSOORT]]),"ONWAAR","WAAR")</f>
        <v>ONWAAR</v>
      </c>
      <c r="E114" s="15" t="str">
        <f>IF(ISBLANK(D[[#This Row],[CPT_QNET]]),"ONWAAR","WAAR")</f>
        <v>ONWAAR</v>
      </c>
      <c r="F114" s="15" t="str">
        <f>IF(ISBLANK(D[[#This Row],[CRS_GRONDSOORT]]),"ONWAAR","WAAR")</f>
        <v>ONWAAR</v>
      </c>
      <c r="G114" s="15" t="str">
        <f>IF(ISBLANK(D[[#This Row],[SD_GRONDSOORT]]),"ONWAAR","WAAR")</f>
        <v>ONWAAR</v>
      </c>
      <c r="H114" s="15" t="str">
        <f>IF(ISBLANK(D[[#This Row],[DSS_GRONDSOORT]]),"ONWAAR","WAAR")</f>
        <v>ONWAAR</v>
      </c>
      <c r="I114" s="15" t="str">
        <f>IF(ISBLANK(D[[#This Row],[TXT_SS_GRONDSOORT]]),"ONWAAR","WAAR")</f>
        <v>ONWAAR</v>
      </c>
      <c r="J114" s="13" t="s">
        <v>1812</v>
      </c>
      <c r="L114" s="13" t="s">
        <v>1418</v>
      </c>
      <c r="M114" s="13" t="s">
        <v>1419</v>
      </c>
      <c r="P114" s="13" t="s">
        <v>1420</v>
      </c>
      <c r="V114" s="41">
        <v>134119.18</v>
      </c>
      <c r="W114" s="41">
        <v>414879.05</v>
      </c>
      <c r="X114" s="41">
        <v>2.48</v>
      </c>
      <c r="Y114" s="13" t="s">
        <v>1775</v>
      </c>
      <c r="Z114" s="13" t="s">
        <v>1737</v>
      </c>
      <c r="AA114" s="39">
        <v>45177</v>
      </c>
      <c r="AB114" s="13" t="s">
        <v>1776</v>
      </c>
      <c r="AC114" s="13" t="s">
        <v>1777</v>
      </c>
      <c r="AD114" s="13" t="s">
        <v>1425</v>
      </c>
      <c r="AE114" s="13" t="s">
        <v>1692</v>
      </c>
      <c r="AF114" s="13" t="s">
        <v>1427</v>
      </c>
      <c r="AG114" s="41">
        <v>-0.22</v>
      </c>
      <c r="AI114" s="13" t="s">
        <v>1585</v>
      </c>
      <c r="AJ114" s="13" t="s">
        <v>1428</v>
      </c>
      <c r="AK114" s="13" t="s">
        <v>1429</v>
      </c>
      <c r="AL114" s="41">
        <v>-12.22</v>
      </c>
      <c r="AM114" s="41">
        <v>-12.55</v>
      </c>
      <c r="AN114" s="41">
        <v>14.7</v>
      </c>
      <c r="AO114" s="41">
        <v>15.03</v>
      </c>
      <c r="AP114" s="13">
        <v>24</v>
      </c>
      <c r="AQ114" s="13" t="s">
        <v>1778</v>
      </c>
      <c r="AR114" s="13" t="s">
        <v>1431</v>
      </c>
      <c r="AS114" s="13" t="s">
        <v>1812</v>
      </c>
      <c r="AT114" s="13" t="s">
        <v>1425</v>
      </c>
      <c r="AU114" s="13" t="s">
        <v>1432</v>
      </c>
      <c r="AV114" s="39">
        <v>45279</v>
      </c>
      <c r="AW114" s="13" t="s">
        <v>1813</v>
      </c>
      <c r="AY114" s="41">
        <v>-12.35</v>
      </c>
      <c r="AZ114" s="41"/>
      <c r="BA114" s="41"/>
      <c r="BB114" s="41"/>
    </row>
    <row r="115" spans="1:425">
      <c r="A115" s="14">
        <v>105</v>
      </c>
      <c r="B115" s="15" t="str">
        <f>IF(ISBLANK(D[[#This Row],[CLAS_GRONDSOORT]]),"ONWAAR","WAAR")</f>
        <v>WAAR</v>
      </c>
      <c r="C115" s="15" t="str">
        <f>IF(ISBLANK(D[[#This Row],[CLAS_VN_HOOFDNAAM]]),"ONWAAR","WAAR")</f>
        <v>ONWAAR</v>
      </c>
      <c r="D115" s="15" t="str">
        <f>IF(ISBLANK(D[[#This Row],[KV_GRONDSOORT]]),"ONWAAR","WAAR")</f>
        <v>ONWAAR</v>
      </c>
      <c r="E115" s="15" t="str">
        <f>IF(ISBLANK(D[[#This Row],[CPT_QNET]]),"ONWAAR","WAAR")</f>
        <v>ONWAAR</v>
      </c>
      <c r="F115" s="15" t="str">
        <f>IF(ISBLANK(D[[#This Row],[CRS_GRONDSOORT]]),"ONWAAR","WAAR")</f>
        <v>ONWAAR</v>
      </c>
      <c r="G115" s="15" t="str">
        <f>IF(ISBLANK(D[[#This Row],[SD_GRONDSOORT]]),"ONWAAR","WAAR")</f>
        <v>ONWAAR</v>
      </c>
      <c r="H115" s="15" t="str">
        <f>IF(ISBLANK(D[[#This Row],[DSS_GRONDSOORT]]),"ONWAAR","WAAR")</f>
        <v>ONWAAR</v>
      </c>
      <c r="I115" s="15" t="str">
        <f>IF(ISBLANK(D[[#This Row],[TXT_SS_GRONDSOORT]]),"ONWAAR","WAAR")</f>
        <v>ONWAAR</v>
      </c>
      <c r="J115" s="13" t="s">
        <v>1814</v>
      </c>
      <c r="L115" s="13" t="s">
        <v>1418</v>
      </c>
      <c r="M115" s="13" t="s">
        <v>1419</v>
      </c>
      <c r="P115" s="13" t="s">
        <v>1420</v>
      </c>
      <c r="V115" s="41">
        <v>134119.18</v>
      </c>
      <c r="W115" s="41">
        <v>414879.05</v>
      </c>
      <c r="X115" s="41">
        <v>2.48</v>
      </c>
      <c r="Y115" s="13" t="s">
        <v>1775</v>
      </c>
      <c r="Z115" s="13" t="s">
        <v>1737</v>
      </c>
      <c r="AA115" s="39">
        <v>45177</v>
      </c>
      <c r="AB115" s="13" t="s">
        <v>1776</v>
      </c>
      <c r="AC115" s="13" t="s">
        <v>1777</v>
      </c>
      <c r="AD115" s="13" t="s">
        <v>1425</v>
      </c>
      <c r="AE115" s="13" t="s">
        <v>1692</v>
      </c>
      <c r="AF115" s="13" t="s">
        <v>1427</v>
      </c>
      <c r="AG115" s="41">
        <v>-0.22</v>
      </c>
      <c r="AI115" s="13" t="s">
        <v>1590</v>
      </c>
      <c r="AJ115" s="13" t="s">
        <v>1428</v>
      </c>
      <c r="AK115" s="13" t="s">
        <v>1429</v>
      </c>
      <c r="AL115" s="41">
        <v>-12.55</v>
      </c>
      <c r="AM115" s="41">
        <v>-12.62</v>
      </c>
      <c r="AN115" s="41">
        <v>15.03</v>
      </c>
      <c r="AO115" s="41">
        <v>15.1</v>
      </c>
      <c r="AQ115" s="13" t="s">
        <v>1778</v>
      </c>
      <c r="AR115" s="13" t="s">
        <v>1431</v>
      </c>
      <c r="AS115" s="13" t="s">
        <v>1814</v>
      </c>
      <c r="AT115" s="13" t="s">
        <v>1425</v>
      </c>
      <c r="AU115" s="13" t="s">
        <v>1432</v>
      </c>
      <c r="AV115" s="39">
        <v>45279</v>
      </c>
      <c r="AW115" s="13" t="s">
        <v>1815</v>
      </c>
      <c r="AY115" s="41">
        <v>-12.52</v>
      </c>
      <c r="AZ115" s="41"/>
      <c r="BA115" s="41"/>
      <c r="BB115" s="41"/>
    </row>
    <row r="116" spans="1:425">
      <c r="A116" s="14">
        <v>106</v>
      </c>
      <c r="B116" s="15" t="str">
        <f>IF(ISBLANK(D[[#This Row],[CLAS_GRONDSOORT]]),"ONWAAR","WAAR")</f>
        <v>WAAR</v>
      </c>
      <c r="C116" s="15" t="str">
        <f>IF(ISBLANK(D[[#This Row],[CLAS_VN_HOOFDNAAM]]),"ONWAAR","WAAR")</f>
        <v>ONWAAR</v>
      </c>
      <c r="D116" s="15" t="str">
        <f>IF(ISBLANK(D[[#This Row],[KV_GRONDSOORT]]),"ONWAAR","WAAR")</f>
        <v>ONWAAR</v>
      </c>
      <c r="E116" s="15" t="str">
        <f>IF(ISBLANK(D[[#This Row],[CPT_QNET]]),"ONWAAR","WAAR")</f>
        <v>ONWAAR</v>
      </c>
      <c r="F116" s="15" t="str">
        <f>IF(ISBLANK(D[[#This Row],[CRS_GRONDSOORT]]),"ONWAAR","WAAR")</f>
        <v>ONWAAR</v>
      </c>
      <c r="G116" s="15" t="str">
        <f>IF(ISBLANK(D[[#This Row],[SD_GRONDSOORT]]),"ONWAAR","WAAR")</f>
        <v>ONWAAR</v>
      </c>
      <c r="H116" s="15" t="str">
        <f>IF(ISBLANK(D[[#This Row],[DSS_GRONDSOORT]]),"ONWAAR","WAAR")</f>
        <v>ONWAAR</v>
      </c>
      <c r="I116" s="15" t="str">
        <f>IF(ISBLANK(D[[#This Row],[TXT_SS_GRONDSOORT]]),"ONWAAR","WAAR")</f>
        <v>ONWAAR</v>
      </c>
      <c r="J116" s="13" t="s">
        <v>1816</v>
      </c>
      <c r="L116" s="13" t="s">
        <v>1418</v>
      </c>
      <c r="M116" s="13" t="s">
        <v>1419</v>
      </c>
      <c r="P116" s="13" t="s">
        <v>1420</v>
      </c>
      <c r="V116" s="41">
        <v>134119.18</v>
      </c>
      <c r="W116" s="41">
        <v>414879.05</v>
      </c>
      <c r="X116" s="41">
        <v>2.48</v>
      </c>
      <c r="Y116" s="13" t="s">
        <v>1775</v>
      </c>
      <c r="Z116" s="13" t="s">
        <v>1737</v>
      </c>
      <c r="AA116" s="39">
        <v>45177</v>
      </c>
      <c r="AB116" s="13" t="s">
        <v>1776</v>
      </c>
      <c r="AC116" s="13" t="s">
        <v>1777</v>
      </c>
      <c r="AD116" s="13" t="s">
        <v>1425</v>
      </c>
      <c r="AE116" s="13" t="s">
        <v>1692</v>
      </c>
      <c r="AF116" s="13" t="s">
        <v>1427</v>
      </c>
      <c r="AG116" s="41">
        <v>-0.22</v>
      </c>
      <c r="AI116" s="13">
        <v>11</v>
      </c>
      <c r="AJ116" s="13" t="s">
        <v>1428</v>
      </c>
      <c r="AK116" s="13" t="s">
        <v>1429</v>
      </c>
      <c r="AL116" s="41">
        <v>-12.72</v>
      </c>
      <c r="AM116" s="41">
        <v>-13.12</v>
      </c>
      <c r="AN116" s="41">
        <v>15.2</v>
      </c>
      <c r="AO116" s="41">
        <v>15.6</v>
      </c>
      <c r="AP116" s="13">
        <v>25.4</v>
      </c>
      <c r="AQ116" s="13" t="s">
        <v>1778</v>
      </c>
      <c r="AR116" s="13" t="s">
        <v>1431</v>
      </c>
      <c r="AS116" s="13" t="s">
        <v>1816</v>
      </c>
      <c r="AT116" s="13" t="s">
        <v>1425</v>
      </c>
      <c r="AU116" s="13" t="s">
        <v>1432</v>
      </c>
      <c r="AV116" s="39">
        <v>45279</v>
      </c>
      <c r="AW116" s="13" t="s">
        <v>1817</v>
      </c>
      <c r="AY116" s="41">
        <v>-12.92</v>
      </c>
      <c r="AZ116" s="41"/>
      <c r="BA116" s="41"/>
      <c r="BB116" s="41"/>
    </row>
    <row r="117" spans="1:425">
      <c r="A117" s="14">
        <v>107</v>
      </c>
      <c r="B117" s="15" t="str">
        <f>IF(ISBLANK(D[[#This Row],[CLAS_GRONDSOORT]]),"ONWAAR","WAAR")</f>
        <v>WAAR</v>
      </c>
      <c r="C117" s="15" t="str">
        <f>IF(ISBLANK(D[[#This Row],[CLAS_VN_HOOFDNAAM]]),"ONWAAR","WAAR")</f>
        <v>ONWAAR</v>
      </c>
      <c r="D117" s="15" t="str">
        <f>IF(ISBLANK(D[[#This Row],[KV_GRONDSOORT]]),"ONWAAR","WAAR")</f>
        <v>ONWAAR</v>
      </c>
      <c r="E117" s="15" t="str">
        <f>IF(ISBLANK(D[[#This Row],[CPT_QNET]]),"ONWAAR","WAAR")</f>
        <v>ONWAAR</v>
      </c>
      <c r="F117" s="15" t="str">
        <f>IF(ISBLANK(D[[#This Row],[CRS_GRONDSOORT]]),"ONWAAR","WAAR")</f>
        <v>ONWAAR</v>
      </c>
      <c r="G117" s="15" t="str">
        <f>IF(ISBLANK(D[[#This Row],[SD_GRONDSOORT]]),"ONWAAR","WAAR")</f>
        <v>ONWAAR</v>
      </c>
      <c r="H117" s="15" t="str">
        <f>IF(ISBLANK(D[[#This Row],[DSS_GRONDSOORT]]),"ONWAAR","WAAR")</f>
        <v>ONWAAR</v>
      </c>
      <c r="I117" s="15" t="str">
        <f>IF(ISBLANK(D[[#This Row],[TXT_SS_GRONDSOORT]]),"ONWAAR","WAAR")</f>
        <v>ONWAAR</v>
      </c>
      <c r="J117" s="13" t="s">
        <v>1818</v>
      </c>
      <c r="L117" s="13" t="s">
        <v>1418</v>
      </c>
      <c r="M117" s="13" t="s">
        <v>1419</v>
      </c>
      <c r="P117" s="13" t="s">
        <v>1420</v>
      </c>
      <c r="V117" s="41">
        <v>134119.18</v>
      </c>
      <c r="W117" s="41">
        <v>414879.05</v>
      </c>
      <c r="X117" s="41">
        <v>2.48</v>
      </c>
      <c r="Y117" s="13" t="s">
        <v>1775</v>
      </c>
      <c r="Z117" s="13" t="s">
        <v>1737</v>
      </c>
      <c r="AA117" s="39">
        <v>45177</v>
      </c>
      <c r="AB117" s="13" t="s">
        <v>1776</v>
      </c>
      <c r="AC117" s="13" t="s">
        <v>1777</v>
      </c>
      <c r="AD117" s="13" t="s">
        <v>1425</v>
      </c>
      <c r="AE117" s="13" t="s">
        <v>1692</v>
      </c>
      <c r="AF117" s="13" t="s">
        <v>1427</v>
      </c>
      <c r="AG117" s="41">
        <v>-0.22</v>
      </c>
      <c r="AI117" s="13" t="s">
        <v>1599</v>
      </c>
      <c r="AJ117" s="13" t="s">
        <v>1428</v>
      </c>
      <c r="AK117" s="13" t="s">
        <v>1429</v>
      </c>
      <c r="AL117" s="41">
        <v>-13.22</v>
      </c>
      <c r="AM117" s="41">
        <v>-13.42</v>
      </c>
      <c r="AN117" s="41">
        <v>15.7</v>
      </c>
      <c r="AO117" s="41">
        <v>15.9</v>
      </c>
      <c r="AP117" s="13">
        <v>19.2</v>
      </c>
      <c r="AQ117" s="13" t="s">
        <v>1778</v>
      </c>
      <c r="AR117" s="13" t="s">
        <v>1431</v>
      </c>
      <c r="AS117" s="13" t="s">
        <v>1818</v>
      </c>
      <c r="AT117" s="13" t="s">
        <v>1425</v>
      </c>
      <c r="AU117" s="13" t="s">
        <v>1432</v>
      </c>
      <c r="AV117" s="39">
        <v>45279</v>
      </c>
      <c r="AW117" s="13" t="s">
        <v>1819</v>
      </c>
      <c r="AY117" s="41">
        <v>-13.32</v>
      </c>
      <c r="AZ117" s="41"/>
      <c r="BA117" s="41"/>
      <c r="BB117" s="41"/>
    </row>
    <row r="118" spans="1:425">
      <c r="A118" s="14">
        <v>108</v>
      </c>
      <c r="B118" s="15" t="str">
        <f>IF(ISBLANK(D[[#This Row],[CLAS_GRONDSOORT]]),"ONWAAR","WAAR")</f>
        <v>WAAR</v>
      </c>
      <c r="C118" s="15" t="str">
        <f>IF(ISBLANK(D[[#This Row],[CLAS_VN_HOOFDNAAM]]),"ONWAAR","WAAR")</f>
        <v>ONWAAR</v>
      </c>
      <c r="D118" s="15" t="str">
        <f>IF(ISBLANK(D[[#This Row],[KV_GRONDSOORT]]),"ONWAAR","WAAR")</f>
        <v>ONWAAR</v>
      </c>
      <c r="E118" s="15" t="str">
        <f>IF(ISBLANK(D[[#This Row],[CPT_QNET]]),"ONWAAR","WAAR")</f>
        <v>ONWAAR</v>
      </c>
      <c r="F118" s="15" t="str">
        <f>IF(ISBLANK(D[[#This Row],[CRS_GRONDSOORT]]),"ONWAAR","WAAR")</f>
        <v>ONWAAR</v>
      </c>
      <c r="G118" s="15" t="str">
        <f>IF(ISBLANK(D[[#This Row],[SD_GRONDSOORT]]),"ONWAAR","WAAR")</f>
        <v>ONWAAR</v>
      </c>
      <c r="H118" s="15" t="str">
        <f>IF(ISBLANK(D[[#This Row],[DSS_GRONDSOORT]]),"ONWAAR","WAAR")</f>
        <v>ONWAAR</v>
      </c>
      <c r="I118" s="15" t="str">
        <f>IF(ISBLANK(D[[#This Row],[TXT_SS_GRONDSOORT]]),"ONWAAR","WAAR")</f>
        <v>ONWAAR</v>
      </c>
      <c r="J118" s="13" t="s">
        <v>1820</v>
      </c>
      <c r="L118" s="13" t="s">
        <v>1418</v>
      </c>
      <c r="M118" s="13" t="s">
        <v>1419</v>
      </c>
      <c r="P118" s="13" t="s">
        <v>1420</v>
      </c>
      <c r="V118" s="41">
        <v>134119.18</v>
      </c>
      <c r="W118" s="41">
        <v>414879.05</v>
      </c>
      <c r="X118" s="41">
        <v>2.48</v>
      </c>
      <c r="Y118" s="13" t="s">
        <v>1775</v>
      </c>
      <c r="Z118" s="13" t="s">
        <v>1737</v>
      </c>
      <c r="AA118" s="39">
        <v>45177</v>
      </c>
      <c r="AB118" s="13" t="s">
        <v>1776</v>
      </c>
      <c r="AC118" s="13" t="s">
        <v>1777</v>
      </c>
      <c r="AD118" s="13" t="s">
        <v>1425</v>
      </c>
      <c r="AE118" s="13" t="s">
        <v>1692</v>
      </c>
      <c r="AF118" s="13" t="s">
        <v>1427</v>
      </c>
      <c r="AG118" s="41">
        <v>-0.22</v>
      </c>
      <c r="AI118" s="13" t="s">
        <v>1602</v>
      </c>
      <c r="AJ118" s="13" t="s">
        <v>1428</v>
      </c>
      <c r="AK118" s="13" t="s">
        <v>1429</v>
      </c>
      <c r="AL118" s="41">
        <v>-13.42</v>
      </c>
      <c r="AM118" s="41">
        <v>-13.62</v>
      </c>
      <c r="AN118" s="41">
        <v>15.9</v>
      </c>
      <c r="AO118" s="41">
        <v>16.100000000000001</v>
      </c>
      <c r="AQ118" s="13" t="s">
        <v>1778</v>
      </c>
      <c r="AR118" s="13" t="s">
        <v>1431</v>
      </c>
      <c r="AS118" s="13" t="s">
        <v>1820</v>
      </c>
      <c r="AT118" s="13" t="s">
        <v>1425</v>
      </c>
      <c r="AU118" s="13" t="s">
        <v>1432</v>
      </c>
      <c r="AV118" s="39">
        <v>45279</v>
      </c>
      <c r="AW118" s="13" t="s">
        <v>1821</v>
      </c>
      <c r="AY118" s="41">
        <v>-13.52</v>
      </c>
      <c r="AZ118" s="41"/>
      <c r="BA118" s="41"/>
      <c r="BB118" s="41"/>
    </row>
    <row r="119" spans="1:425">
      <c r="A119" s="14">
        <v>109</v>
      </c>
      <c r="B119" s="15" t="str">
        <f>IF(ISBLANK(D[[#This Row],[CLAS_GRONDSOORT]]),"ONWAAR","WAAR")</f>
        <v>WAAR</v>
      </c>
      <c r="C119" s="15" t="str">
        <f>IF(ISBLANK(D[[#This Row],[CLAS_VN_HOOFDNAAM]]),"ONWAAR","WAAR")</f>
        <v>ONWAAR</v>
      </c>
      <c r="D119" s="15" t="str">
        <f>IF(ISBLANK(D[[#This Row],[KV_GRONDSOORT]]),"ONWAAR","WAAR")</f>
        <v>ONWAAR</v>
      </c>
      <c r="E119" s="15" t="str">
        <f>IF(ISBLANK(D[[#This Row],[CPT_QNET]]),"ONWAAR","WAAR")</f>
        <v>ONWAAR</v>
      </c>
      <c r="F119" s="15" t="str">
        <f>IF(ISBLANK(D[[#This Row],[CRS_GRONDSOORT]]),"ONWAAR","WAAR")</f>
        <v>ONWAAR</v>
      </c>
      <c r="G119" s="15" t="str">
        <f>IF(ISBLANK(D[[#This Row],[SD_GRONDSOORT]]),"ONWAAR","WAAR")</f>
        <v>ONWAAR</v>
      </c>
      <c r="H119" s="15" t="str">
        <f>IF(ISBLANK(D[[#This Row],[DSS_GRONDSOORT]]),"ONWAAR","WAAR")</f>
        <v>ONWAAR</v>
      </c>
      <c r="I119" s="15" t="str">
        <f>IF(ISBLANK(D[[#This Row],[TXT_SS_GRONDSOORT]]),"ONWAAR","WAAR")</f>
        <v>ONWAAR</v>
      </c>
      <c r="J119" s="13" t="s">
        <v>1822</v>
      </c>
      <c r="L119" s="13" t="s">
        <v>1418</v>
      </c>
      <c r="M119" s="13" t="s">
        <v>1419</v>
      </c>
      <c r="P119" s="13" t="s">
        <v>1420</v>
      </c>
      <c r="V119" s="41">
        <v>134079.72</v>
      </c>
      <c r="W119" s="41">
        <v>414857.17</v>
      </c>
      <c r="X119" s="41">
        <v>6.15</v>
      </c>
      <c r="Y119" s="13" t="s">
        <v>1823</v>
      </c>
      <c r="Z119" s="13" t="s">
        <v>1422</v>
      </c>
      <c r="AA119" s="39">
        <v>45181</v>
      </c>
      <c r="AB119" s="13" t="s">
        <v>1824</v>
      </c>
      <c r="AC119" s="13" t="s">
        <v>1825</v>
      </c>
      <c r="AD119" s="13" t="s">
        <v>1425</v>
      </c>
      <c r="AE119" s="13" t="s">
        <v>1476</v>
      </c>
      <c r="AF119" s="13" t="s">
        <v>1427</v>
      </c>
      <c r="AG119" s="41">
        <v>0.35</v>
      </c>
      <c r="AI119" s="13">
        <v>1</v>
      </c>
      <c r="AJ119" s="13" t="s">
        <v>1428</v>
      </c>
      <c r="AK119" s="13" t="s">
        <v>1429</v>
      </c>
      <c r="AL119" s="41">
        <v>5.45</v>
      </c>
      <c r="AM119" s="41">
        <v>5.3</v>
      </c>
      <c r="AN119" s="41">
        <v>0.7</v>
      </c>
      <c r="AO119" s="41">
        <v>0.85</v>
      </c>
      <c r="AP119" s="13">
        <v>13</v>
      </c>
      <c r="AQ119" s="13" t="s">
        <v>1826</v>
      </c>
      <c r="AR119" s="13" t="s">
        <v>1431</v>
      </c>
      <c r="AS119" s="13" t="s">
        <v>1822</v>
      </c>
      <c r="AT119" s="13" t="s">
        <v>1425</v>
      </c>
      <c r="AU119" s="13" t="s">
        <v>1432</v>
      </c>
      <c r="AV119" s="39">
        <v>45279</v>
      </c>
      <c r="AW119" s="13" t="s">
        <v>1827</v>
      </c>
      <c r="AY119" s="41">
        <v>5.38</v>
      </c>
      <c r="AZ119" s="41"/>
      <c r="BA119" s="41"/>
      <c r="BB119" s="41"/>
    </row>
    <row r="120" spans="1:425">
      <c r="A120" s="14">
        <v>110</v>
      </c>
      <c r="B120" s="15" t="str">
        <f>IF(ISBLANK(D[[#This Row],[CLAS_GRONDSOORT]]),"ONWAAR","WAAR")</f>
        <v>WAAR</v>
      </c>
      <c r="C120" s="15" t="str">
        <f>IF(ISBLANK(D[[#This Row],[CLAS_VN_HOOFDNAAM]]),"ONWAAR","WAAR")</f>
        <v>ONWAAR</v>
      </c>
      <c r="D120" s="15" t="str">
        <f>IF(ISBLANK(D[[#This Row],[KV_GRONDSOORT]]),"ONWAAR","WAAR")</f>
        <v>ONWAAR</v>
      </c>
      <c r="E120" s="15" t="str">
        <f>IF(ISBLANK(D[[#This Row],[CPT_QNET]]),"ONWAAR","WAAR")</f>
        <v>ONWAAR</v>
      </c>
      <c r="F120" s="15" t="str">
        <f>IF(ISBLANK(D[[#This Row],[CRS_GRONDSOORT]]),"ONWAAR","WAAR")</f>
        <v>ONWAAR</v>
      </c>
      <c r="G120" s="15" t="str">
        <f>IF(ISBLANK(D[[#This Row],[SD_GRONDSOORT]]),"ONWAAR","WAAR")</f>
        <v>ONWAAR</v>
      </c>
      <c r="H120" s="15" t="str">
        <f>IF(ISBLANK(D[[#This Row],[DSS_GRONDSOORT]]),"ONWAAR","WAAR")</f>
        <v>ONWAAR</v>
      </c>
      <c r="I120" s="15" t="str">
        <f>IF(ISBLANK(D[[#This Row],[TXT_SS_GRONDSOORT]]),"ONWAAR","WAAR")</f>
        <v>ONWAAR</v>
      </c>
      <c r="J120" s="13" t="s">
        <v>1828</v>
      </c>
      <c r="L120" s="13" t="s">
        <v>1418</v>
      </c>
      <c r="M120" s="13" t="s">
        <v>1419</v>
      </c>
      <c r="P120" s="13" t="s">
        <v>1420</v>
      </c>
      <c r="V120" s="41">
        <v>134079.72</v>
      </c>
      <c r="W120" s="41">
        <v>414857.17</v>
      </c>
      <c r="X120" s="41">
        <v>6.15</v>
      </c>
      <c r="Y120" s="13" t="s">
        <v>1823</v>
      </c>
      <c r="Z120" s="13" t="s">
        <v>1422</v>
      </c>
      <c r="AA120" s="39">
        <v>45181</v>
      </c>
      <c r="AB120" s="13" t="s">
        <v>1824</v>
      </c>
      <c r="AC120" s="13" t="s">
        <v>1825</v>
      </c>
      <c r="AD120" s="13" t="s">
        <v>1425</v>
      </c>
      <c r="AE120" s="13" t="s">
        <v>1476</v>
      </c>
      <c r="AF120" s="13" t="s">
        <v>1427</v>
      </c>
      <c r="AG120" s="41">
        <v>0.35</v>
      </c>
      <c r="AI120" s="13">
        <v>2</v>
      </c>
      <c r="AJ120" s="13" t="s">
        <v>1428</v>
      </c>
      <c r="AK120" s="13" t="s">
        <v>1429</v>
      </c>
      <c r="AL120" s="41">
        <v>4.45</v>
      </c>
      <c r="AM120" s="41">
        <v>4.05</v>
      </c>
      <c r="AN120" s="41">
        <v>1.7</v>
      </c>
      <c r="AO120" s="41">
        <v>2.1</v>
      </c>
      <c r="AP120" s="13">
        <v>25.2</v>
      </c>
      <c r="AQ120" s="13" t="s">
        <v>1826</v>
      </c>
      <c r="AR120" s="13" t="s">
        <v>1431</v>
      </c>
      <c r="AS120" s="13" t="s">
        <v>1828</v>
      </c>
      <c r="AT120" s="13" t="s">
        <v>1425</v>
      </c>
      <c r="AU120" s="13" t="s">
        <v>1432</v>
      </c>
      <c r="AV120" s="39">
        <v>45279</v>
      </c>
      <c r="AW120" s="13" t="s">
        <v>1827</v>
      </c>
      <c r="AY120" s="41">
        <v>4.4000000000000004</v>
      </c>
      <c r="AZ120" s="41">
        <v>19.3</v>
      </c>
      <c r="BA120" s="41">
        <v>15.8</v>
      </c>
      <c r="BB120" s="41">
        <v>22</v>
      </c>
    </row>
    <row r="121" spans="1:425">
      <c r="A121" s="14">
        <v>111</v>
      </c>
      <c r="B121" s="15" t="str">
        <f>IF(ISBLANK(D[[#This Row],[CLAS_GRONDSOORT]]),"ONWAAR","WAAR")</f>
        <v>WAAR</v>
      </c>
      <c r="C121" s="15" t="str">
        <f>IF(ISBLANK(D[[#This Row],[CLAS_VN_HOOFDNAAM]]),"ONWAAR","WAAR")</f>
        <v>ONWAAR</v>
      </c>
      <c r="D121" s="15" t="str">
        <f>IF(ISBLANK(D[[#This Row],[KV_GRONDSOORT]]),"ONWAAR","WAAR")</f>
        <v>ONWAAR</v>
      </c>
      <c r="E121" s="15" t="str">
        <f>IF(ISBLANK(D[[#This Row],[CPT_QNET]]),"ONWAAR","WAAR")</f>
        <v>ONWAAR</v>
      </c>
      <c r="F121" s="15" t="str">
        <f>IF(ISBLANK(D[[#This Row],[CRS_GRONDSOORT]]),"ONWAAR","WAAR")</f>
        <v>ONWAAR</v>
      </c>
      <c r="G121" s="15" t="str">
        <f>IF(ISBLANK(D[[#This Row],[SD_GRONDSOORT]]),"ONWAAR","WAAR")</f>
        <v>ONWAAR</v>
      </c>
      <c r="H121" s="15" t="str">
        <f>IF(ISBLANK(D[[#This Row],[DSS_GRONDSOORT]]),"ONWAAR","WAAR")</f>
        <v>ONWAAR</v>
      </c>
      <c r="I121" s="15" t="str">
        <f>IF(ISBLANK(D[[#This Row],[TXT_SS_GRONDSOORT]]),"ONWAAR","WAAR")</f>
        <v>ONWAAR</v>
      </c>
      <c r="J121" s="13" t="s">
        <v>1829</v>
      </c>
      <c r="L121" s="13" t="s">
        <v>1418</v>
      </c>
      <c r="M121" s="13" t="s">
        <v>1419</v>
      </c>
      <c r="P121" s="13" t="s">
        <v>1420</v>
      </c>
      <c r="V121" s="41">
        <v>134079.72</v>
      </c>
      <c r="W121" s="41">
        <v>414857.17</v>
      </c>
      <c r="X121" s="41">
        <v>6.15</v>
      </c>
      <c r="Y121" s="13" t="s">
        <v>1823</v>
      </c>
      <c r="Z121" s="13" t="s">
        <v>1422</v>
      </c>
      <c r="AA121" s="39">
        <v>45181</v>
      </c>
      <c r="AB121" s="13" t="s">
        <v>1824</v>
      </c>
      <c r="AC121" s="13" t="s">
        <v>1825</v>
      </c>
      <c r="AD121" s="13" t="s">
        <v>1425</v>
      </c>
      <c r="AE121" s="13" t="s">
        <v>1476</v>
      </c>
      <c r="AF121" s="13" t="s">
        <v>1427</v>
      </c>
      <c r="AG121" s="41">
        <v>0.35</v>
      </c>
      <c r="AI121" s="13">
        <v>3</v>
      </c>
      <c r="AJ121" s="13" t="s">
        <v>1428</v>
      </c>
      <c r="AK121" s="13" t="s">
        <v>1429</v>
      </c>
      <c r="AL121" s="41">
        <v>3.45</v>
      </c>
      <c r="AM121" s="41">
        <v>3.19</v>
      </c>
      <c r="AN121" s="41">
        <v>2.7</v>
      </c>
      <c r="AO121" s="41">
        <v>2.96</v>
      </c>
      <c r="AP121" s="13">
        <v>16.899999999999999</v>
      </c>
      <c r="AQ121" s="13" t="s">
        <v>1826</v>
      </c>
      <c r="AR121" s="13" t="s">
        <v>1431</v>
      </c>
      <c r="AS121" s="13" t="s">
        <v>1829</v>
      </c>
      <c r="AT121" s="13" t="s">
        <v>1425</v>
      </c>
      <c r="AU121" s="13" t="s">
        <v>1432</v>
      </c>
      <c r="AV121" s="39">
        <v>45279</v>
      </c>
      <c r="AW121" s="13" t="s">
        <v>1830</v>
      </c>
      <c r="AY121" s="41">
        <v>3.32</v>
      </c>
      <c r="AZ121" s="41"/>
      <c r="BA121" s="41"/>
      <c r="BB121" s="41"/>
    </row>
    <row r="122" spans="1:425">
      <c r="A122" s="14">
        <v>112</v>
      </c>
      <c r="B122" s="15" t="str">
        <f>IF(ISBLANK(D[[#This Row],[CLAS_GRONDSOORT]]),"ONWAAR","WAAR")</f>
        <v>WAAR</v>
      </c>
      <c r="C122" s="15" t="str">
        <f>IF(ISBLANK(D[[#This Row],[CLAS_VN_HOOFDNAAM]]),"ONWAAR","WAAR")</f>
        <v>ONWAAR</v>
      </c>
      <c r="D122" s="15" t="str">
        <f>IF(ISBLANK(D[[#This Row],[KV_GRONDSOORT]]),"ONWAAR","WAAR")</f>
        <v>ONWAAR</v>
      </c>
      <c r="E122" s="15" t="str">
        <f>IF(ISBLANK(D[[#This Row],[CPT_QNET]]),"ONWAAR","WAAR")</f>
        <v>ONWAAR</v>
      </c>
      <c r="F122" s="15" t="str">
        <f>IF(ISBLANK(D[[#This Row],[CRS_GRONDSOORT]]),"ONWAAR","WAAR")</f>
        <v>ONWAAR</v>
      </c>
      <c r="G122" s="15" t="str">
        <f>IF(ISBLANK(D[[#This Row],[SD_GRONDSOORT]]),"ONWAAR","WAAR")</f>
        <v>ONWAAR</v>
      </c>
      <c r="H122" s="15" t="str">
        <f>IF(ISBLANK(D[[#This Row],[DSS_GRONDSOORT]]),"ONWAAR","WAAR")</f>
        <v>ONWAAR</v>
      </c>
      <c r="I122" s="15" t="str">
        <f>IF(ISBLANK(D[[#This Row],[TXT_SS_GRONDSOORT]]),"ONWAAR","WAAR")</f>
        <v>ONWAAR</v>
      </c>
      <c r="J122" s="13" t="s">
        <v>1831</v>
      </c>
      <c r="L122" s="13" t="s">
        <v>1418</v>
      </c>
      <c r="M122" s="13" t="s">
        <v>1419</v>
      </c>
      <c r="P122" s="13" t="s">
        <v>1420</v>
      </c>
      <c r="V122" s="41">
        <v>134079.72</v>
      </c>
      <c r="W122" s="41">
        <v>414857.17</v>
      </c>
      <c r="X122" s="41">
        <v>6.15</v>
      </c>
      <c r="Y122" s="13" t="s">
        <v>1823</v>
      </c>
      <c r="Z122" s="13" t="s">
        <v>1422</v>
      </c>
      <c r="AA122" s="39">
        <v>45181</v>
      </c>
      <c r="AB122" s="13" t="s">
        <v>1824</v>
      </c>
      <c r="AC122" s="13" t="s">
        <v>1825</v>
      </c>
      <c r="AD122" s="13" t="s">
        <v>1425</v>
      </c>
      <c r="AE122" s="13" t="s">
        <v>1476</v>
      </c>
      <c r="AF122" s="13" t="s">
        <v>1427</v>
      </c>
      <c r="AG122" s="41">
        <v>0.35</v>
      </c>
      <c r="AI122" s="13" t="s">
        <v>1439</v>
      </c>
      <c r="AJ122" s="13" t="s">
        <v>1428</v>
      </c>
      <c r="AK122" s="13" t="s">
        <v>1429</v>
      </c>
      <c r="AL122" s="41">
        <v>2.4500000000000002</v>
      </c>
      <c r="AM122" s="41">
        <v>2.3199999999999998</v>
      </c>
      <c r="AN122" s="41">
        <v>3.7</v>
      </c>
      <c r="AO122" s="41">
        <v>3.83</v>
      </c>
      <c r="AP122" s="13">
        <v>12.2</v>
      </c>
      <c r="AQ122" s="13" t="s">
        <v>1826</v>
      </c>
      <c r="AR122" s="13" t="s">
        <v>1431</v>
      </c>
      <c r="AS122" s="13" t="s">
        <v>1831</v>
      </c>
      <c r="AT122" s="13" t="s">
        <v>1425</v>
      </c>
      <c r="AU122" s="13" t="s">
        <v>1432</v>
      </c>
      <c r="AV122" s="39">
        <v>45279</v>
      </c>
      <c r="AW122" s="13" t="s">
        <v>1832</v>
      </c>
      <c r="AY122" s="41">
        <v>2.39</v>
      </c>
      <c r="AZ122" s="41"/>
      <c r="BA122" s="41"/>
      <c r="BB122" s="41"/>
    </row>
    <row r="123" spans="1:425">
      <c r="A123" s="14">
        <v>113</v>
      </c>
      <c r="B123" s="15" t="str">
        <f>IF(ISBLANK(D[[#This Row],[CLAS_GRONDSOORT]]),"ONWAAR","WAAR")</f>
        <v>WAAR</v>
      </c>
      <c r="C123" s="15" t="str">
        <f>IF(ISBLANK(D[[#This Row],[CLAS_VN_HOOFDNAAM]]),"ONWAAR","WAAR")</f>
        <v>ONWAAR</v>
      </c>
      <c r="D123" s="15" t="str">
        <f>IF(ISBLANK(D[[#This Row],[KV_GRONDSOORT]]),"ONWAAR","WAAR")</f>
        <v>ONWAAR</v>
      </c>
      <c r="E123" s="15" t="str">
        <f>IF(ISBLANK(D[[#This Row],[CPT_QNET]]),"ONWAAR","WAAR")</f>
        <v>ONWAAR</v>
      </c>
      <c r="F123" s="15" t="str">
        <f>IF(ISBLANK(D[[#This Row],[CRS_GRONDSOORT]]),"ONWAAR","WAAR")</f>
        <v>ONWAAR</v>
      </c>
      <c r="G123" s="15" t="str">
        <f>IF(ISBLANK(D[[#This Row],[SD_GRONDSOORT]]),"ONWAAR","WAAR")</f>
        <v>ONWAAR</v>
      </c>
      <c r="H123" s="15" t="str">
        <f>IF(ISBLANK(D[[#This Row],[DSS_GRONDSOORT]]),"ONWAAR","WAAR")</f>
        <v>ONWAAR</v>
      </c>
      <c r="I123" s="15" t="str">
        <f>IF(ISBLANK(D[[#This Row],[TXT_SS_GRONDSOORT]]),"ONWAAR","WAAR")</f>
        <v>ONWAAR</v>
      </c>
      <c r="J123" s="13" t="s">
        <v>1833</v>
      </c>
      <c r="L123" s="13" t="s">
        <v>1418</v>
      </c>
      <c r="M123" s="13" t="s">
        <v>1419</v>
      </c>
      <c r="P123" s="13" t="s">
        <v>1420</v>
      </c>
      <c r="V123" s="41">
        <v>134079.72</v>
      </c>
      <c r="W123" s="41">
        <v>414857.17</v>
      </c>
      <c r="X123" s="41">
        <v>6.15</v>
      </c>
      <c r="Y123" s="13" t="s">
        <v>1823</v>
      </c>
      <c r="Z123" s="13" t="s">
        <v>1422</v>
      </c>
      <c r="AA123" s="39">
        <v>45181</v>
      </c>
      <c r="AB123" s="13" t="s">
        <v>1824</v>
      </c>
      <c r="AC123" s="13" t="s">
        <v>1825</v>
      </c>
      <c r="AD123" s="13" t="s">
        <v>1425</v>
      </c>
      <c r="AE123" s="13" t="s">
        <v>1476</v>
      </c>
      <c r="AF123" s="13" t="s">
        <v>1427</v>
      </c>
      <c r="AG123" s="41">
        <v>0.35</v>
      </c>
      <c r="AI123" s="13" t="s">
        <v>1442</v>
      </c>
      <c r="AJ123" s="13" t="s">
        <v>1428</v>
      </c>
      <c r="AK123" s="13" t="s">
        <v>1429</v>
      </c>
      <c r="AL123" s="41">
        <v>2.3199999999999998</v>
      </c>
      <c r="AM123" s="41">
        <v>2.15</v>
      </c>
      <c r="AN123" s="41">
        <v>3.83</v>
      </c>
      <c r="AO123" s="41">
        <v>4</v>
      </c>
      <c r="AQ123" s="13" t="s">
        <v>1826</v>
      </c>
      <c r="AR123" s="13" t="s">
        <v>1431</v>
      </c>
      <c r="AS123" s="13" t="s">
        <v>1833</v>
      </c>
      <c r="AT123" s="13" t="s">
        <v>1425</v>
      </c>
      <c r="AU123" s="13" t="s">
        <v>1432</v>
      </c>
      <c r="AV123" s="39">
        <v>45279</v>
      </c>
      <c r="AW123" s="13" t="s">
        <v>1834</v>
      </c>
      <c r="AY123" s="41">
        <v>2.2400000000000002</v>
      </c>
      <c r="AZ123" s="41"/>
      <c r="BA123" s="41"/>
      <c r="BB123" s="41"/>
    </row>
    <row r="124" spans="1:425">
      <c r="A124" s="14">
        <v>114</v>
      </c>
      <c r="B124" s="15" t="str">
        <f>IF(ISBLANK(D[[#This Row],[CLAS_GRONDSOORT]]),"ONWAAR","WAAR")</f>
        <v>WAAR</v>
      </c>
      <c r="C124" s="15" t="str">
        <f>IF(ISBLANK(D[[#This Row],[CLAS_VN_HOOFDNAAM]]),"ONWAAR","WAAR")</f>
        <v>ONWAAR</v>
      </c>
      <c r="D124" s="15" t="str">
        <f>IF(ISBLANK(D[[#This Row],[KV_GRONDSOORT]]),"ONWAAR","WAAR")</f>
        <v>ONWAAR</v>
      </c>
      <c r="E124" s="15" t="str">
        <f>IF(ISBLANK(D[[#This Row],[CPT_QNET]]),"ONWAAR","WAAR")</f>
        <v>ONWAAR</v>
      </c>
      <c r="F124" s="15" t="str">
        <f>IF(ISBLANK(D[[#This Row],[CRS_GRONDSOORT]]),"ONWAAR","WAAR")</f>
        <v>ONWAAR</v>
      </c>
      <c r="G124" s="15" t="str">
        <f>IF(ISBLANK(D[[#This Row],[SD_GRONDSOORT]]),"ONWAAR","WAAR")</f>
        <v>ONWAAR</v>
      </c>
      <c r="H124" s="15" t="str">
        <f>IF(ISBLANK(D[[#This Row],[DSS_GRONDSOORT]]),"ONWAAR","WAAR")</f>
        <v>ONWAAR</v>
      </c>
      <c r="I124" s="15" t="str">
        <f>IF(ISBLANK(D[[#This Row],[TXT_SS_GRONDSOORT]]),"ONWAAR","WAAR")</f>
        <v>ONWAAR</v>
      </c>
      <c r="J124" s="13" t="s">
        <v>1835</v>
      </c>
      <c r="L124" s="13" t="s">
        <v>1418</v>
      </c>
      <c r="M124" s="13" t="s">
        <v>1419</v>
      </c>
      <c r="P124" s="13" t="s">
        <v>1420</v>
      </c>
      <c r="V124" s="41">
        <v>134079.72</v>
      </c>
      <c r="W124" s="41">
        <v>414857.17</v>
      </c>
      <c r="X124" s="41">
        <v>6.15</v>
      </c>
      <c r="Y124" s="13" t="s">
        <v>1823</v>
      </c>
      <c r="Z124" s="13" t="s">
        <v>1422</v>
      </c>
      <c r="AA124" s="39">
        <v>45181</v>
      </c>
      <c r="AB124" s="13" t="s">
        <v>1824</v>
      </c>
      <c r="AC124" s="13" t="s">
        <v>1825</v>
      </c>
      <c r="AD124" s="13" t="s">
        <v>1425</v>
      </c>
      <c r="AE124" s="13" t="s">
        <v>1476</v>
      </c>
      <c r="AF124" s="13" t="s">
        <v>1427</v>
      </c>
      <c r="AG124" s="41">
        <v>0.35</v>
      </c>
      <c r="AI124" s="13">
        <v>5</v>
      </c>
      <c r="AJ124" s="13" t="s">
        <v>1428</v>
      </c>
      <c r="AK124" s="13" t="s">
        <v>1429</v>
      </c>
      <c r="AL124" s="41">
        <v>1.45</v>
      </c>
      <c r="AM124" s="41">
        <v>1.43</v>
      </c>
      <c r="AN124" s="41">
        <v>4.7</v>
      </c>
      <c r="AO124" s="41">
        <v>4.72</v>
      </c>
      <c r="AP124" s="13">
        <v>2.8</v>
      </c>
      <c r="AQ124" s="13" t="s">
        <v>1826</v>
      </c>
      <c r="AR124" s="13" t="s">
        <v>1431</v>
      </c>
      <c r="AS124" s="13" t="s">
        <v>1835</v>
      </c>
      <c r="AT124" s="13" t="s">
        <v>1425</v>
      </c>
      <c r="AU124" s="13" t="s">
        <v>1432</v>
      </c>
      <c r="AV124" s="39">
        <v>45279</v>
      </c>
      <c r="AW124" s="13" t="s">
        <v>1836</v>
      </c>
      <c r="AY124" s="41">
        <v>1.44</v>
      </c>
      <c r="AZ124" s="41"/>
      <c r="BA124" s="41"/>
      <c r="BB124" s="41"/>
    </row>
    <row r="125" spans="1:425">
      <c r="A125" s="14">
        <v>115</v>
      </c>
      <c r="B125" s="15" t="str">
        <f>IF(ISBLANK(D[[#This Row],[CLAS_GRONDSOORT]]),"ONWAAR","WAAR")</f>
        <v>WAAR</v>
      </c>
      <c r="C125" s="15" t="str">
        <f>IF(ISBLANK(D[[#This Row],[CLAS_VN_HOOFDNAAM]]),"ONWAAR","WAAR")</f>
        <v>ONWAAR</v>
      </c>
      <c r="D125" s="15" t="str">
        <f>IF(ISBLANK(D[[#This Row],[KV_GRONDSOORT]]),"ONWAAR","WAAR")</f>
        <v>ONWAAR</v>
      </c>
      <c r="E125" s="15" t="str">
        <f>IF(ISBLANK(D[[#This Row],[CPT_QNET]]),"ONWAAR","WAAR")</f>
        <v>ONWAAR</v>
      </c>
      <c r="F125" s="15" t="str">
        <f>IF(ISBLANK(D[[#This Row],[CRS_GRONDSOORT]]),"ONWAAR","WAAR")</f>
        <v>ONWAAR</v>
      </c>
      <c r="G125" s="15" t="str">
        <f>IF(ISBLANK(D[[#This Row],[SD_GRONDSOORT]]),"ONWAAR","WAAR")</f>
        <v>ONWAAR</v>
      </c>
      <c r="H125" s="15" t="str">
        <f>IF(ISBLANK(D[[#This Row],[DSS_GRONDSOORT]]),"ONWAAR","WAAR")</f>
        <v>ONWAAR</v>
      </c>
      <c r="I125" s="15" t="str">
        <f>IF(ISBLANK(D[[#This Row],[TXT_SS_GRONDSOORT]]),"ONWAAR","WAAR")</f>
        <v>WAAR</v>
      </c>
      <c r="J125" s="13" t="s">
        <v>1837</v>
      </c>
      <c r="L125" s="13" t="s">
        <v>1418</v>
      </c>
      <c r="M125" s="13" t="s">
        <v>1419</v>
      </c>
      <c r="P125" s="13" t="s">
        <v>1420</v>
      </c>
      <c r="V125" s="41">
        <v>134079.72</v>
      </c>
      <c r="W125" s="41">
        <v>414857.17</v>
      </c>
      <c r="X125" s="41">
        <v>6.15</v>
      </c>
      <c r="Y125" s="13" t="s">
        <v>1823</v>
      </c>
      <c r="Z125" s="13" t="s">
        <v>1422</v>
      </c>
      <c r="AA125" s="39">
        <v>45181</v>
      </c>
      <c r="AB125" s="13" t="s">
        <v>1824</v>
      </c>
      <c r="AC125" s="13" t="s">
        <v>1825</v>
      </c>
      <c r="AD125" s="13" t="s">
        <v>1425</v>
      </c>
      <c r="AE125" s="13" t="s">
        <v>1476</v>
      </c>
      <c r="AF125" s="13" t="s">
        <v>1427</v>
      </c>
      <c r="AG125" s="41">
        <v>0.35</v>
      </c>
      <c r="AI125" s="13">
        <v>6</v>
      </c>
      <c r="AJ125" s="13" t="s">
        <v>1428</v>
      </c>
      <c r="AK125" s="13" t="s">
        <v>1429</v>
      </c>
      <c r="AL125" s="41">
        <v>0.45</v>
      </c>
      <c r="AM125" s="41">
        <v>0.16</v>
      </c>
      <c r="AN125" s="41">
        <v>5.7</v>
      </c>
      <c r="AO125" s="41">
        <v>5.99</v>
      </c>
      <c r="AP125" s="13">
        <v>2.8</v>
      </c>
      <c r="AQ125" s="13" t="s">
        <v>1826</v>
      </c>
      <c r="AR125" s="13" t="s">
        <v>1431</v>
      </c>
      <c r="AS125" s="13" t="s">
        <v>1837</v>
      </c>
      <c r="AT125" s="13" t="s">
        <v>1425</v>
      </c>
      <c r="AU125" s="13" t="s">
        <v>1432</v>
      </c>
      <c r="AV125" s="39">
        <v>45279</v>
      </c>
      <c r="AW125" s="13" t="s">
        <v>1732</v>
      </c>
      <c r="AY125" s="41">
        <v>0.28000000000000003</v>
      </c>
      <c r="AZ125" s="41">
        <v>18.8</v>
      </c>
      <c r="BA125" s="41">
        <v>14.3</v>
      </c>
      <c r="BB125" s="41">
        <v>31.7</v>
      </c>
      <c r="NH125" s="13" t="s">
        <v>1838</v>
      </c>
      <c r="NI125" s="13" t="s">
        <v>1839</v>
      </c>
      <c r="NJ125" s="13" t="s">
        <v>1840</v>
      </c>
      <c r="NK125" s="13" t="s">
        <v>1454</v>
      </c>
      <c r="NL125" s="13" t="s">
        <v>1461</v>
      </c>
      <c r="NM125" s="39">
        <v>45198</v>
      </c>
      <c r="NN125" s="13" t="s">
        <v>1456</v>
      </c>
      <c r="NP125" s="41">
        <v>0.28000000000000003</v>
      </c>
      <c r="NQ125" s="41">
        <v>105.2</v>
      </c>
      <c r="NR125" s="41">
        <v>18.78</v>
      </c>
      <c r="NS125" s="41">
        <v>14.26</v>
      </c>
      <c r="NT125" s="41">
        <v>31.48</v>
      </c>
      <c r="NU125" s="41">
        <v>31.73</v>
      </c>
      <c r="NV125" s="41">
        <v>101.91</v>
      </c>
      <c r="NW125" s="41">
        <v>0.83</v>
      </c>
      <c r="NX125" s="44">
        <v>2655</v>
      </c>
      <c r="NY125" s="44">
        <v>21.3</v>
      </c>
      <c r="NZ125" s="44">
        <v>21.3</v>
      </c>
      <c r="OA125" s="44">
        <v>50</v>
      </c>
      <c r="OB125" s="44">
        <v>100</v>
      </c>
      <c r="OC125" s="41" t="s">
        <v>1463</v>
      </c>
      <c r="OD125" s="41" t="s">
        <v>1464</v>
      </c>
      <c r="OE125" s="41" t="s">
        <v>1465</v>
      </c>
      <c r="OF125" s="43">
        <v>299</v>
      </c>
      <c r="OG125" s="41" t="s">
        <v>1466</v>
      </c>
      <c r="OH125" s="41">
        <v>0.91</v>
      </c>
      <c r="OI125" s="41" t="s">
        <v>1467</v>
      </c>
      <c r="OJ125" s="41">
        <v>96.05</v>
      </c>
      <c r="OK125" s="41">
        <v>1.05</v>
      </c>
      <c r="OL125" s="41">
        <v>99.29</v>
      </c>
      <c r="OM125" s="41">
        <v>5.0599999999999996</v>
      </c>
      <c r="ON125" s="41">
        <v>99.29</v>
      </c>
      <c r="OO125" s="41">
        <v>5.0599999999999996</v>
      </c>
      <c r="OP125" s="43">
        <v>1</v>
      </c>
      <c r="OQ125" s="41">
        <v>2.12</v>
      </c>
      <c r="OR125" s="41">
        <v>7.05</v>
      </c>
      <c r="OS125" s="41" t="s">
        <v>1468</v>
      </c>
      <c r="OT125" s="41">
        <v>0.97</v>
      </c>
      <c r="OU125" s="41">
        <v>90.16</v>
      </c>
      <c r="OV125" s="41">
        <v>45.34</v>
      </c>
      <c r="OW125" s="41">
        <v>96.76</v>
      </c>
      <c r="OX125" s="41">
        <v>57.03</v>
      </c>
      <c r="OY125" s="41">
        <v>117</v>
      </c>
      <c r="OZ125" s="41">
        <v>65.849999999999994</v>
      </c>
      <c r="PA125" s="41">
        <v>116.8</v>
      </c>
      <c r="PB125" s="41">
        <v>65.92</v>
      </c>
      <c r="PC125" s="41">
        <v>14.93</v>
      </c>
      <c r="PD125" s="41">
        <v>121.7</v>
      </c>
      <c r="PE125" s="41">
        <v>64.87</v>
      </c>
      <c r="PF125" s="43">
        <v>25</v>
      </c>
      <c r="PG125" s="41">
        <v>7.71</v>
      </c>
      <c r="PH125" s="41">
        <v>0.79</v>
      </c>
      <c r="PI125" s="41">
        <v>0.33</v>
      </c>
    </row>
    <row r="126" spans="1:425">
      <c r="A126" s="14">
        <v>116</v>
      </c>
      <c r="B126" s="15" t="str">
        <f>IF(ISBLANK(D[[#This Row],[CLAS_GRONDSOORT]]),"ONWAAR","WAAR")</f>
        <v>WAAR</v>
      </c>
      <c r="C126" s="15" t="str">
        <f>IF(ISBLANK(D[[#This Row],[CLAS_VN_HOOFDNAAM]]),"ONWAAR","WAAR")</f>
        <v>ONWAAR</v>
      </c>
      <c r="D126" s="15" t="str">
        <f>IF(ISBLANK(D[[#This Row],[KV_GRONDSOORT]]),"ONWAAR","WAAR")</f>
        <v>ONWAAR</v>
      </c>
      <c r="E126" s="15" t="str">
        <f>IF(ISBLANK(D[[#This Row],[CPT_QNET]]),"ONWAAR","WAAR")</f>
        <v>ONWAAR</v>
      </c>
      <c r="F126" s="15" t="str">
        <f>IF(ISBLANK(D[[#This Row],[CRS_GRONDSOORT]]),"ONWAAR","WAAR")</f>
        <v>WAAR</v>
      </c>
      <c r="G126" s="15" t="str">
        <f>IF(ISBLANK(D[[#This Row],[SD_GRONDSOORT]]),"ONWAAR","WAAR")</f>
        <v>ONWAAR</v>
      </c>
      <c r="H126" s="15" t="str">
        <f>IF(ISBLANK(D[[#This Row],[DSS_GRONDSOORT]]),"ONWAAR","WAAR")</f>
        <v>ONWAAR</v>
      </c>
      <c r="I126" s="15" t="str">
        <f>IF(ISBLANK(D[[#This Row],[TXT_SS_GRONDSOORT]]),"ONWAAR","WAAR")</f>
        <v>WAAR</v>
      </c>
      <c r="J126" s="13" t="s">
        <v>1841</v>
      </c>
      <c r="L126" s="13" t="s">
        <v>1418</v>
      </c>
      <c r="M126" s="13" t="s">
        <v>1419</v>
      </c>
      <c r="P126" s="13" t="s">
        <v>1420</v>
      </c>
      <c r="V126" s="41">
        <v>134079.72</v>
      </c>
      <c r="W126" s="41">
        <v>414857.17</v>
      </c>
      <c r="X126" s="41">
        <v>6.15</v>
      </c>
      <c r="Y126" s="13" t="s">
        <v>1823</v>
      </c>
      <c r="Z126" s="13" t="s">
        <v>1422</v>
      </c>
      <c r="AA126" s="39">
        <v>45181</v>
      </c>
      <c r="AB126" s="13" t="s">
        <v>1824</v>
      </c>
      <c r="AC126" s="13" t="s">
        <v>1825</v>
      </c>
      <c r="AD126" s="13" t="s">
        <v>1425</v>
      </c>
      <c r="AE126" s="13" t="s">
        <v>1476</v>
      </c>
      <c r="AF126" s="13" t="s">
        <v>1427</v>
      </c>
      <c r="AG126" s="41">
        <v>0.35</v>
      </c>
      <c r="AI126" s="13">
        <v>7</v>
      </c>
      <c r="AJ126" s="13" t="s">
        <v>1428</v>
      </c>
      <c r="AK126" s="13" t="s">
        <v>1429</v>
      </c>
      <c r="AL126" s="41">
        <v>-0.05</v>
      </c>
      <c r="AM126" s="41">
        <v>-0.4</v>
      </c>
      <c r="AN126" s="41">
        <v>6.2</v>
      </c>
      <c r="AO126" s="41">
        <v>6.55</v>
      </c>
      <c r="AP126" s="13">
        <v>14.2</v>
      </c>
      <c r="AQ126" s="13" t="s">
        <v>1826</v>
      </c>
      <c r="AR126" s="13" t="s">
        <v>1431</v>
      </c>
      <c r="AS126" s="13" t="s">
        <v>1841</v>
      </c>
      <c r="AT126" s="13" t="s">
        <v>1425</v>
      </c>
      <c r="AU126" s="13" t="s">
        <v>1432</v>
      </c>
      <c r="AV126" s="39">
        <v>45279</v>
      </c>
      <c r="AW126" s="13" t="s">
        <v>1732</v>
      </c>
      <c r="AY126" s="41">
        <v>-0.23</v>
      </c>
      <c r="AZ126" s="41">
        <v>17.5</v>
      </c>
      <c r="BA126" s="41">
        <v>12.4</v>
      </c>
      <c r="BB126" s="41">
        <v>41.1</v>
      </c>
      <c r="EA126" s="13" t="s">
        <v>1842</v>
      </c>
      <c r="EB126" s="13" t="s">
        <v>1843</v>
      </c>
      <c r="EC126" s="13" t="s">
        <v>1844</v>
      </c>
      <c r="ED126" s="13" t="s">
        <v>1454</v>
      </c>
      <c r="EE126" s="13" t="s">
        <v>1455</v>
      </c>
      <c r="EF126" s="39">
        <v>45197</v>
      </c>
      <c r="EG126" s="13" t="s">
        <v>1456</v>
      </c>
      <c r="EH126" s="13" t="s">
        <v>1497</v>
      </c>
      <c r="EI126" s="41">
        <v>-0.38</v>
      </c>
      <c r="EJ126" s="41">
        <v>109.4</v>
      </c>
      <c r="EK126" s="41">
        <v>17.670000000000002</v>
      </c>
      <c r="EL126" s="41">
        <v>12.67</v>
      </c>
      <c r="EM126" s="41">
        <v>39.51</v>
      </c>
      <c r="EN126" s="41">
        <v>33.369999999999997</v>
      </c>
      <c r="EO126" s="41">
        <v>98.01</v>
      </c>
      <c r="EP126" s="13">
        <v>21.7</v>
      </c>
      <c r="EQ126" s="13">
        <v>19.8</v>
      </c>
      <c r="ER126" s="13">
        <v>65.349999999999994</v>
      </c>
      <c r="ES126" s="41">
        <v>19</v>
      </c>
      <c r="ET126" s="41">
        <v>18.989999999999998</v>
      </c>
      <c r="EU126" s="41">
        <v>15.63</v>
      </c>
      <c r="EV126" s="13">
        <v>0.5</v>
      </c>
      <c r="EW126" s="44">
        <v>-0.1</v>
      </c>
      <c r="EX126" s="13">
        <v>16</v>
      </c>
      <c r="EY126" s="41">
        <v>642.70000000000005</v>
      </c>
      <c r="EZ126" s="41">
        <v>538.5</v>
      </c>
      <c r="FA126" s="41">
        <v>383.8</v>
      </c>
      <c r="FB126" s="41">
        <v>218.4</v>
      </c>
      <c r="FC126" s="41">
        <v>1090</v>
      </c>
      <c r="FD126" s="41">
        <v>0.85</v>
      </c>
      <c r="FE126" s="41">
        <v>207.5</v>
      </c>
      <c r="FF126" s="41">
        <v>2.94</v>
      </c>
      <c r="FG126" s="41">
        <v>700.3</v>
      </c>
      <c r="FH126" s="45">
        <v>3.0999999999999999E-3</v>
      </c>
      <c r="FI126" s="45">
        <v>9.9599999999999994E-2</v>
      </c>
      <c r="FJ126" s="45">
        <v>4.0000000000000001E-3</v>
      </c>
      <c r="NH126" s="13" t="s">
        <v>1845</v>
      </c>
      <c r="NI126" s="13" t="s">
        <v>1846</v>
      </c>
      <c r="NJ126" s="13" t="s">
        <v>1847</v>
      </c>
      <c r="NK126" s="13" t="s">
        <v>1454</v>
      </c>
      <c r="NL126" s="13" t="s">
        <v>1461</v>
      </c>
      <c r="NM126" s="39">
        <v>45205</v>
      </c>
      <c r="NN126" s="13" t="s">
        <v>1456</v>
      </c>
      <c r="NP126" s="41">
        <v>-0.23</v>
      </c>
      <c r="NQ126" s="41">
        <v>109.4</v>
      </c>
      <c r="NR126" s="41">
        <v>17.510000000000002</v>
      </c>
      <c r="NS126" s="41">
        <v>12.41</v>
      </c>
      <c r="NT126" s="41">
        <v>39.5</v>
      </c>
      <c r="NU126" s="41">
        <v>41.07</v>
      </c>
      <c r="NV126" s="41">
        <v>99.73</v>
      </c>
      <c r="NW126" s="41">
        <v>1.0900000000000001</v>
      </c>
      <c r="NX126" s="44">
        <v>2641</v>
      </c>
      <c r="NY126" s="44">
        <v>21.3</v>
      </c>
      <c r="NZ126" s="44">
        <v>21.3</v>
      </c>
      <c r="OA126" s="44">
        <v>50</v>
      </c>
      <c r="OB126" s="44">
        <v>100</v>
      </c>
      <c r="OC126" s="41" t="s">
        <v>1463</v>
      </c>
      <c r="OD126" s="41" t="s">
        <v>1464</v>
      </c>
      <c r="OE126" s="41" t="s">
        <v>1465</v>
      </c>
      <c r="OF126" s="43">
        <v>299</v>
      </c>
      <c r="OG126" s="41" t="s">
        <v>1466</v>
      </c>
      <c r="OH126" s="41">
        <v>0.66</v>
      </c>
      <c r="OI126" s="41" t="s">
        <v>1467</v>
      </c>
      <c r="OJ126" s="41">
        <v>72.77</v>
      </c>
      <c r="OK126" s="41">
        <v>0.77</v>
      </c>
      <c r="OL126" s="41">
        <v>89.88</v>
      </c>
      <c r="OM126" s="41">
        <v>18.48</v>
      </c>
      <c r="ON126" s="41">
        <v>89.88</v>
      </c>
      <c r="OO126" s="41">
        <v>18.48</v>
      </c>
      <c r="OP126" s="43">
        <v>1</v>
      </c>
      <c r="OQ126" s="41">
        <v>2.0499999999999998</v>
      </c>
      <c r="OR126" s="41">
        <v>5.63</v>
      </c>
      <c r="OS126" s="41" t="s">
        <v>1468</v>
      </c>
      <c r="OT126" s="41">
        <v>0.98</v>
      </c>
      <c r="OU126" s="41">
        <v>82.75</v>
      </c>
      <c r="OV126" s="41">
        <v>40.56</v>
      </c>
      <c r="OW126" s="41">
        <v>85.94</v>
      </c>
      <c r="OX126" s="41">
        <v>46.15</v>
      </c>
      <c r="OY126" s="41">
        <v>89.07</v>
      </c>
      <c r="OZ126" s="41">
        <v>43.47</v>
      </c>
      <c r="PA126" s="41">
        <v>88.26</v>
      </c>
      <c r="PB126" s="41">
        <v>46.47</v>
      </c>
      <c r="PC126" s="41">
        <v>7.42</v>
      </c>
      <c r="PD126" s="41">
        <v>86.5</v>
      </c>
      <c r="PE126" s="41">
        <v>38</v>
      </c>
      <c r="PF126" s="43">
        <v>25</v>
      </c>
      <c r="PG126" s="41">
        <v>3.92</v>
      </c>
      <c r="PH126" s="41">
        <v>0.71</v>
      </c>
      <c r="PI126" s="41">
        <v>0.32</v>
      </c>
    </row>
    <row r="127" spans="1:425">
      <c r="A127" s="14">
        <v>117</v>
      </c>
      <c r="B127" s="15" t="str">
        <f>IF(ISBLANK(D[[#This Row],[CLAS_GRONDSOORT]]),"ONWAAR","WAAR")</f>
        <v>WAAR</v>
      </c>
      <c r="C127" s="15" t="str">
        <f>IF(ISBLANK(D[[#This Row],[CLAS_VN_HOOFDNAAM]]),"ONWAAR","WAAR")</f>
        <v>ONWAAR</v>
      </c>
      <c r="D127" s="15" t="str">
        <f>IF(ISBLANK(D[[#This Row],[KV_GRONDSOORT]]),"ONWAAR","WAAR")</f>
        <v>ONWAAR</v>
      </c>
      <c r="E127" s="15" t="str">
        <f>IF(ISBLANK(D[[#This Row],[CPT_QNET]]),"ONWAAR","WAAR")</f>
        <v>ONWAAR</v>
      </c>
      <c r="F127" s="15" t="str">
        <f>IF(ISBLANK(D[[#This Row],[CRS_GRONDSOORT]]),"ONWAAR","WAAR")</f>
        <v>ONWAAR</v>
      </c>
      <c r="G127" s="15" t="str">
        <f>IF(ISBLANK(D[[#This Row],[SD_GRONDSOORT]]),"ONWAAR","WAAR")</f>
        <v>ONWAAR</v>
      </c>
      <c r="H127" s="15" t="str">
        <f>IF(ISBLANK(D[[#This Row],[DSS_GRONDSOORT]]),"ONWAAR","WAAR")</f>
        <v>ONWAAR</v>
      </c>
      <c r="I127" s="15" t="str">
        <f>IF(ISBLANK(D[[#This Row],[TXT_SS_GRONDSOORT]]),"ONWAAR","WAAR")</f>
        <v>ONWAAR</v>
      </c>
      <c r="J127" s="13" t="s">
        <v>1848</v>
      </c>
      <c r="L127" s="13" t="s">
        <v>1418</v>
      </c>
      <c r="M127" s="13" t="s">
        <v>1419</v>
      </c>
      <c r="P127" s="13" t="s">
        <v>1420</v>
      </c>
      <c r="V127" s="41">
        <v>134079.72</v>
      </c>
      <c r="W127" s="41">
        <v>414857.17</v>
      </c>
      <c r="X127" s="41">
        <v>6.15</v>
      </c>
      <c r="Y127" s="13" t="s">
        <v>1823</v>
      </c>
      <c r="Z127" s="13" t="s">
        <v>1422</v>
      </c>
      <c r="AA127" s="39">
        <v>45181</v>
      </c>
      <c r="AB127" s="13" t="s">
        <v>1824</v>
      </c>
      <c r="AC127" s="13" t="s">
        <v>1825</v>
      </c>
      <c r="AD127" s="13" t="s">
        <v>1425</v>
      </c>
      <c r="AE127" s="13" t="s">
        <v>1476</v>
      </c>
      <c r="AF127" s="13" t="s">
        <v>1427</v>
      </c>
      <c r="AG127" s="41">
        <v>0.35</v>
      </c>
      <c r="AI127" s="13">
        <v>8</v>
      </c>
      <c r="AJ127" s="13" t="s">
        <v>1428</v>
      </c>
      <c r="AK127" s="13" t="s">
        <v>1429</v>
      </c>
      <c r="AL127" s="41">
        <v>-0.55000000000000004</v>
      </c>
      <c r="AM127" s="41">
        <v>-0.95</v>
      </c>
      <c r="AN127" s="41">
        <v>6.7</v>
      </c>
      <c r="AO127" s="41">
        <v>7.1</v>
      </c>
      <c r="AP127" s="13">
        <v>17.899999999999999</v>
      </c>
      <c r="AQ127" s="13" t="s">
        <v>1826</v>
      </c>
      <c r="AR127" s="13" t="s">
        <v>1431</v>
      </c>
      <c r="AS127" s="13" t="s">
        <v>1848</v>
      </c>
      <c r="AT127" s="13" t="s">
        <v>1425</v>
      </c>
      <c r="AU127" s="13" t="s">
        <v>1432</v>
      </c>
      <c r="AV127" s="39">
        <v>45279</v>
      </c>
      <c r="AW127" s="13" t="s">
        <v>1849</v>
      </c>
      <c r="AY127" s="41">
        <v>-0.8</v>
      </c>
      <c r="AZ127" s="41">
        <v>18.7</v>
      </c>
      <c r="BA127" s="41">
        <v>14.2</v>
      </c>
      <c r="BB127" s="41">
        <v>31.7</v>
      </c>
    </row>
    <row r="128" spans="1:425">
      <c r="A128" s="14">
        <v>118</v>
      </c>
      <c r="B128" s="15" t="str">
        <f>IF(ISBLANK(D[[#This Row],[CLAS_GRONDSOORT]]),"ONWAAR","WAAR")</f>
        <v>WAAR</v>
      </c>
      <c r="C128" s="15" t="str">
        <f>IF(ISBLANK(D[[#This Row],[CLAS_VN_HOOFDNAAM]]),"ONWAAR","WAAR")</f>
        <v>ONWAAR</v>
      </c>
      <c r="D128" s="15" t="str">
        <f>IF(ISBLANK(D[[#This Row],[KV_GRONDSOORT]]),"ONWAAR","WAAR")</f>
        <v>ONWAAR</v>
      </c>
      <c r="E128" s="15" t="str">
        <f>IF(ISBLANK(D[[#This Row],[CPT_QNET]]),"ONWAAR","WAAR")</f>
        <v>ONWAAR</v>
      </c>
      <c r="F128" s="15" t="str">
        <f>IF(ISBLANK(D[[#This Row],[CRS_GRONDSOORT]]),"ONWAAR","WAAR")</f>
        <v>WAAR</v>
      </c>
      <c r="G128" s="15" t="str">
        <f>IF(ISBLANK(D[[#This Row],[SD_GRONDSOORT]]),"ONWAAR","WAAR")</f>
        <v>ONWAAR</v>
      </c>
      <c r="H128" s="15" t="str">
        <f>IF(ISBLANK(D[[#This Row],[DSS_GRONDSOORT]]),"ONWAAR","WAAR")</f>
        <v>ONWAAR</v>
      </c>
      <c r="I128" s="15" t="str">
        <f>IF(ISBLANK(D[[#This Row],[TXT_SS_GRONDSOORT]]),"ONWAAR","WAAR")</f>
        <v>WAAR</v>
      </c>
      <c r="J128" s="13" t="s">
        <v>1850</v>
      </c>
      <c r="L128" s="13" t="s">
        <v>1418</v>
      </c>
      <c r="M128" s="13" t="s">
        <v>1419</v>
      </c>
      <c r="P128" s="13" t="s">
        <v>1420</v>
      </c>
      <c r="V128" s="41">
        <v>134079.72</v>
      </c>
      <c r="W128" s="41">
        <v>414857.17</v>
      </c>
      <c r="X128" s="41">
        <v>6.15</v>
      </c>
      <c r="Y128" s="13" t="s">
        <v>1823</v>
      </c>
      <c r="Z128" s="13" t="s">
        <v>1422</v>
      </c>
      <c r="AA128" s="39">
        <v>45181</v>
      </c>
      <c r="AB128" s="13" t="s">
        <v>1824</v>
      </c>
      <c r="AC128" s="13" t="s">
        <v>1825</v>
      </c>
      <c r="AD128" s="13" t="s">
        <v>1425</v>
      </c>
      <c r="AE128" s="13" t="s">
        <v>1476</v>
      </c>
      <c r="AF128" s="13" t="s">
        <v>1427</v>
      </c>
      <c r="AG128" s="41">
        <v>0.35</v>
      </c>
      <c r="AI128" s="13">
        <v>9</v>
      </c>
      <c r="AJ128" s="13" t="s">
        <v>1428</v>
      </c>
      <c r="AK128" s="13" t="s">
        <v>1429</v>
      </c>
      <c r="AL128" s="41">
        <v>-1.05</v>
      </c>
      <c r="AM128" s="41">
        <v>-1.4</v>
      </c>
      <c r="AN128" s="41">
        <v>7.2</v>
      </c>
      <c r="AO128" s="41">
        <v>7.55</v>
      </c>
      <c r="AP128" s="13">
        <v>11.9</v>
      </c>
      <c r="AQ128" s="13" t="s">
        <v>1826</v>
      </c>
      <c r="AR128" s="13" t="s">
        <v>1431</v>
      </c>
      <c r="AS128" s="13" t="s">
        <v>1850</v>
      </c>
      <c r="AT128" s="13" t="s">
        <v>1425</v>
      </c>
      <c r="AU128" s="13" t="s">
        <v>1432</v>
      </c>
      <c r="AV128" s="39">
        <v>45279</v>
      </c>
      <c r="AW128" s="13" t="s">
        <v>1851</v>
      </c>
      <c r="AY128" s="41">
        <v>-1.1499999999999999</v>
      </c>
      <c r="AZ128" s="41">
        <v>15.5</v>
      </c>
      <c r="BA128" s="41">
        <v>8.6999999999999993</v>
      </c>
      <c r="BB128" s="41">
        <v>78.2</v>
      </c>
      <c r="EA128" s="13" t="s">
        <v>1852</v>
      </c>
      <c r="EB128" s="13" t="s">
        <v>1853</v>
      </c>
      <c r="EC128" s="13" t="s">
        <v>1854</v>
      </c>
      <c r="ED128" s="13" t="s">
        <v>1454</v>
      </c>
      <c r="EE128" s="13" t="s">
        <v>1455</v>
      </c>
      <c r="EF128" s="39">
        <v>45197</v>
      </c>
      <c r="EG128" s="13" t="s">
        <v>1456</v>
      </c>
      <c r="EI128" s="41">
        <v>-1.39</v>
      </c>
      <c r="EJ128" s="41">
        <v>117.1</v>
      </c>
      <c r="EK128" s="41">
        <v>19.04</v>
      </c>
      <c r="EL128" s="41">
        <v>15.12</v>
      </c>
      <c r="EM128" s="41">
        <v>25.9</v>
      </c>
      <c r="EN128" s="41">
        <v>20.78</v>
      </c>
      <c r="EO128" s="41">
        <v>94.77</v>
      </c>
      <c r="EP128" s="13">
        <v>21.7</v>
      </c>
      <c r="EQ128" s="13">
        <v>19.8</v>
      </c>
      <c r="ER128" s="13">
        <v>65.44</v>
      </c>
      <c r="ES128" s="41">
        <v>18.8</v>
      </c>
      <c r="ET128" s="41">
        <v>18.739999999999998</v>
      </c>
      <c r="EU128" s="41">
        <v>15.63</v>
      </c>
      <c r="EV128" s="13">
        <v>0.5</v>
      </c>
      <c r="EW128" s="44">
        <v>-0.2</v>
      </c>
      <c r="EX128" s="13">
        <v>16</v>
      </c>
      <c r="EY128" s="41">
        <v>685.4</v>
      </c>
      <c r="EZ128" s="41">
        <v>570.4</v>
      </c>
      <c r="FA128" s="41">
        <v>413.6</v>
      </c>
      <c r="FB128" s="41">
        <v>236</v>
      </c>
      <c r="FC128" s="41">
        <v>1166</v>
      </c>
      <c r="FD128" s="41">
        <v>3.63</v>
      </c>
      <c r="FE128" s="41">
        <v>200.2</v>
      </c>
      <c r="FF128" s="41">
        <v>4.8899999999999997</v>
      </c>
      <c r="FG128" s="41">
        <v>795.9</v>
      </c>
      <c r="FH128" s="45">
        <v>4.7000000000000002E-3</v>
      </c>
      <c r="FI128" s="45">
        <v>7.7299999999999994E-2</v>
      </c>
      <c r="FJ128" s="45">
        <v>2.8999999999999998E-3</v>
      </c>
      <c r="NH128" s="13" t="s">
        <v>1855</v>
      </c>
      <c r="NI128" s="13" t="s">
        <v>1856</v>
      </c>
      <c r="NJ128" s="13" t="s">
        <v>1857</v>
      </c>
      <c r="NK128" s="13" t="s">
        <v>1454</v>
      </c>
      <c r="NL128" s="13" t="s">
        <v>1461</v>
      </c>
      <c r="NM128" s="39">
        <v>45205</v>
      </c>
      <c r="NN128" s="13" t="s">
        <v>1456</v>
      </c>
      <c r="NP128" s="41">
        <v>-1.1499999999999999</v>
      </c>
      <c r="NQ128" s="41">
        <v>117.1</v>
      </c>
      <c r="NR128" s="41">
        <v>15.46</v>
      </c>
      <c r="NS128" s="41">
        <v>8.67</v>
      </c>
      <c r="NT128" s="41">
        <v>71.14</v>
      </c>
      <c r="NU128" s="41">
        <v>78.19</v>
      </c>
      <c r="NV128" s="41">
        <v>104.49</v>
      </c>
      <c r="NW128" s="41">
        <v>1.96</v>
      </c>
      <c r="NX128" s="44">
        <v>2613</v>
      </c>
      <c r="NY128" s="44">
        <v>21.3</v>
      </c>
      <c r="NZ128" s="44">
        <v>21.3</v>
      </c>
      <c r="OA128" s="44">
        <v>50</v>
      </c>
      <c r="OB128" s="44">
        <v>100</v>
      </c>
      <c r="OC128" s="41" t="s">
        <v>1463</v>
      </c>
      <c r="OD128" s="41" t="s">
        <v>1464</v>
      </c>
      <c r="OE128" s="41" t="s">
        <v>1465</v>
      </c>
      <c r="OF128" s="43">
        <v>300</v>
      </c>
      <c r="OG128" s="41" t="s">
        <v>1466</v>
      </c>
      <c r="OH128" s="41">
        <v>0.62</v>
      </c>
      <c r="OI128" s="41" t="s">
        <v>1467</v>
      </c>
      <c r="OJ128" s="41">
        <v>72.819999999999993</v>
      </c>
      <c r="OK128" s="41">
        <v>0.82</v>
      </c>
      <c r="OL128" s="41">
        <v>93.31</v>
      </c>
      <c r="OM128" s="41">
        <v>21.94</v>
      </c>
      <c r="ON128" s="41">
        <v>93.31</v>
      </c>
      <c r="OO128" s="41">
        <v>21.94</v>
      </c>
      <c r="OP128" s="43">
        <v>1</v>
      </c>
      <c r="OQ128" s="41">
        <v>2.5099999999999998</v>
      </c>
      <c r="OR128" s="41">
        <v>5.2</v>
      </c>
      <c r="OS128" s="41" t="s">
        <v>1468</v>
      </c>
      <c r="OT128" s="41">
        <v>0.97</v>
      </c>
      <c r="OU128" s="41">
        <v>84.64</v>
      </c>
      <c r="OV128" s="41">
        <v>48.77</v>
      </c>
      <c r="OW128" s="41">
        <v>76.84</v>
      </c>
      <c r="OX128" s="41">
        <v>48.67</v>
      </c>
      <c r="OY128" s="41">
        <v>66.709999999999994</v>
      </c>
      <c r="OZ128" s="41">
        <v>40.14</v>
      </c>
      <c r="PA128" s="41">
        <v>82.54</v>
      </c>
      <c r="PB128" s="41">
        <v>49.97</v>
      </c>
      <c r="PC128" s="41">
        <v>2.84</v>
      </c>
      <c r="PD128" s="41">
        <v>61.36</v>
      </c>
      <c r="PE128" s="41">
        <v>33.29</v>
      </c>
      <c r="PF128" s="43">
        <v>25</v>
      </c>
      <c r="PG128" s="41">
        <v>9.24</v>
      </c>
      <c r="PH128" s="41">
        <v>0.31</v>
      </c>
      <c r="PI128" s="41">
        <v>0.39</v>
      </c>
    </row>
    <row r="129" spans="1:425">
      <c r="A129" s="14">
        <v>119</v>
      </c>
      <c r="B129" s="15" t="str">
        <f>IF(ISBLANK(D[[#This Row],[CLAS_GRONDSOORT]]),"ONWAAR","WAAR")</f>
        <v>WAAR</v>
      </c>
      <c r="C129" s="15" t="str">
        <f>IF(ISBLANK(D[[#This Row],[CLAS_VN_HOOFDNAAM]]),"ONWAAR","WAAR")</f>
        <v>ONWAAR</v>
      </c>
      <c r="D129" s="15" t="str">
        <f>IF(ISBLANK(D[[#This Row],[KV_GRONDSOORT]]),"ONWAAR","WAAR")</f>
        <v>ONWAAR</v>
      </c>
      <c r="E129" s="15" t="str">
        <f>IF(ISBLANK(D[[#This Row],[CPT_QNET]]),"ONWAAR","WAAR")</f>
        <v>ONWAAR</v>
      </c>
      <c r="F129" s="15" t="str">
        <f>IF(ISBLANK(D[[#This Row],[CRS_GRONDSOORT]]),"ONWAAR","WAAR")</f>
        <v>ONWAAR</v>
      </c>
      <c r="G129" s="15" t="str">
        <f>IF(ISBLANK(D[[#This Row],[SD_GRONDSOORT]]),"ONWAAR","WAAR")</f>
        <v>ONWAAR</v>
      </c>
      <c r="H129" s="15" t="str">
        <f>IF(ISBLANK(D[[#This Row],[DSS_GRONDSOORT]]),"ONWAAR","WAAR")</f>
        <v>ONWAAR</v>
      </c>
      <c r="I129" s="15" t="str">
        <f>IF(ISBLANK(D[[#This Row],[TXT_SS_GRONDSOORT]]),"ONWAAR","WAAR")</f>
        <v>ONWAAR</v>
      </c>
      <c r="J129" s="13" t="s">
        <v>1858</v>
      </c>
      <c r="L129" s="13" t="s">
        <v>1418</v>
      </c>
      <c r="M129" s="13" t="s">
        <v>1419</v>
      </c>
      <c r="P129" s="13" t="s">
        <v>1420</v>
      </c>
      <c r="V129" s="41">
        <v>134079.72</v>
      </c>
      <c r="W129" s="41">
        <v>414857.17</v>
      </c>
      <c r="X129" s="41">
        <v>6.15</v>
      </c>
      <c r="Y129" s="13" t="s">
        <v>1823</v>
      </c>
      <c r="Z129" s="13" t="s">
        <v>1422</v>
      </c>
      <c r="AA129" s="39">
        <v>45181</v>
      </c>
      <c r="AB129" s="13" t="s">
        <v>1824</v>
      </c>
      <c r="AC129" s="13" t="s">
        <v>1825</v>
      </c>
      <c r="AD129" s="13" t="s">
        <v>1425</v>
      </c>
      <c r="AE129" s="13" t="s">
        <v>1476</v>
      </c>
      <c r="AF129" s="13" t="s">
        <v>1427</v>
      </c>
      <c r="AG129" s="41">
        <v>0.35</v>
      </c>
      <c r="AI129" s="13" t="s">
        <v>1585</v>
      </c>
      <c r="AJ129" s="13" t="s">
        <v>1428</v>
      </c>
      <c r="AK129" s="13" t="s">
        <v>1429</v>
      </c>
      <c r="AL129" s="41">
        <v>-1.55</v>
      </c>
      <c r="AM129" s="41">
        <v>-1.73</v>
      </c>
      <c r="AN129" s="41">
        <v>7.7</v>
      </c>
      <c r="AO129" s="41">
        <v>7.88</v>
      </c>
      <c r="AP129" s="13">
        <v>15.1</v>
      </c>
      <c r="AQ129" s="13" t="s">
        <v>1826</v>
      </c>
      <c r="AR129" s="13" t="s">
        <v>1431</v>
      </c>
      <c r="AS129" s="13" t="s">
        <v>1858</v>
      </c>
      <c r="AT129" s="13" t="s">
        <v>1425</v>
      </c>
      <c r="AU129" s="13" t="s">
        <v>1432</v>
      </c>
      <c r="AV129" s="39">
        <v>45279</v>
      </c>
      <c r="AW129" s="13" t="s">
        <v>1851</v>
      </c>
      <c r="AY129" s="41">
        <v>-1.6</v>
      </c>
      <c r="AZ129" s="41">
        <v>17.2</v>
      </c>
      <c r="BA129" s="41">
        <v>12.4</v>
      </c>
      <c r="BB129" s="41">
        <v>39.200000000000003</v>
      </c>
    </row>
    <row r="130" spans="1:425">
      <c r="A130" s="14">
        <v>120</v>
      </c>
      <c r="B130" s="15" t="str">
        <f>IF(ISBLANK(D[[#This Row],[CLAS_GRONDSOORT]]),"ONWAAR","WAAR")</f>
        <v>WAAR</v>
      </c>
      <c r="C130" s="15" t="str">
        <f>IF(ISBLANK(D[[#This Row],[CLAS_VN_HOOFDNAAM]]),"ONWAAR","WAAR")</f>
        <v>ONWAAR</v>
      </c>
      <c r="D130" s="15" t="str">
        <f>IF(ISBLANK(D[[#This Row],[KV_GRONDSOORT]]),"ONWAAR","WAAR")</f>
        <v>ONWAAR</v>
      </c>
      <c r="E130" s="15" t="str">
        <f>IF(ISBLANK(D[[#This Row],[CPT_QNET]]),"ONWAAR","WAAR")</f>
        <v>ONWAAR</v>
      </c>
      <c r="F130" s="15" t="str">
        <f>IF(ISBLANK(D[[#This Row],[CRS_GRONDSOORT]]),"ONWAAR","WAAR")</f>
        <v>ONWAAR</v>
      </c>
      <c r="G130" s="15" t="str">
        <f>IF(ISBLANK(D[[#This Row],[SD_GRONDSOORT]]),"ONWAAR","WAAR")</f>
        <v>ONWAAR</v>
      </c>
      <c r="H130" s="15" t="str">
        <f>IF(ISBLANK(D[[#This Row],[DSS_GRONDSOORT]]),"ONWAAR","WAAR")</f>
        <v>ONWAAR</v>
      </c>
      <c r="I130" s="15" t="str">
        <f>IF(ISBLANK(D[[#This Row],[TXT_SS_GRONDSOORT]]),"ONWAAR","WAAR")</f>
        <v>ONWAAR</v>
      </c>
      <c r="J130" s="13" t="s">
        <v>1859</v>
      </c>
      <c r="L130" s="13" t="s">
        <v>1418</v>
      </c>
      <c r="M130" s="13" t="s">
        <v>1419</v>
      </c>
      <c r="P130" s="13" t="s">
        <v>1420</v>
      </c>
      <c r="V130" s="41">
        <v>134079.72</v>
      </c>
      <c r="W130" s="41">
        <v>414857.17</v>
      </c>
      <c r="X130" s="41">
        <v>6.15</v>
      </c>
      <c r="Y130" s="13" t="s">
        <v>1823</v>
      </c>
      <c r="Z130" s="13" t="s">
        <v>1422</v>
      </c>
      <c r="AA130" s="39">
        <v>45181</v>
      </c>
      <c r="AB130" s="13" t="s">
        <v>1824</v>
      </c>
      <c r="AC130" s="13" t="s">
        <v>1825</v>
      </c>
      <c r="AD130" s="13" t="s">
        <v>1425</v>
      </c>
      <c r="AE130" s="13" t="s">
        <v>1476</v>
      </c>
      <c r="AF130" s="13" t="s">
        <v>1427</v>
      </c>
      <c r="AG130" s="41">
        <v>0.35</v>
      </c>
      <c r="AI130" s="13" t="s">
        <v>1590</v>
      </c>
      <c r="AJ130" s="13" t="s">
        <v>1428</v>
      </c>
      <c r="AK130" s="13" t="s">
        <v>1429</v>
      </c>
      <c r="AL130" s="41">
        <v>-1.73</v>
      </c>
      <c r="AM130" s="41">
        <v>-1.88</v>
      </c>
      <c r="AN130" s="41">
        <v>7.88</v>
      </c>
      <c r="AO130" s="41">
        <v>8.0299999999999994</v>
      </c>
      <c r="AQ130" s="13" t="s">
        <v>1826</v>
      </c>
      <c r="AR130" s="13" t="s">
        <v>1431</v>
      </c>
      <c r="AS130" s="13" t="s">
        <v>1859</v>
      </c>
      <c r="AT130" s="13" t="s">
        <v>1425</v>
      </c>
      <c r="AU130" s="13" t="s">
        <v>1432</v>
      </c>
      <c r="AV130" s="39">
        <v>45279</v>
      </c>
      <c r="AW130" s="13" t="s">
        <v>1860</v>
      </c>
      <c r="AY130" s="41">
        <v>-1.81</v>
      </c>
      <c r="AZ130" s="41"/>
      <c r="BA130" s="41"/>
      <c r="BB130" s="41"/>
    </row>
    <row r="131" spans="1:425">
      <c r="A131" s="14">
        <v>121</v>
      </c>
      <c r="B131" s="15" t="str">
        <f>IF(ISBLANK(D[[#This Row],[CLAS_GRONDSOORT]]),"ONWAAR","WAAR")</f>
        <v>WAAR</v>
      </c>
      <c r="C131" s="15" t="str">
        <f>IF(ISBLANK(D[[#This Row],[CLAS_VN_HOOFDNAAM]]),"ONWAAR","WAAR")</f>
        <v>ONWAAR</v>
      </c>
      <c r="D131" s="15" t="str">
        <f>IF(ISBLANK(D[[#This Row],[KV_GRONDSOORT]]),"ONWAAR","WAAR")</f>
        <v>ONWAAR</v>
      </c>
      <c r="E131" s="15" t="str">
        <f>IF(ISBLANK(D[[#This Row],[CPT_QNET]]),"ONWAAR","WAAR")</f>
        <v>ONWAAR</v>
      </c>
      <c r="F131" s="15" t="str">
        <f>IF(ISBLANK(D[[#This Row],[CRS_GRONDSOORT]]),"ONWAAR","WAAR")</f>
        <v>ONWAAR</v>
      </c>
      <c r="G131" s="15" t="str">
        <f>IF(ISBLANK(D[[#This Row],[SD_GRONDSOORT]]),"ONWAAR","WAAR")</f>
        <v>ONWAAR</v>
      </c>
      <c r="H131" s="15" t="str">
        <f>IF(ISBLANK(D[[#This Row],[DSS_GRONDSOORT]]),"ONWAAR","WAAR")</f>
        <v>ONWAAR</v>
      </c>
      <c r="I131" s="15" t="str">
        <f>IF(ISBLANK(D[[#This Row],[TXT_SS_GRONDSOORT]]),"ONWAAR","WAAR")</f>
        <v>ONWAAR</v>
      </c>
      <c r="J131" s="13" t="s">
        <v>1861</v>
      </c>
      <c r="L131" s="13" t="s">
        <v>1418</v>
      </c>
      <c r="M131" s="13" t="s">
        <v>1419</v>
      </c>
      <c r="P131" s="13" t="s">
        <v>1420</v>
      </c>
      <c r="V131" s="41">
        <v>134079.72</v>
      </c>
      <c r="W131" s="41">
        <v>414857.17</v>
      </c>
      <c r="X131" s="41">
        <v>6.15</v>
      </c>
      <c r="Y131" s="13" t="s">
        <v>1823</v>
      </c>
      <c r="Z131" s="13" t="s">
        <v>1422</v>
      </c>
      <c r="AA131" s="39">
        <v>45181</v>
      </c>
      <c r="AB131" s="13" t="s">
        <v>1824</v>
      </c>
      <c r="AC131" s="13" t="s">
        <v>1825</v>
      </c>
      <c r="AD131" s="13" t="s">
        <v>1425</v>
      </c>
      <c r="AE131" s="13" t="s">
        <v>1476</v>
      </c>
      <c r="AF131" s="13" t="s">
        <v>1427</v>
      </c>
      <c r="AG131" s="41">
        <v>0.35</v>
      </c>
      <c r="AI131" s="13">
        <v>11</v>
      </c>
      <c r="AJ131" s="13" t="s">
        <v>1428</v>
      </c>
      <c r="AK131" s="13" t="s">
        <v>1429</v>
      </c>
      <c r="AL131" s="41">
        <v>-2.0499999999999998</v>
      </c>
      <c r="AM131" s="41">
        <v>-2.35</v>
      </c>
      <c r="AN131" s="41">
        <v>8.1999999999999993</v>
      </c>
      <c r="AO131" s="41">
        <v>8.5</v>
      </c>
      <c r="AP131" s="13">
        <v>6.6</v>
      </c>
      <c r="AQ131" s="13" t="s">
        <v>1826</v>
      </c>
      <c r="AR131" s="13" t="s">
        <v>1431</v>
      </c>
      <c r="AS131" s="13" t="s">
        <v>1861</v>
      </c>
      <c r="AT131" s="13" t="s">
        <v>1425</v>
      </c>
      <c r="AU131" s="13" t="s">
        <v>1432</v>
      </c>
      <c r="AV131" s="39">
        <v>45279</v>
      </c>
      <c r="AW131" s="13" t="s">
        <v>1862</v>
      </c>
      <c r="AY131" s="41">
        <v>-2.2000000000000002</v>
      </c>
      <c r="AZ131" s="41"/>
      <c r="BA131" s="41"/>
      <c r="BB131" s="41"/>
    </row>
    <row r="132" spans="1:425">
      <c r="A132" s="14">
        <v>122</v>
      </c>
      <c r="B132" s="15" t="str">
        <f>IF(ISBLANK(D[[#This Row],[CLAS_GRONDSOORT]]),"ONWAAR","WAAR")</f>
        <v>WAAR</v>
      </c>
      <c r="C132" s="15" t="str">
        <f>IF(ISBLANK(D[[#This Row],[CLAS_VN_HOOFDNAAM]]),"ONWAAR","WAAR")</f>
        <v>ONWAAR</v>
      </c>
      <c r="D132" s="15" t="str">
        <f>IF(ISBLANK(D[[#This Row],[KV_GRONDSOORT]]),"ONWAAR","WAAR")</f>
        <v>WAAR</v>
      </c>
      <c r="E132" s="15" t="str">
        <f>IF(ISBLANK(D[[#This Row],[CPT_QNET]]),"ONWAAR","WAAR")</f>
        <v>ONWAAR</v>
      </c>
      <c r="F132" s="15" t="str">
        <f>IF(ISBLANK(D[[#This Row],[CRS_GRONDSOORT]]),"ONWAAR","WAAR")</f>
        <v>ONWAAR</v>
      </c>
      <c r="G132" s="15" t="str">
        <f>IF(ISBLANK(D[[#This Row],[SD_GRONDSOORT]]),"ONWAAR","WAAR")</f>
        <v>ONWAAR</v>
      </c>
      <c r="H132" s="15" t="str">
        <f>IF(ISBLANK(D[[#This Row],[DSS_GRONDSOORT]]),"ONWAAR","WAAR")</f>
        <v>ONWAAR</v>
      </c>
      <c r="I132" s="15" t="str">
        <f>IF(ISBLANK(D[[#This Row],[TXT_SS_GRONDSOORT]]),"ONWAAR","WAAR")</f>
        <v>ONWAAR</v>
      </c>
      <c r="J132" s="13" t="s">
        <v>1863</v>
      </c>
      <c r="L132" s="13" t="s">
        <v>1418</v>
      </c>
      <c r="M132" s="13" t="s">
        <v>1419</v>
      </c>
      <c r="P132" s="13" t="s">
        <v>1420</v>
      </c>
      <c r="V132" s="41">
        <v>134079.72</v>
      </c>
      <c r="W132" s="41">
        <v>414857.17</v>
      </c>
      <c r="X132" s="41">
        <v>6.15</v>
      </c>
      <c r="Y132" s="13" t="s">
        <v>1823</v>
      </c>
      <c r="Z132" s="13" t="s">
        <v>1422</v>
      </c>
      <c r="AA132" s="39">
        <v>45181</v>
      </c>
      <c r="AB132" s="13" t="s">
        <v>1824</v>
      </c>
      <c r="AC132" s="13" t="s">
        <v>1825</v>
      </c>
      <c r="AD132" s="13" t="s">
        <v>1425</v>
      </c>
      <c r="AE132" s="13" t="s">
        <v>1476</v>
      </c>
      <c r="AF132" s="13" t="s">
        <v>1427</v>
      </c>
      <c r="AG132" s="41">
        <v>0.35</v>
      </c>
      <c r="AI132" s="13">
        <v>14</v>
      </c>
      <c r="AJ132" s="13" t="s">
        <v>1428</v>
      </c>
      <c r="AK132" s="13" t="s">
        <v>1429</v>
      </c>
      <c r="AL132" s="41">
        <v>-7.55</v>
      </c>
      <c r="AM132" s="41">
        <v>-7.95</v>
      </c>
      <c r="AN132" s="41">
        <v>13.7</v>
      </c>
      <c r="AO132" s="41">
        <v>14.1</v>
      </c>
      <c r="AP132" s="13">
        <v>19.600000000000001</v>
      </c>
      <c r="AQ132" s="13" t="s">
        <v>1826</v>
      </c>
      <c r="AR132" s="13" t="s">
        <v>1431</v>
      </c>
      <c r="AS132" s="13" t="s">
        <v>1863</v>
      </c>
      <c r="AT132" s="13" t="s">
        <v>1425</v>
      </c>
      <c r="AU132" s="13" t="s">
        <v>1432</v>
      </c>
      <c r="AV132" s="39">
        <v>45279</v>
      </c>
      <c r="AW132" s="13" t="s">
        <v>1864</v>
      </c>
      <c r="AY132" s="41">
        <v>-7.75</v>
      </c>
      <c r="AZ132" s="41"/>
      <c r="BA132" s="41"/>
      <c r="BB132" s="41"/>
      <c r="CE132" s="13" t="s">
        <v>1865</v>
      </c>
      <c r="CF132" s="13" t="s">
        <v>1431</v>
      </c>
      <c r="CG132" s="13" t="s">
        <v>1863</v>
      </c>
      <c r="CH132" s="13" t="s">
        <v>1425</v>
      </c>
      <c r="CI132" s="13" t="s">
        <v>1524</v>
      </c>
      <c r="CJ132" s="39">
        <v>45212</v>
      </c>
      <c r="CK132" s="13" t="s">
        <v>1533</v>
      </c>
      <c r="CL132" s="13" t="s">
        <v>1866</v>
      </c>
      <c r="CM132" s="13">
        <v>249</v>
      </c>
      <c r="CN132" s="13">
        <v>235</v>
      </c>
      <c r="CO132" s="41">
        <v>0.15</v>
      </c>
      <c r="CP132" s="41">
        <v>88.43</v>
      </c>
      <c r="CQ132" s="41">
        <v>8.51</v>
      </c>
      <c r="CR132" s="41">
        <v>100</v>
      </c>
      <c r="CS132" s="41">
        <v>100</v>
      </c>
      <c r="CT132" s="41">
        <v>100</v>
      </c>
      <c r="CU132" s="41">
        <v>99.99</v>
      </c>
      <c r="CV132" s="41">
        <v>99.92</v>
      </c>
      <c r="CW132" s="41">
        <v>99.85</v>
      </c>
      <c r="CX132" s="41">
        <v>99.69</v>
      </c>
      <c r="CY132" s="41">
        <v>97.77</v>
      </c>
      <c r="CZ132" s="41">
        <v>55.94</v>
      </c>
      <c r="DA132" s="41">
        <v>27.46</v>
      </c>
      <c r="DB132" s="41">
        <v>15.33</v>
      </c>
      <c r="DC132" s="41">
        <v>11.41</v>
      </c>
      <c r="DD132" s="41">
        <v>5.7</v>
      </c>
      <c r="DE132" s="41">
        <v>4.68</v>
      </c>
      <c r="DF132" s="41">
        <v>4.2</v>
      </c>
      <c r="DG132" s="41">
        <v>2.9</v>
      </c>
      <c r="DH132" s="13">
        <v>304</v>
      </c>
      <c r="DI132" s="13">
        <v>276</v>
      </c>
      <c r="DJ132" s="13">
        <v>249</v>
      </c>
      <c r="DK132" s="13">
        <v>147</v>
      </c>
      <c r="DL132" s="13">
        <v>1.88</v>
      </c>
    </row>
    <row r="133" spans="1:425">
      <c r="A133" s="14"/>
      <c r="B133" s="15" t="str">
        <f>IF(ISBLANK(D[[#This Row],[CLAS_GRONDSOORT]]),"ONWAAR","WAAR")</f>
        <v>ONWAAR</v>
      </c>
      <c r="C133" s="15" t="str">
        <f>IF(ISBLANK(D[[#This Row],[CLAS_VN_HOOFDNAAM]]),"ONWAAR","WAAR")</f>
        <v>ONWAAR</v>
      </c>
      <c r="D133" s="15" t="str">
        <f>IF(ISBLANK(D[[#This Row],[KV_GRONDSOORT]]),"ONWAAR","WAAR")</f>
        <v>ONWAAR</v>
      </c>
      <c r="E133" s="15" t="str">
        <f>IF(ISBLANK(D[[#This Row],[CPT_QNET]]),"ONWAAR","WAAR")</f>
        <v>ONWAAR</v>
      </c>
      <c r="F133" s="15" t="str">
        <f>IF(ISBLANK(D[[#This Row],[CRS_GRONDSOORT]]),"ONWAAR","WAAR")</f>
        <v>ONWAAR</v>
      </c>
      <c r="G133" s="15" t="str">
        <f>IF(ISBLANK(D[[#This Row],[SD_GRONDSOORT]]),"ONWAAR","WAAR")</f>
        <v>ONWAAR</v>
      </c>
      <c r="H133" s="15" t="str">
        <f>IF(ISBLANK(D[[#This Row],[DSS_GRONDSOORT]]),"ONWAAR","WAAR")</f>
        <v>ONWAAR</v>
      </c>
      <c r="I133" s="15" t="str">
        <f>IF(ISBLANK(D[[#This Row],[TXT_SS_GRONDSOORT]]),"ONWAAR","WAAR")</f>
        <v>ONWAAR</v>
      </c>
      <c r="J133" s="13" t="s">
        <v>1867</v>
      </c>
      <c r="L133" s="13" t="s">
        <v>1418</v>
      </c>
      <c r="M133" s="13" t="s">
        <v>1419</v>
      </c>
      <c r="P133" s="13" t="s">
        <v>1420</v>
      </c>
      <c r="V133" s="41">
        <v>134079.72</v>
      </c>
      <c r="W133" s="41">
        <v>414857.17</v>
      </c>
      <c r="X133" s="41">
        <v>6.15</v>
      </c>
      <c r="Y133" s="13" t="s">
        <v>1823</v>
      </c>
      <c r="Z133" s="13" t="s">
        <v>1422</v>
      </c>
      <c r="AA133" s="39">
        <v>45181</v>
      </c>
      <c r="AB133" s="13" t="s">
        <v>1824</v>
      </c>
      <c r="AC133" s="13" t="s">
        <v>1825</v>
      </c>
      <c r="AD133" s="13" t="s">
        <v>1425</v>
      </c>
      <c r="AE133" s="13" t="s">
        <v>1476</v>
      </c>
      <c r="AF133" s="13" t="s">
        <v>1427</v>
      </c>
      <c r="AG133" s="41">
        <v>0.35</v>
      </c>
      <c r="AH133" s="41"/>
      <c r="AI133" s="42" t="s">
        <v>1868</v>
      </c>
      <c r="AJ133" s="13" t="s">
        <v>1428</v>
      </c>
      <c r="AK133" s="13" t="s">
        <v>1429</v>
      </c>
      <c r="AL133" s="41">
        <v>-7.66</v>
      </c>
      <c r="AM133" s="41">
        <v>-7.7</v>
      </c>
      <c r="AN133" s="41">
        <v>13.81</v>
      </c>
      <c r="AO133" s="41">
        <v>13.85</v>
      </c>
      <c r="AP133" s="41"/>
      <c r="BI133" s="44">
        <v>2.2999999999999998</v>
      </c>
      <c r="BM133" s="40">
        <v>1.4753427335694126E-6</v>
      </c>
      <c r="BP133" s="15"/>
      <c r="BQ133" s="15"/>
      <c r="BR133" s="15"/>
      <c r="BS133" s="15"/>
    </row>
    <row r="134" spans="1:425">
      <c r="A134" s="14"/>
      <c r="B134" s="15" t="str">
        <f>IF(ISBLANK(D[[#This Row],[CLAS_GRONDSOORT]]),"ONWAAR","WAAR")</f>
        <v>ONWAAR</v>
      </c>
      <c r="C134" s="15" t="str">
        <f>IF(ISBLANK(D[[#This Row],[CLAS_VN_HOOFDNAAM]]),"ONWAAR","WAAR")</f>
        <v>ONWAAR</v>
      </c>
      <c r="D134" s="15" t="str">
        <f>IF(ISBLANK(D[[#This Row],[KV_GRONDSOORT]]),"ONWAAR","WAAR")</f>
        <v>ONWAAR</v>
      </c>
      <c r="E134" s="15" t="str">
        <f>IF(ISBLANK(D[[#This Row],[CPT_QNET]]),"ONWAAR","WAAR")</f>
        <v>ONWAAR</v>
      </c>
      <c r="F134" s="15" t="str">
        <f>IF(ISBLANK(D[[#This Row],[CRS_GRONDSOORT]]),"ONWAAR","WAAR")</f>
        <v>ONWAAR</v>
      </c>
      <c r="G134" s="15" t="str">
        <f>IF(ISBLANK(D[[#This Row],[SD_GRONDSOORT]]),"ONWAAR","WAAR")</f>
        <v>ONWAAR</v>
      </c>
      <c r="H134" s="15" t="str">
        <f>IF(ISBLANK(D[[#This Row],[DSS_GRONDSOORT]]),"ONWAAR","WAAR")</f>
        <v>ONWAAR</v>
      </c>
      <c r="I134" s="15" t="str">
        <f>IF(ISBLANK(D[[#This Row],[TXT_SS_GRONDSOORT]]),"ONWAAR","WAAR")</f>
        <v>ONWAAR</v>
      </c>
      <c r="J134" s="13" t="s">
        <v>1869</v>
      </c>
      <c r="L134" s="13" t="s">
        <v>1418</v>
      </c>
      <c r="M134" s="13" t="s">
        <v>1419</v>
      </c>
      <c r="P134" s="13" t="s">
        <v>1420</v>
      </c>
      <c r="V134" s="41">
        <v>134079.72</v>
      </c>
      <c r="W134" s="41">
        <v>414857.17</v>
      </c>
      <c r="X134" s="41">
        <v>6.15</v>
      </c>
      <c r="Y134" s="13" t="s">
        <v>1823</v>
      </c>
      <c r="Z134" s="13" t="s">
        <v>1422</v>
      </c>
      <c r="AA134" s="39">
        <v>45181</v>
      </c>
      <c r="AB134" s="13" t="s">
        <v>1824</v>
      </c>
      <c r="AC134" s="13" t="s">
        <v>1825</v>
      </c>
      <c r="AD134" s="13" t="s">
        <v>1425</v>
      </c>
      <c r="AE134" s="13" t="s">
        <v>1476</v>
      </c>
      <c r="AF134" s="13" t="s">
        <v>1427</v>
      </c>
      <c r="AG134" s="41">
        <v>0.35</v>
      </c>
      <c r="AH134" s="41"/>
      <c r="AI134" s="42" t="s">
        <v>1870</v>
      </c>
      <c r="AJ134" s="13" t="s">
        <v>1428</v>
      </c>
      <c r="AK134" s="13" t="s">
        <v>1429</v>
      </c>
      <c r="AL134" s="41">
        <v>-7.7</v>
      </c>
      <c r="AM134" s="41">
        <v>-7.75</v>
      </c>
      <c r="AN134" s="41">
        <v>13.85</v>
      </c>
      <c r="AO134" s="41">
        <v>13.9</v>
      </c>
      <c r="AP134" s="41"/>
      <c r="BI134" s="44">
        <v>2.6</v>
      </c>
      <c r="BM134" s="40">
        <v>7.5028333016860983E-6</v>
      </c>
      <c r="BP134" s="15"/>
      <c r="BQ134" s="15"/>
      <c r="BR134" s="15"/>
      <c r="BS134" s="15"/>
    </row>
    <row r="135" spans="1:425">
      <c r="A135" s="14">
        <v>123</v>
      </c>
      <c r="B135" s="15" t="str">
        <f>IF(ISBLANK(D[[#This Row],[CLAS_GRONDSOORT]]),"ONWAAR","WAAR")</f>
        <v>WAAR</v>
      </c>
      <c r="C135" s="15" t="str">
        <f>IF(ISBLANK(D[[#This Row],[CLAS_VN_HOOFDNAAM]]),"ONWAAR","WAAR")</f>
        <v>ONWAAR</v>
      </c>
      <c r="D135" s="15" t="str">
        <f>IF(ISBLANK(D[[#This Row],[KV_GRONDSOORT]]),"ONWAAR","WAAR")</f>
        <v>ONWAAR</v>
      </c>
      <c r="E135" s="15" t="str">
        <f>IF(ISBLANK(D[[#This Row],[CPT_QNET]]),"ONWAAR","WAAR")</f>
        <v>ONWAAR</v>
      </c>
      <c r="F135" s="15" t="str">
        <f>IF(ISBLANK(D[[#This Row],[CRS_GRONDSOORT]]),"ONWAAR","WAAR")</f>
        <v>ONWAAR</v>
      </c>
      <c r="G135" s="15" t="str">
        <f>IF(ISBLANK(D[[#This Row],[SD_GRONDSOORT]]),"ONWAAR","WAAR")</f>
        <v>ONWAAR</v>
      </c>
      <c r="H135" s="15" t="str">
        <f>IF(ISBLANK(D[[#This Row],[DSS_GRONDSOORT]]),"ONWAAR","WAAR")</f>
        <v>ONWAAR</v>
      </c>
      <c r="I135" s="15" t="str">
        <f>IF(ISBLANK(D[[#This Row],[TXT_SS_GRONDSOORT]]),"ONWAAR","WAAR")</f>
        <v>ONWAAR</v>
      </c>
      <c r="J135" s="13" t="s">
        <v>1871</v>
      </c>
      <c r="L135" s="13" t="s">
        <v>1418</v>
      </c>
      <c r="M135" s="13" t="s">
        <v>1419</v>
      </c>
      <c r="P135" s="13" t="s">
        <v>1420</v>
      </c>
      <c r="V135" s="41">
        <v>134079.72</v>
      </c>
      <c r="W135" s="41">
        <v>414857.17</v>
      </c>
      <c r="X135" s="41">
        <v>6.15</v>
      </c>
      <c r="Y135" s="13" t="s">
        <v>1823</v>
      </c>
      <c r="Z135" s="13" t="s">
        <v>1422</v>
      </c>
      <c r="AA135" s="39">
        <v>45181</v>
      </c>
      <c r="AB135" s="13" t="s">
        <v>1824</v>
      </c>
      <c r="AC135" s="13" t="s">
        <v>1825</v>
      </c>
      <c r="AD135" s="13" t="s">
        <v>1425</v>
      </c>
      <c r="AE135" s="13" t="s">
        <v>1476</v>
      </c>
      <c r="AF135" s="13" t="s">
        <v>1427</v>
      </c>
      <c r="AG135" s="41">
        <v>0.35</v>
      </c>
      <c r="AI135" s="13" t="s">
        <v>1872</v>
      </c>
      <c r="AJ135" s="13" t="s">
        <v>1428</v>
      </c>
      <c r="AK135" s="13" t="s">
        <v>1429</v>
      </c>
      <c r="AL135" s="41">
        <v>-8.0500000000000007</v>
      </c>
      <c r="AM135" s="41">
        <v>-8.25</v>
      </c>
      <c r="AN135" s="41">
        <v>14.2</v>
      </c>
      <c r="AO135" s="41">
        <v>14.4</v>
      </c>
      <c r="AP135" s="13">
        <v>12.5</v>
      </c>
      <c r="AQ135" s="13" t="s">
        <v>1826</v>
      </c>
      <c r="AR135" s="13" t="s">
        <v>1431</v>
      </c>
      <c r="AS135" s="13" t="s">
        <v>1871</v>
      </c>
      <c r="AT135" s="13" t="s">
        <v>1425</v>
      </c>
      <c r="AU135" s="13" t="s">
        <v>1432</v>
      </c>
      <c r="AV135" s="39">
        <v>45279</v>
      </c>
      <c r="AW135" s="13" t="s">
        <v>1873</v>
      </c>
      <c r="AY135" s="41">
        <v>-8.15</v>
      </c>
      <c r="AZ135" s="41">
        <v>18.2</v>
      </c>
      <c r="BA135" s="41">
        <v>13.8</v>
      </c>
      <c r="BB135" s="41">
        <v>32.1</v>
      </c>
    </row>
    <row r="136" spans="1:425">
      <c r="A136" s="14">
        <v>124</v>
      </c>
      <c r="B136" s="15" t="str">
        <f>IF(ISBLANK(D[[#This Row],[CLAS_GRONDSOORT]]),"ONWAAR","WAAR")</f>
        <v>WAAR</v>
      </c>
      <c r="C136" s="15" t="str">
        <f>IF(ISBLANK(D[[#This Row],[CLAS_VN_HOOFDNAAM]]),"ONWAAR","WAAR")</f>
        <v>ONWAAR</v>
      </c>
      <c r="D136" s="15" t="str">
        <f>IF(ISBLANK(D[[#This Row],[KV_GRONDSOORT]]),"ONWAAR","WAAR")</f>
        <v>ONWAAR</v>
      </c>
      <c r="E136" s="15" t="str">
        <f>IF(ISBLANK(D[[#This Row],[CPT_QNET]]),"ONWAAR","WAAR")</f>
        <v>ONWAAR</v>
      </c>
      <c r="F136" s="15" t="str">
        <f>IF(ISBLANK(D[[#This Row],[CRS_GRONDSOORT]]),"ONWAAR","WAAR")</f>
        <v>ONWAAR</v>
      </c>
      <c r="G136" s="15" t="str">
        <f>IF(ISBLANK(D[[#This Row],[SD_GRONDSOORT]]),"ONWAAR","WAAR")</f>
        <v>ONWAAR</v>
      </c>
      <c r="H136" s="15" t="str">
        <f>IF(ISBLANK(D[[#This Row],[DSS_GRONDSOORT]]),"ONWAAR","WAAR")</f>
        <v>ONWAAR</v>
      </c>
      <c r="I136" s="15" t="str">
        <f>IF(ISBLANK(D[[#This Row],[TXT_SS_GRONDSOORT]]),"ONWAAR","WAAR")</f>
        <v>ONWAAR</v>
      </c>
      <c r="J136" s="13" t="s">
        <v>1874</v>
      </c>
      <c r="L136" s="13" t="s">
        <v>1418</v>
      </c>
      <c r="M136" s="13" t="s">
        <v>1419</v>
      </c>
      <c r="P136" s="13" t="s">
        <v>1420</v>
      </c>
      <c r="V136" s="41">
        <v>134079.72</v>
      </c>
      <c r="W136" s="41">
        <v>414857.17</v>
      </c>
      <c r="X136" s="41">
        <v>6.15</v>
      </c>
      <c r="Y136" s="13" t="s">
        <v>1823</v>
      </c>
      <c r="Z136" s="13" t="s">
        <v>1422</v>
      </c>
      <c r="AA136" s="39">
        <v>45181</v>
      </c>
      <c r="AB136" s="13" t="s">
        <v>1824</v>
      </c>
      <c r="AC136" s="13" t="s">
        <v>1825</v>
      </c>
      <c r="AD136" s="13" t="s">
        <v>1425</v>
      </c>
      <c r="AE136" s="13" t="s">
        <v>1476</v>
      </c>
      <c r="AF136" s="13" t="s">
        <v>1427</v>
      </c>
      <c r="AG136" s="41">
        <v>0.35</v>
      </c>
      <c r="AI136" s="13" t="s">
        <v>1875</v>
      </c>
      <c r="AJ136" s="13" t="s">
        <v>1428</v>
      </c>
      <c r="AK136" s="13" t="s">
        <v>1429</v>
      </c>
      <c r="AL136" s="41">
        <v>-8.25</v>
      </c>
      <c r="AM136" s="41">
        <v>-8.4499999999999993</v>
      </c>
      <c r="AN136" s="41">
        <v>14.4</v>
      </c>
      <c r="AO136" s="41">
        <v>14.6</v>
      </c>
      <c r="AQ136" s="13" t="s">
        <v>1826</v>
      </c>
      <c r="AR136" s="13" t="s">
        <v>1431</v>
      </c>
      <c r="AS136" s="13" t="s">
        <v>1874</v>
      </c>
      <c r="AT136" s="13" t="s">
        <v>1425</v>
      </c>
      <c r="AU136" s="13" t="s">
        <v>1432</v>
      </c>
      <c r="AV136" s="39">
        <v>45279</v>
      </c>
      <c r="AW136" s="13" t="s">
        <v>1876</v>
      </c>
      <c r="AY136" s="41">
        <v>-8.35</v>
      </c>
      <c r="AZ136" s="41"/>
      <c r="BA136" s="41"/>
      <c r="BB136" s="41"/>
    </row>
    <row r="137" spans="1:425">
      <c r="A137" s="14">
        <v>125</v>
      </c>
      <c r="B137" s="15" t="str">
        <f>IF(ISBLANK(D[[#This Row],[CLAS_GRONDSOORT]]),"ONWAAR","WAAR")</f>
        <v>WAAR</v>
      </c>
      <c r="C137" s="15" t="str">
        <f>IF(ISBLANK(D[[#This Row],[CLAS_VN_HOOFDNAAM]]),"ONWAAR","WAAR")</f>
        <v>ONWAAR</v>
      </c>
      <c r="D137" s="15" t="str">
        <f>IF(ISBLANK(D[[#This Row],[KV_GRONDSOORT]]),"ONWAAR","WAAR")</f>
        <v>ONWAAR</v>
      </c>
      <c r="E137" s="15" t="str">
        <f>IF(ISBLANK(D[[#This Row],[CPT_QNET]]),"ONWAAR","WAAR")</f>
        <v>ONWAAR</v>
      </c>
      <c r="F137" s="15" t="str">
        <f>IF(ISBLANK(D[[#This Row],[CRS_GRONDSOORT]]),"ONWAAR","WAAR")</f>
        <v>ONWAAR</v>
      </c>
      <c r="G137" s="15" t="str">
        <f>IF(ISBLANK(D[[#This Row],[SD_GRONDSOORT]]),"ONWAAR","WAAR")</f>
        <v>ONWAAR</v>
      </c>
      <c r="H137" s="15" t="str">
        <f>IF(ISBLANK(D[[#This Row],[DSS_GRONDSOORT]]),"ONWAAR","WAAR")</f>
        <v>ONWAAR</v>
      </c>
      <c r="I137" s="15" t="str">
        <f>IF(ISBLANK(D[[#This Row],[TXT_SS_GRONDSOORT]]),"ONWAAR","WAAR")</f>
        <v>ONWAAR</v>
      </c>
      <c r="J137" s="13" t="s">
        <v>1877</v>
      </c>
      <c r="L137" s="13" t="s">
        <v>1418</v>
      </c>
      <c r="M137" s="13" t="s">
        <v>1419</v>
      </c>
      <c r="P137" s="13" t="s">
        <v>1420</v>
      </c>
      <c r="V137" s="41">
        <v>134079.72</v>
      </c>
      <c r="W137" s="41">
        <v>414857.17</v>
      </c>
      <c r="X137" s="41">
        <v>6.15</v>
      </c>
      <c r="Y137" s="13" t="s">
        <v>1823</v>
      </c>
      <c r="Z137" s="13" t="s">
        <v>1422</v>
      </c>
      <c r="AA137" s="39">
        <v>45181</v>
      </c>
      <c r="AB137" s="13" t="s">
        <v>1824</v>
      </c>
      <c r="AC137" s="13" t="s">
        <v>1825</v>
      </c>
      <c r="AD137" s="13" t="s">
        <v>1425</v>
      </c>
      <c r="AE137" s="13" t="s">
        <v>1476</v>
      </c>
      <c r="AF137" s="13" t="s">
        <v>1427</v>
      </c>
      <c r="AG137" s="41">
        <v>0.35</v>
      </c>
      <c r="AI137" s="13">
        <v>16</v>
      </c>
      <c r="AJ137" s="13" t="s">
        <v>1428</v>
      </c>
      <c r="AK137" s="13" t="s">
        <v>1429</v>
      </c>
      <c r="AL137" s="41">
        <v>-8.5500000000000007</v>
      </c>
      <c r="AM137" s="41">
        <v>-8.8000000000000007</v>
      </c>
      <c r="AN137" s="41">
        <v>14.7</v>
      </c>
      <c r="AO137" s="41">
        <v>14.95</v>
      </c>
      <c r="AP137" s="13">
        <v>13.5</v>
      </c>
      <c r="AQ137" s="13" t="s">
        <v>1826</v>
      </c>
      <c r="AR137" s="13" t="s">
        <v>1431</v>
      </c>
      <c r="AS137" s="13" t="s">
        <v>1877</v>
      </c>
      <c r="AT137" s="13" t="s">
        <v>1425</v>
      </c>
      <c r="AU137" s="13" t="s">
        <v>1432</v>
      </c>
      <c r="AV137" s="39">
        <v>45279</v>
      </c>
      <c r="AW137" s="13" t="s">
        <v>1878</v>
      </c>
      <c r="AY137" s="41">
        <v>-8.68</v>
      </c>
      <c r="AZ137" s="41"/>
      <c r="BA137" s="41"/>
      <c r="BB137" s="41"/>
    </row>
    <row r="138" spans="1:425">
      <c r="A138" s="14">
        <v>126</v>
      </c>
      <c r="B138" s="15" t="str">
        <f>IF(ISBLANK(D[[#This Row],[CLAS_GRONDSOORT]]),"ONWAAR","WAAR")</f>
        <v>WAAR</v>
      </c>
      <c r="C138" s="15" t="str">
        <f>IF(ISBLANK(D[[#This Row],[CLAS_VN_HOOFDNAAM]]),"ONWAAR","WAAR")</f>
        <v>ONWAAR</v>
      </c>
      <c r="D138" s="15" t="str">
        <f>IF(ISBLANK(D[[#This Row],[KV_GRONDSOORT]]),"ONWAAR","WAAR")</f>
        <v>ONWAAR</v>
      </c>
      <c r="E138" s="15" t="str">
        <f>IF(ISBLANK(D[[#This Row],[CPT_QNET]]),"ONWAAR","WAAR")</f>
        <v>ONWAAR</v>
      </c>
      <c r="F138" s="15" t="str">
        <f>IF(ISBLANK(D[[#This Row],[CRS_GRONDSOORT]]),"ONWAAR","WAAR")</f>
        <v>ONWAAR</v>
      </c>
      <c r="G138" s="15" t="str">
        <f>IF(ISBLANK(D[[#This Row],[SD_GRONDSOORT]]),"ONWAAR","WAAR")</f>
        <v>ONWAAR</v>
      </c>
      <c r="H138" s="15" t="str">
        <f>IF(ISBLANK(D[[#This Row],[DSS_GRONDSOORT]]),"ONWAAR","WAAR")</f>
        <v>ONWAAR</v>
      </c>
      <c r="I138" s="15" t="str">
        <f>IF(ISBLANK(D[[#This Row],[TXT_SS_GRONDSOORT]]),"ONWAAR","WAAR")</f>
        <v>ONWAAR</v>
      </c>
      <c r="J138" s="13" t="s">
        <v>1879</v>
      </c>
      <c r="L138" s="13" t="s">
        <v>1418</v>
      </c>
      <c r="M138" s="13" t="s">
        <v>1419</v>
      </c>
      <c r="P138" s="13" t="s">
        <v>1420</v>
      </c>
      <c r="V138" s="41">
        <v>134079.72</v>
      </c>
      <c r="W138" s="41">
        <v>414857.17</v>
      </c>
      <c r="X138" s="41">
        <v>6.15</v>
      </c>
      <c r="Y138" s="13" t="s">
        <v>1823</v>
      </c>
      <c r="Z138" s="13" t="s">
        <v>1422</v>
      </c>
      <c r="AA138" s="39">
        <v>45181</v>
      </c>
      <c r="AB138" s="13" t="s">
        <v>1824</v>
      </c>
      <c r="AC138" s="13" t="s">
        <v>1825</v>
      </c>
      <c r="AD138" s="13" t="s">
        <v>1425</v>
      </c>
      <c r="AE138" s="13" t="s">
        <v>1476</v>
      </c>
      <c r="AF138" s="13" t="s">
        <v>1427</v>
      </c>
      <c r="AG138" s="41">
        <v>0.35</v>
      </c>
      <c r="AI138" s="13">
        <v>17</v>
      </c>
      <c r="AJ138" s="13" t="s">
        <v>1428</v>
      </c>
      <c r="AK138" s="13" t="s">
        <v>1429</v>
      </c>
      <c r="AL138" s="41">
        <v>-9.0500000000000007</v>
      </c>
      <c r="AM138" s="41">
        <v>-9.36</v>
      </c>
      <c r="AN138" s="41">
        <v>15.2</v>
      </c>
      <c r="AO138" s="41">
        <v>15.51</v>
      </c>
      <c r="AP138" s="13">
        <v>16.899999999999999</v>
      </c>
      <c r="AQ138" s="13" t="s">
        <v>1826</v>
      </c>
      <c r="AR138" s="13" t="s">
        <v>1431</v>
      </c>
      <c r="AS138" s="13" t="s">
        <v>1879</v>
      </c>
      <c r="AT138" s="13" t="s">
        <v>1425</v>
      </c>
      <c r="AU138" s="13" t="s">
        <v>1432</v>
      </c>
      <c r="AV138" s="39">
        <v>45279</v>
      </c>
      <c r="AW138" s="13" t="s">
        <v>1880</v>
      </c>
      <c r="AY138" s="41">
        <v>-9.2100000000000009</v>
      </c>
      <c r="AZ138" s="41"/>
      <c r="BA138" s="41"/>
      <c r="BB138" s="41"/>
    </row>
    <row r="139" spans="1:425">
      <c r="A139" s="14">
        <v>127</v>
      </c>
      <c r="B139" s="15" t="str">
        <f>IF(ISBLANK(D[[#This Row],[CLAS_GRONDSOORT]]),"ONWAAR","WAAR")</f>
        <v>WAAR</v>
      </c>
      <c r="C139" s="15" t="str">
        <f>IF(ISBLANK(D[[#This Row],[CLAS_VN_HOOFDNAAM]]),"ONWAAR","WAAR")</f>
        <v>ONWAAR</v>
      </c>
      <c r="D139" s="15" t="str">
        <f>IF(ISBLANK(D[[#This Row],[KV_GRONDSOORT]]),"ONWAAR","WAAR")</f>
        <v>ONWAAR</v>
      </c>
      <c r="E139" s="15" t="str">
        <f>IF(ISBLANK(D[[#This Row],[CPT_QNET]]),"ONWAAR","WAAR")</f>
        <v>ONWAAR</v>
      </c>
      <c r="F139" s="15" t="str">
        <f>IF(ISBLANK(D[[#This Row],[CRS_GRONDSOORT]]),"ONWAAR","WAAR")</f>
        <v>ONWAAR</v>
      </c>
      <c r="G139" s="15" t="str">
        <f>IF(ISBLANK(D[[#This Row],[SD_GRONDSOORT]]),"ONWAAR","WAAR")</f>
        <v>ONWAAR</v>
      </c>
      <c r="H139" s="15" t="str">
        <f>IF(ISBLANK(D[[#This Row],[DSS_GRONDSOORT]]),"ONWAAR","WAAR")</f>
        <v>ONWAAR</v>
      </c>
      <c r="I139" s="15" t="str">
        <f>IF(ISBLANK(D[[#This Row],[TXT_SS_GRONDSOORT]]),"ONWAAR","WAAR")</f>
        <v>WAAR</v>
      </c>
      <c r="J139" s="13" t="s">
        <v>1881</v>
      </c>
      <c r="L139" s="13" t="s">
        <v>1418</v>
      </c>
      <c r="M139" s="13" t="s">
        <v>1419</v>
      </c>
      <c r="P139" s="13" t="s">
        <v>1420</v>
      </c>
      <c r="V139" s="41">
        <v>133861.85999999999</v>
      </c>
      <c r="W139" s="41">
        <v>414580.28</v>
      </c>
      <c r="X139" s="41">
        <v>6.31</v>
      </c>
      <c r="Y139" s="13" t="s">
        <v>1882</v>
      </c>
      <c r="Z139" s="13" t="s">
        <v>1422</v>
      </c>
      <c r="AA139" s="39">
        <v>45169</v>
      </c>
      <c r="AB139" s="13" t="s">
        <v>1883</v>
      </c>
      <c r="AC139" s="13" t="s">
        <v>1884</v>
      </c>
      <c r="AD139" s="13" t="s">
        <v>1425</v>
      </c>
      <c r="AE139" s="13" t="s">
        <v>1426</v>
      </c>
      <c r="AF139" s="13" t="s">
        <v>1427</v>
      </c>
      <c r="AG139" s="41">
        <v>0.51</v>
      </c>
      <c r="AI139" s="13">
        <v>1</v>
      </c>
      <c r="AJ139" s="13" t="s">
        <v>1428</v>
      </c>
      <c r="AK139" s="13" t="s">
        <v>1429</v>
      </c>
      <c r="AL139" s="41">
        <v>5.71</v>
      </c>
      <c r="AM139" s="41">
        <v>5.31</v>
      </c>
      <c r="AN139" s="41">
        <v>0.6</v>
      </c>
      <c r="AO139" s="41">
        <v>1</v>
      </c>
      <c r="AQ139" s="13" t="s">
        <v>1885</v>
      </c>
      <c r="AR139" s="13" t="s">
        <v>1431</v>
      </c>
      <c r="AS139" s="13" t="s">
        <v>1881</v>
      </c>
      <c r="AT139" s="13" t="s">
        <v>1425</v>
      </c>
      <c r="AU139" s="13" t="s">
        <v>1432</v>
      </c>
      <c r="AV139" s="39">
        <v>45279</v>
      </c>
      <c r="AW139" s="13" t="s">
        <v>1886</v>
      </c>
      <c r="AY139" s="41">
        <v>5.61</v>
      </c>
      <c r="AZ139" s="41">
        <v>14.2</v>
      </c>
      <c r="BA139" s="41">
        <v>7.1</v>
      </c>
      <c r="BB139" s="41">
        <v>100</v>
      </c>
      <c r="NH139" s="13" t="s">
        <v>1887</v>
      </c>
      <c r="NI139" s="13" t="s">
        <v>1888</v>
      </c>
      <c r="NJ139" s="13" t="s">
        <v>1889</v>
      </c>
      <c r="NK139" s="13" t="s">
        <v>1454</v>
      </c>
      <c r="NL139" s="13" t="s">
        <v>1461</v>
      </c>
      <c r="NM139" s="39">
        <v>45189</v>
      </c>
      <c r="NN139" s="13" t="s">
        <v>1456</v>
      </c>
      <c r="NP139" s="41">
        <v>5.61</v>
      </c>
      <c r="NQ139" s="41">
        <v>69.7</v>
      </c>
      <c r="NR139" s="41">
        <v>14.16</v>
      </c>
      <c r="NS139" s="41">
        <v>7.08</v>
      </c>
      <c r="NT139" s="41">
        <v>96.13</v>
      </c>
      <c r="NU139" s="41">
        <v>100</v>
      </c>
      <c r="NV139" s="41">
        <v>104.37</v>
      </c>
      <c r="NW139" s="41">
        <v>2.2400000000000002</v>
      </c>
      <c r="NX139" s="44">
        <v>2339</v>
      </c>
      <c r="NY139" s="44">
        <v>21.3</v>
      </c>
      <c r="NZ139" s="44">
        <v>21.3</v>
      </c>
      <c r="OA139" s="44">
        <v>50</v>
      </c>
      <c r="OB139" s="44">
        <v>100</v>
      </c>
      <c r="OC139" s="41" t="s">
        <v>1463</v>
      </c>
      <c r="OD139" s="41" t="s">
        <v>1464</v>
      </c>
      <c r="OE139" s="41" t="s">
        <v>1465</v>
      </c>
      <c r="OF139" s="43">
        <v>300</v>
      </c>
      <c r="OG139" s="41" t="s">
        <v>1466</v>
      </c>
      <c r="OH139" s="41">
        <v>0.93</v>
      </c>
      <c r="OI139" s="41" t="s">
        <v>1467</v>
      </c>
      <c r="OJ139" s="41">
        <v>63.82</v>
      </c>
      <c r="OK139" s="41">
        <v>0.82</v>
      </c>
      <c r="OL139" s="41">
        <v>64.739999999999995</v>
      </c>
      <c r="OM139" s="41">
        <v>2.97</v>
      </c>
      <c r="ON139" s="41">
        <v>64.739999999999995</v>
      </c>
      <c r="OO139" s="41">
        <v>2.97</v>
      </c>
      <c r="OP139" s="43">
        <v>1</v>
      </c>
      <c r="OQ139" s="41">
        <v>4.04</v>
      </c>
      <c r="OR139" s="41">
        <v>11.78</v>
      </c>
      <c r="OS139" s="41" t="s">
        <v>1468</v>
      </c>
      <c r="OT139" s="41">
        <v>0.94</v>
      </c>
      <c r="OU139" s="41">
        <v>60.03</v>
      </c>
      <c r="OV139" s="41">
        <v>25.86</v>
      </c>
      <c r="OW139" s="41">
        <v>57.66</v>
      </c>
      <c r="OX139" s="41">
        <v>32.89</v>
      </c>
      <c r="OY139" s="41">
        <v>65.02</v>
      </c>
      <c r="OZ139" s="41">
        <v>48.95</v>
      </c>
      <c r="PA139" s="41">
        <v>66.489999999999995</v>
      </c>
      <c r="PB139" s="41">
        <v>51.82</v>
      </c>
      <c r="PC139" s="41">
        <v>19.2</v>
      </c>
      <c r="PD139" s="41">
        <v>63.92</v>
      </c>
      <c r="PE139" s="41">
        <v>47.25</v>
      </c>
      <c r="PF139" s="43">
        <v>25</v>
      </c>
      <c r="PG139" s="41">
        <v>1.93</v>
      </c>
      <c r="PH139" s="41">
        <v>2.52</v>
      </c>
      <c r="PI139" s="41">
        <v>0.45</v>
      </c>
    </row>
    <row r="140" spans="1:425">
      <c r="A140" s="14">
        <v>128</v>
      </c>
      <c r="B140" s="15" t="str">
        <f>IF(ISBLANK(D[[#This Row],[CLAS_GRONDSOORT]]),"ONWAAR","WAAR")</f>
        <v>WAAR</v>
      </c>
      <c r="C140" s="15" t="str">
        <f>IF(ISBLANK(D[[#This Row],[CLAS_VN_HOOFDNAAM]]),"ONWAAR","WAAR")</f>
        <v>ONWAAR</v>
      </c>
      <c r="D140" s="15" t="str">
        <f>IF(ISBLANK(D[[#This Row],[KV_GRONDSOORT]]),"ONWAAR","WAAR")</f>
        <v>ONWAAR</v>
      </c>
      <c r="E140" s="15" t="str">
        <f>IF(ISBLANK(D[[#This Row],[CPT_QNET]]),"ONWAAR","WAAR")</f>
        <v>ONWAAR</v>
      </c>
      <c r="F140" s="15" t="str">
        <f>IF(ISBLANK(D[[#This Row],[CRS_GRONDSOORT]]),"ONWAAR","WAAR")</f>
        <v>ONWAAR</v>
      </c>
      <c r="G140" s="15" t="str">
        <f>IF(ISBLANK(D[[#This Row],[SD_GRONDSOORT]]),"ONWAAR","WAAR")</f>
        <v>ONWAAR</v>
      </c>
      <c r="H140" s="15" t="str">
        <f>IF(ISBLANK(D[[#This Row],[DSS_GRONDSOORT]]),"ONWAAR","WAAR")</f>
        <v>ONWAAR</v>
      </c>
      <c r="I140" s="15" t="str">
        <f>IF(ISBLANK(D[[#This Row],[TXT_SS_GRONDSOORT]]),"ONWAAR","WAAR")</f>
        <v>ONWAAR</v>
      </c>
      <c r="J140" s="13" t="s">
        <v>1890</v>
      </c>
      <c r="L140" s="13" t="s">
        <v>1418</v>
      </c>
      <c r="M140" s="13" t="s">
        <v>1419</v>
      </c>
      <c r="P140" s="13" t="s">
        <v>1420</v>
      </c>
      <c r="V140" s="41">
        <v>133861.85999999999</v>
      </c>
      <c r="W140" s="41">
        <v>414580.28</v>
      </c>
      <c r="X140" s="41">
        <v>6.31</v>
      </c>
      <c r="Y140" s="13" t="s">
        <v>1882</v>
      </c>
      <c r="Z140" s="13" t="s">
        <v>1422</v>
      </c>
      <c r="AA140" s="39">
        <v>45169</v>
      </c>
      <c r="AB140" s="13" t="s">
        <v>1883</v>
      </c>
      <c r="AC140" s="13" t="s">
        <v>1884</v>
      </c>
      <c r="AD140" s="13" t="s">
        <v>1425</v>
      </c>
      <c r="AE140" s="13" t="s">
        <v>1426</v>
      </c>
      <c r="AF140" s="13" t="s">
        <v>1427</v>
      </c>
      <c r="AG140" s="41">
        <v>0.51</v>
      </c>
      <c r="AI140" s="13">
        <v>2</v>
      </c>
      <c r="AJ140" s="13" t="s">
        <v>1428</v>
      </c>
      <c r="AK140" s="13" t="s">
        <v>1429</v>
      </c>
      <c r="AL140" s="41">
        <v>4.71</v>
      </c>
      <c r="AM140" s="41">
        <v>4.3099999999999996</v>
      </c>
      <c r="AN140" s="41">
        <v>1.6</v>
      </c>
      <c r="AO140" s="41">
        <v>2</v>
      </c>
      <c r="AQ140" s="13" t="s">
        <v>1885</v>
      </c>
      <c r="AR140" s="13" t="s">
        <v>1431</v>
      </c>
      <c r="AS140" s="13" t="s">
        <v>1890</v>
      </c>
      <c r="AT140" s="13" t="s">
        <v>1425</v>
      </c>
      <c r="AU140" s="13" t="s">
        <v>1432</v>
      </c>
      <c r="AV140" s="39">
        <v>45279</v>
      </c>
      <c r="AW140" s="13" t="s">
        <v>1891</v>
      </c>
      <c r="AY140" s="41">
        <v>4.51</v>
      </c>
      <c r="AZ140" s="41"/>
      <c r="BA140" s="41"/>
      <c r="BB140" s="41"/>
    </row>
    <row r="141" spans="1:425">
      <c r="A141" s="14">
        <v>129</v>
      </c>
      <c r="B141" s="15" t="str">
        <f>IF(ISBLANK(D[[#This Row],[CLAS_GRONDSOORT]]),"ONWAAR","WAAR")</f>
        <v>WAAR</v>
      </c>
      <c r="C141" s="15" t="str">
        <f>IF(ISBLANK(D[[#This Row],[CLAS_VN_HOOFDNAAM]]),"ONWAAR","WAAR")</f>
        <v>ONWAAR</v>
      </c>
      <c r="D141" s="15" t="str">
        <f>IF(ISBLANK(D[[#This Row],[KV_GRONDSOORT]]),"ONWAAR","WAAR")</f>
        <v>ONWAAR</v>
      </c>
      <c r="E141" s="15" t="str">
        <f>IF(ISBLANK(D[[#This Row],[CPT_QNET]]),"ONWAAR","WAAR")</f>
        <v>ONWAAR</v>
      </c>
      <c r="F141" s="15" t="str">
        <f>IF(ISBLANK(D[[#This Row],[CRS_GRONDSOORT]]),"ONWAAR","WAAR")</f>
        <v>ONWAAR</v>
      </c>
      <c r="G141" s="15" t="str">
        <f>IF(ISBLANK(D[[#This Row],[SD_GRONDSOORT]]),"ONWAAR","WAAR")</f>
        <v>ONWAAR</v>
      </c>
      <c r="H141" s="15" t="str">
        <f>IF(ISBLANK(D[[#This Row],[DSS_GRONDSOORT]]),"ONWAAR","WAAR")</f>
        <v>ONWAAR</v>
      </c>
      <c r="I141" s="15" t="str">
        <f>IF(ISBLANK(D[[#This Row],[TXT_SS_GRONDSOORT]]),"ONWAAR","WAAR")</f>
        <v>ONWAAR</v>
      </c>
      <c r="J141" s="13" t="s">
        <v>1892</v>
      </c>
      <c r="L141" s="13" t="s">
        <v>1418</v>
      </c>
      <c r="M141" s="13" t="s">
        <v>1419</v>
      </c>
      <c r="P141" s="13" t="s">
        <v>1420</v>
      </c>
      <c r="V141" s="41">
        <v>133861.85999999999</v>
      </c>
      <c r="W141" s="41">
        <v>414580.28</v>
      </c>
      <c r="X141" s="41">
        <v>6.31</v>
      </c>
      <c r="Y141" s="13" t="s">
        <v>1882</v>
      </c>
      <c r="Z141" s="13" t="s">
        <v>1422</v>
      </c>
      <c r="AA141" s="39">
        <v>45169</v>
      </c>
      <c r="AB141" s="13" t="s">
        <v>1883</v>
      </c>
      <c r="AC141" s="13" t="s">
        <v>1884</v>
      </c>
      <c r="AD141" s="13" t="s">
        <v>1425</v>
      </c>
      <c r="AE141" s="13" t="s">
        <v>1426</v>
      </c>
      <c r="AF141" s="13" t="s">
        <v>1427</v>
      </c>
      <c r="AG141" s="41">
        <v>0.51</v>
      </c>
      <c r="AI141" s="13">
        <v>3</v>
      </c>
      <c r="AJ141" s="13" t="s">
        <v>1428</v>
      </c>
      <c r="AK141" s="13" t="s">
        <v>1429</v>
      </c>
      <c r="AL141" s="41">
        <v>3.71</v>
      </c>
      <c r="AM141" s="41">
        <v>3.31</v>
      </c>
      <c r="AN141" s="41">
        <v>2.6</v>
      </c>
      <c r="AO141" s="41">
        <v>3</v>
      </c>
      <c r="AQ141" s="13" t="s">
        <v>1885</v>
      </c>
      <c r="AR141" s="13" t="s">
        <v>1431</v>
      </c>
      <c r="AS141" s="13" t="s">
        <v>1892</v>
      </c>
      <c r="AT141" s="13" t="s">
        <v>1425</v>
      </c>
      <c r="AU141" s="13" t="s">
        <v>1432</v>
      </c>
      <c r="AV141" s="39">
        <v>45279</v>
      </c>
      <c r="AW141" s="13" t="s">
        <v>1893</v>
      </c>
      <c r="AY141" s="41">
        <v>3.51</v>
      </c>
      <c r="AZ141" s="41"/>
      <c r="BA141" s="41"/>
      <c r="BB141" s="41"/>
    </row>
    <row r="142" spans="1:425">
      <c r="A142" s="14">
        <v>130</v>
      </c>
      <c r="B142" s="15" t="str">
        <f>IF(ISBLANK(D[[#This Row],[CLAS_GRONDSOORT]]),"ONWAAR","WAAR")</f>
        <v>WAAR</v>
      </c>
      <c r="C142" s="15" t="str">
        <f>IF(ISBLANK(D[[#This Row],[CLAS_VN_HOOFDNAAM]]),"ONWAAR","WAAR")</f>
        <v>ONWAAR</v>
      </c>
      <c r="D142" s="15" t="str">
        <f>IF(ISBLANK(D[[#This Row],[KV_GRONDSOORT]]),"ONWAAR","WAAR")</f>
        <v>ONWAAR</v>
      </c>
      <c r="E142" s="15" t="str">
        <f>IF(ISBLANK(D[[#This Row],[CPT_QNET]]),"ONWAAR","WAAR")</f>
        <v>ONWAAR</v>
      </c>
      <c r="F142" s="15" t="str">
        <f>IF(ISBLANK(D[[#This Row],[CRS_GRONDSOORT]]),"ONWAAR","WAAR")</f>
        <v>ONWAAR</v>
      </c>
      <c r="G142" s="15" t="str">
        <f>IF(ISBLANK(D[[#This Row],[SD_GRONDSOORT]]),"ONWAAR","WAAR")</f>
        <v>ONWAAR</v>
      </c>
      <c r="H142" s="15" t="str">
        <f>IF(ISBLANK(D[[#This Row],[DSS_GRONDSOORT]]),"ONWAAR","WAAR")</f>
        <v>ONWAAR</v>
      </c>
      <c r="I142" s="15" t="str">
        <f>IF(ISBLANK(D[[#This Row],[TXT_SS_GRONDSOORT]]),"ONWAAR","WAAR")</f>
        <v>ONWAAR</v>
      </c>
      <c r="J142" s="13" t="s">
        <v>1894</v>
      </c>
      <c r="L142" s="13" t="s">
        <v>1418</v>
      </c>
      <c r="M142" s="13" t="s">
        <v>1419</v>
      </c>
      <c r="P142" s="13" t="s">
        <v>1420</v>
      </c>
      <c r="V142" s="41">
        <v>133861.85999999999</v>
      </c>
      <c r="W142" s="41">
        <v>414580.28</v>
      </c>
      <c r="X142" s="41">
        <v>6.31</v>
      </c>
      <c r="Y142" s="13" t="s">
        <v>1882</v>
      </c>
      <c r="Z142" s="13" t="s">
        <v>1422</v>
      </c>
      <c r="AA142" s="39">
        <v>45169</v>
      </c>
      <c r="AB142" s="13" t="s">
        <v>1883</v>
      </c>
      <c r="AC142" s="13" t="s">
        <v>1884</v>
      </c>
      <c r="AD142" s="13" t="s">
        <v>1425</v>
      </c>
      <c r="AE142" s="13" t="s">
        <v>1426</v>
      </c>
      <c r="AF142" s="13" t="s">
        <v>1427</v>
      </c>
      <c r="AG142" s="41">
        <v>0.51</v>
      </c>
      <c r="AI142" s="13">
        <v>4</v>
      </c>
      <c r="AJ142" s="13" t="s">
        <v>1428</v>
      </c>
      <c r="AK142" s="13" t="s">
        <v>1429</v>
      </c>
      <c r="AL142" s="41">
        <v>2.71</v>
      </c>
      <c r="AM142" s="41">
        <v>2.31</v>
      </c>
      <c r="AN142" s="41">
        <v>3.6</v>
      </c>
      <c r="AO142" s="41">
        <v>4</v>
      </c>
      <c r="AQ142" s="13" t="s">
        <v>1885</v>
      </c>
      <c r="AR142" s="13" t="s">
        <v>1431</v>
      </c>
      <c r="AS142" s="13" t="s">
        <v>1894</v>
      </c>
      <c r="AT142" s="13" t="s">
        <v>1425</v>
      </c>
      <c r="AU142" s="13" t="s">
        <v>1432</v>
      </c>
      <c r="AV142" s="39">
        <v>45279</v>
      </c>
      <c r="AW142" s="13" t="s">
        <v>1834</v>
      </c>
      <c r="AY142" s="41"/>
      <c r="AZ142" s="41"/>
      <c r="BA142" s="41"/>
      <c r="BB142" s="41"/>
      <c r="NM142" s="39"/>
      <c r="OF142" s="40"/>
      <c r="OJ142" s="40"/>
      <c r="OL142" s="40"/>
      <c r="OM142" s="40"/>
      <c r="ON142" s="40"/>
      <c r="OO142" s="40"/>
      <c r="OQ142" s="40"/>
      <c r="OR142" s="40"/>
      <c r="OT142" s="40"/>
      <c r="OU142" s="40"/>
      <c r="OV142" s="40"/>
      <c r="OW142" s="40"/>
      <c r="OX142" s="40"/>
      <c r="OY142" s="40"/>
      <c r="OZ142" s="40"/>
      <c r="PA142" s="40"/>
      <c r="PB142" s="40"/>
      <c r="PC142" s="40"/>
      <c r="PD142" s="40"/>
      <c r="PE142" s="40"/>
      <c r="PF142" s="40"/>
      <c r="PG142" s="40"/>
      <c r="PH142" s="40"/>
      <c r="PI142" s="40"/>
    </row>
    <row r="143" spans="1:425">
      <c r="A143" s="14">
        <v>131</v>
      </c>
      <c r="B143" s="15" t="str">
        <f>IF(ISBLANK(D[[#This Row],[CLAS_GRONDSOORT]]),"ONWAAR","WAAR")</f>
        <v>WAAR</v>
      </c>
      <c r="C143" s="15" t="str">
        <f>IF(ISBLANK(D[[#This Row],[CLAS_VN_HOOFDNAAM]]),"ONWAAR","WAAR")</f>
        <v>ONWAAR</v>
      </c>
      <c r="D143" s="15" t="str">
        <f>IF(ISBLANK(D[[#This Row],[KV_GRONDSOORT]]),"ONWAAR","WAAR")</f>
        <v>ONWAAR</v>
      </c>
      <c r="E143" s="15" t="str">
        <f>IF(ISBLANK(D[[#This Row],[CPT_QNET]]),"ONWAAR","WAAR")</f>
        <v>ONWAAR</v>
      </c>
      <c r="F143" s="15" t="str">
        <f>IF(ISBLANK(D[[#This Row],[CRS_GRONDSOORT]]),"ONWAAR","WAAR")</f>
        <v>ONWAAR</v>
      </c>
      <c r="G143" s="15" t="str">
        <f>IF(ISBLANK(D[[#This Row],[SD_GRONDSOORT]]),"ONWAAR","WAAR")</f>
        <v>ONWAAR</v>
      </c>
      <c r="H143" s="15" t="str">
        <f>IF(ISBLANK(D[[#This Row],[DSS_GRONDSOORT]]),"ONWAAR","WAAR")</f>
        <v>ONWAAR</v>
      </c>
      <c r="I143" s="15" t="str">
        <f>IF(ISBLANK(D[[#This Row],[TXT_SS_GRONDSOORT]]),"ONWAAR","WAAR")</f>
        <v>ONWAAR</v>
      </c>
      <c r="J143" s="13" t="s">
        <v>1895</v>
      </c>
      <c r="L143" s="13" t="s">
        <v>1418</v>
      </c>
      <c r="M143" s="13" t="s">
        <v>1419</v>
      </c>
      <c r="P143" s="13" t="s">
        <v>1420</v>
      </c>
      <c r="V143" s="41">
        <v>133861.85999999999</v>
      </c>
      <c r="W143" s="41">
        <v>414580.28</v>
      </c>
      <c r="X143" s="41">
        <v>6.31</v>
      </c>
      <c r="Y143" s="13" t="s">
        <v>1882</v>
      </c>
      <c r="Z143" s="13" t="s">
        <v>1422</v>
      </c>
      <c r="AA143" s="39">
        <v>45169</v>
      </c>
      <c r="AB143" s="13" t="s">
        <v>1883</v>
      </c>
      <c r="AC143" s="13" t="s">
        <v>1884</v>
      </c>
      <c r="AD143" s="13" t="s">
        <v>1425</v>
      </c>
      <c r="AE143" s="13" t="s">
        <v>1426</v>
      </c>
      <c r="AF143" s="13" t="s">
        <v>1427</v>
      </c>
      <c r="AG143" s="41">
        <v>0.51</v>
      </c>
      <c r="AI143" s="13">
        <v>5</v>
      </c>
      <c r="AJ143" s="13" t="s">
        <v>1428</v>
      </c>
      <c r="AK143" s="13" t="s">
        <v>1429</v>
      </c>
      <c r="AL143" s="41">
        <v>1.71</v>
      </c>
      <c r="AM143" s="41">
        <v>1.31</v>
      </c>
      <c r="AN143" s="41">
        <v>4.5999999999999996</v>
      </c>
      <c r="AO143" s="41">
        <v>5</v>
      </c>
      <c r="AQ143" s="13" t="s">
        <v>1885</v>
      </c>
      <c r="AR143" s="13" t="s">
        <v>1431</v>
      </c>
      <c r="AS143" s="13" t="s">
        <v>1895</v>
      </c>
      <c r="AT143" s="13" t="s">
        <v>1425</v>
      </c>
      <c r="AU143" s="13" t="s">
        <v>1432</v>
      </c>
      <c r="AV143" s="39">
        <v>45279</v>
      </c>
      <c r="AW143" s="13" t="s">
        <v>1896</v>
      </c>
      <c r="AY143" s="41">
        <v>1.51</v>
      </c>
      <c r="AZ143" s="41"/>
      <c r="BA143" s="41"/>
      <c r="BB143" s="41"/>
    </row>
    <row r="144" spans="1:425">
      <c r="A144" s="14">
        <v>132</v>
      </c>
      <c r="B144" s="15" t="str">
        <f>IF(ISBLANK(D[[#This Row],[CLAS_GRONDSOORT]]),"ONWAAR","WAAR")</f>
        <v>WAAR</v>
      </c>
      <c r="C144" s="15" t="str">
        <f>IF(ISBLANK(D[[#This Row],[CLAS_VN_HOOFDNAAM]]),"ONWAAR","WAAR")</f>
        <v>ONWAAR</v>
      </c>
      <c r="D144" s="15" t="str">
        <f>IF(ISBLANK(D[[#This Row],[KV_GRONDSOORT]]),"ONWAAR","WAAR")</f>
        <v>ONWAAR</v>
      </c>
      <c r="E144" s="15" t="str">
        <f>IF(ISBLANK(D[[#This Row],[CPT_QNET]]),"ONWAAR","WAAR")</f>
        <v>ONWAAR</v>
      </c>
      <c r="F144" s="15" t="str">
        <f>IF(ISBLANK(D[[#This Row],[CRS_GRONDSOORT]]),"ONWAAR","WAAR")</f>
        <v>ONWAAR</v>
      </c>
      <c r="G144" s="15" t="str">
        <f>IF(ISBLANK(D[[#This Row],[SD_GRONDSOORT]]),"ONWAAR","WAAR")</f>
        <v>ONWAAR</v>
      </c>
      <c r="H144" s="15" t="str">
        <f>IF(ISBLANK(D[[#This Row],[DSS_GRONDSOORT]]),"ONWAAR","WAAR")</f>
        <v>ONWAAR</v>
      </c>
      <c r="I144" s="15" t="str">
        <f>IF(ISBLANK(D[[#This Row],[TXT_SS_GRONDSOORT]]),"ONWAAR","WAAR")</f>
        <v>ONWAAR</v>
      </c>
      <c r="J144" s="13" t="s">
        <v>1897</v>
      </c>
      <c r="L144" s="13" t="s">
        <v>1418</v>
      </c>
      <c r="M144" s="13" t="s">
        <v>1419</v>
      </c>
      <c r="P144" s="13" t="s">
        <v>1420</v>
      </c>
      <c r="V144" s="41">
        <v>133861.85999999999</v>
      </c>
      <c r="W144" s="41">
        <v>414580.28</v>
      </c>
      <c r="X144" s="41">
        <v>6.31</v>
      </c>
      <c r="Y144" s="13" t="s">
        <v>1882</v>
      </c>
      <c r="Z144" s="13" t="s">
        <v>1422</v>
      </c>
      <c r="AA144" s="39">
        <v>45169</v>
      </c>
      <c r="AB144" s="13" t="s">
        <v>1883</v>
      </c>
      <c r="AC144" s="13" t="s">
        <v>1884</v>
      </c>
      <c r="AD144" s="13" t="s">
        <v>1425</v>
      </c>
      <c r="AE144" s="13" t="s">
        <v>1426</v>
      </c>
      <c r="AF144" s="13" t="s">
        <v>1427</v>
      </c>
      <c r="AG144" s="41">
        <v>0.51</v>
      </c>
      <c r="AI144" s="13">
        <v>6</v>
      </c>
      <c r="AJ144" s="13" t="s">
        <v>1428</v>
      </c>
      <c r="AK144" s="13" t="s">
        <v>1429</v>
      </c>
      <c r="AL144" s="41">
        <v>1.21</v>
      </c>
      <c r="AM144" s="41">
        <v>0.81</v>
      </c>
      <c r="AN144" s="41">
        <v>5.0999999999999996</v>
      </c>
      <c r="AO144" s="41">
        <v>5.5</v>
      </c>
      <c r="AQ144" s="13" t="s">
        <v>1885</v>
      </c>
      <c r="AR144" s="13" t="s">
        <v>1431</v>
      </c>
      <c r="AS144" s="13" t="s">
        <v>1897</v>
      </c>
      <c r="AT144" s="13" t="s">
        <v>1425</v>
      </c>
      <c r="AU144" s="13" t="s">
        <v>1432</v>
      </c>
      <c r="AV144" s="39">
        <v>45279</v>
      </c>
      <c r="AW144" s="13" t="s">
        <v>1896</v>
      </c>
      <c r="AY144" s="41">
        <v>1.01</v>
      </c>
      <c r="AZ144" s="41"/>
      <c r="BA144" s="41"/>
      <c r="BB144" s="41"/>
    </row>
    <row r="145" spans="1:425">
      <c r="A145" s="14">
        <v>133</v>
      </c>
      <c r="B145" s="15" t="str">
        <f>IF(ISBLANK(D[[#This Row],[CLAS_GRONDSOORT]]),"ONWAAR","WAAR")</f>
        <v>WAAR</v>
      </c>
      <c r="C145" s="15" t="str">
        <f>IF(ISBLANK(D[[#This Row],[CLAS_VN_HOOFDNAAM]]),"ONWAAR","WAAR")</f>
        <v>ONWAAR</v>
      </c>
      <c r="D145" s="15" t="str">
        <f>IF(ISBLANK(D[[#This Row],[KV_GRONDSOORT]]),"ONWAAR","WAAR")</f>
        <v>ONWAAR</v>
      </c>
      <c r="E145" s="15" t="str">
        <f>IF(ISBLANK(D[[#This Row],[CPT_QNET]]),"ONWAAR","WAAR")</f>
        <v>ONWAAR</v>
      </c>
      <c r="F145" s="15" t="str">
        <f>IF(ISBLANK(D[[#This Row],[CRS_GRONDSOORT]]),"ONWAAR","WAAR")</f>
        <v>ONWAAR</v>
      </c>
      <c r="G145" s="15" t="str">
        <f>IF(ISBLANK(D[[#This Row],[SD_GRONDSOORT]]),"ONWAAR","WAAR")</f>
        <v>ONWAAR</v>
      </c>
      <c r="H145" s="15" t="str">
        <f>IF(ISBLANK(D[[#This Row],[DSS_GRONDSOORT]]),"ONWAAR","WAAR")</f>
        <v>ONWAAR</v>
      </c>
      <c r="I145" s="15" t="str">
        <f>IF(ISBLANK(D[[#This Row],[TXT_SS_GRONDSOORT]]),"ONWAAR","WAAR")</f>
        <v>ONWAAR</v>
      </c>
      <c r="J145" s="13" t="s">
        <v>1898</v>
      </c>
      <c r="L145" s="13" t="s">
        <v>1418</v>
      </c>
      <c r="M145" s="13" t="s">
        <v>1419</v>
      </c>
      <c r="P145" s="13" t="s">
        <v>1420</v>
      </c>
      <c r="V145" s="41">
        <v>133861.85999999999</v>
      </c>
      <c r="W145" s="41">
        <v>414580.28</v>
      </c>
      <c r="X145" s="41">
        <v>6.31</v>
      </c>
      <c r="Y145" s="13" t="s">
        <v>1882</v>
      </c>
      <c r="Z145" s="13" t="s">
        <v>1422</v>
      </c>
      <c r="AA145" s="39">
        <v>45169</v>
      </c>
      <c r="AB145" s="13" t="s">
        <v>1883</v>
      </c>
      <c r="AC145" s="13" t="s">
        <v>1884</v>
      </c>
      <c r="AD145" s="13" t="s">
        <v>1425</v>
      </c>
      <c r="AE145" s="13" t="s">
        <v>1426</v>
      </c>
      <c r="AF145" s="13" t="s">
        <v>1427</v>
      </c>
      <c r="AG145" s="41">
        <v>0.51</v>
      </c>
      <c r="AI145" s="13" t="s">
        <v>1501</v>
      </c>
      <c r="AJ145" s="13" t="s">
        <v>1428</v>
      </c>
      <c r="AK145" s="13" t="s">
        <v>1429</v>
      </c>
      <c r="AL145" s="41">
        <v>0.71</v>
      </c>
      <c r="AM145" s="41">
        <v>0.55000000000000004</v>
      </c>
      <c r="AN145" s="41">
        <v>5.6</v>
      </c>
      <c r="AO145" s="41">
        <v>5.76</v>
      </c>
      <c r="AQ145" s="13" t="s">
        <v>1885</v>
      </c>
      <c r="AR145" s="13" t="s">
        <v>1431</v>
      </c>
      <c r="AS145" s="13" t="s">
        <v>1898</v>
      </c>
      <c r="AT145" s="13" t="s">
        <v>1425</v>
      </c>
      <c r="AU145" s="13" t="s">
        <v>1432</v>
      </c>
      <c r="AV145" s="39">
        <v>45279</v>
      </c>
      <c r="AW145" s="13" t="s">
        <v>1899</v>
      </c>
      <c r="AY145" s="41">
        <v>0.63</v>
      </c>
      <c r="AZ145" s="41"/>
      <c r="BA145" s="41"/>
      <c r="BB145" s="41"/>
    </row>
    <row r="146" spans="1:425">
      <c r="A146" s="14">
        <v>134</v>
      </c>
      <c r="B146" s="15" t="str">
        <f>IF(ISBLANK(D[[#This Row],[CLAS_GRONDSOORT]]),"ONWAAR","WAAR")</f>
        <v>WAAR</v>
      </c>
      <c r="C146" s="15" t="str">
        <f>IF(ISBLANK(D[[#This Row],[CLAS_VN_HOOFDNAAM]]),"ONWAAR","WAAR")</f>
        <v>ONWAAR</v>
      </c>
      <c r="D146" s="15" t="str">
        <f>IF(ISBLANK(D[[#This Row],[KV_GRONDSOORT]]),"ONWAAR","WAAR")</f>
        <v>ONWAAR</v>
      </c>
      <c r="E146" s="15" t="str">
        <f>IF(ISBLANK(D[[#This Row],[CPT_QNET]]),"ONWAAR","WAAR")</f>
        <v>ONWAAR</v>
      </c>
      <c r="F146" s="15" t="str">
        <f>IF(ISBLANK(D[[#This Row],[CRS_GRONDSOORT]]),"ONWAAR","WAAR")</f>
        <v>ONWAAR</v>
      </c>
      <c r="G146" s="15" t="str">
        <f>IF(ISBLANK(D[[#This Row],[SD_GRONDSOORT]]),"ONWAAR","WAAR")</f>
        <v>ONWAAR</v>
      </c>
      <c r="H146" s="15" t="str">
        <f>IF(ISBLANK(D[[#This Row],[DSS_GRONDSOORT]]),"ONWAAR","WAAR")</f>
        <v>ONWAAR</v>
      </c>
      <c r="I146" s="15" t="str">
        <f>IF(ISBLANK(D[[#This Row],[TXT_SS_GRONDSOORT]]),"ONWAAR","WAAR")</f>
        <v>ONWAAR</v>
      </c>
      <c r="J146" s="13" t="s">
        <v>1900</v>
      </c>
      <c r="L146" s="13" t="s">
        <v>1418</v>
      </c>
      <c r="M146" s="13" t="s">
        <v>1419</v>
      </c>
      <c r="P146" s="13" t="s">
        <v>1420</v>
      </c>
      <c r="V146" s="41">
        <v>133861.85999999999</v>
      </c>
      <c r="W146" s="41">
        <v>414580.28</v>
      </c>
      <c r="X146" s="41">
        <v>6.31</v>
      </c>
      <c r="Y146" s="13" t="s">
        <v>1882</v>
      </c>
      <c r="Z146" s="13" t="s">
        <v>1422</v>
      </c>
      <c r="AA146" s="39">
        <v>45169</v>
      </c>
      <c r="AB146" s="13" t="s">
        <v>1883</v>
      </c>
      <c r="AC146" s="13" t="s">
        <v>1884</v>
      </c>
      <c r="AD146" s="13" t="s">
        <v>1425</v>
      </c>
      <c r="AE146" s="13" t="s">
        <v>1426</v>
      </c>
      <c r="AF146" s="13" t="s">
        <v>1427</v>
      </c>
      <c r="AG146" s="41">
        <v>0.51</v>
      </c>
      <c r="AI146" s="13" t="s">
        <v>1504</v>
      </c>
      <c r="AJ146" s="13" t="s">
        <v>1428</v>
      </c>
      <c r="AK146" s="13" t="s">
        <v>1429</v>
      </c>
      <c r="AL146" s="41">
        <v>0.55000000000000004</v>
      </c>
      <c r="AM146" s="41">
        <v>0.31</v>
      </c>
      <c r="AN146" s="41">
        <v>5.76</v>
      </c>
      <c r="AO146" s="41">
        <v>6</v>
      </c>
      <c r="AQ146" s="13" t="s">
        <v>1885</v>
      </c>
      <c r="AR146" s="13" t="s">
        <v>1431</v>
      </c>
      <c r="AS146" s="13" t="s">
        <v>1900</v>
      </c>
      <c r="AT146" s="13" t="s">
        <v>1425</v>
      </c>
      <c r="AU146" s="13" t="s">
        <v>1432</v>
      </c>
      <c r="AV146" s="39">
        <v>45279</v>
      </c>
      <c r="AW146" s="13" t="s">
        <v>1901</v>
      </c>
      <c r="AY146" s="41">
        <v>0.41</v>
      </c>
      <c r="AZ146" s="41">
        <v>17.2</v>
      </c>
      <c r="BA146" s="41">
        <v>12.8</v>
      </c>
      <c r="BB146" s="41">
        <v>35.200000000000003</v>
      </c>
    </row>
    <row r="147" spans="1:425">
      <c r="A147" s="14">
        <v>135</v>
      </c>
      <c r="B147" s="15" t="str">
        <f>IF(ISBLANK(D[[#This Row],[CLAS_GRONDSOORT]]),"ONWAAR","WAAR")</f>
        <v>WAAR</v>
      </c>
      <c r="C147" s="15" t="str">
        <f>IF(ISBLANK(D[[#This Row],[CLAS_VN_HOOFDNAAM]]),"ONWAAR","WAAR")</f>
        <v>ONWAAR</v>
      </c>
      <c r="D147" s="15" t="str">
        <f>IF(ISBLANK(D[[#This Row],[KV_GRONDSOORT]]),"ONWAAR","WAAR")</f>
        <v>ONWAAR</v>
      </c>
      <c r="E147" s="15" t="str">
        <f>IF(ISBLANK(D[[#This Row],[CPT_QNET]]),"ONWAAR","WAAR")</f>
        <v>ONWAAR</v>
      </c>
      <c r="F147" s="15" t="str">
        <f>IF(ISBLANK(D[[#This Row],[CRS_GRONDSOORT]]),"ONWAAR","WAAR")</f>
        <v>WAAR</v>
      </c>
      <c r="G147" s="15" t="str">
        <f>IF(ISBLANK(D[[#This Row],[SD_GRONDSOORT]]),"ONWAAR","WAAR")</f>
        <v>ONWAAR</v>
      </c>
      <c r="H147" s="15" t="str">
        <f>IF(ISBLANK(D[[#This Row],[DSS_GRONDSOORT]]),"ONWAAR","WAAR")</f>
        <v>ONWAAR</v>
      </c>
      <c r="I147" s="15" t="str">
        <f>IF(ISBLANK(D[[#This Row],[TXT_SS_GRONDSOORT]]),"ONWAAR","WAAR")</f>
        <v>WAAR</v>
      </c>
      <c r="J147" s="13" t="s">
        <v>1902</v>
      </c>
      <c r="L147" s="13" t="s">
        <v>1418</v>
      </c>
      <c r="M147" s="13" t="s">
        <v>1419</v>
      </c>
      <c r="P147" s="13" t="s">
        <v>1420</v>
      </c>
      <c r="V147" s="41">
        <v>133861.85999999999</v>
      </c>
      <c r="W147" s="41">
        <v>414580.28</v>
      </c>
      <c r="X147" s="41">
        <v>6.31</v>
      </c>
      <c r="Y147" s="13" t="s">
        <v>1882</v>
      </c>
      <c r="Z147" s="13" t="s">
        <v>1422</v>
      </c>
      <c r="AA147" s="39">
        <v>45169</v>
      </c>
      <c r="AB147" s="13" t="s">
        <v>1883</v>
      </c>
      <c r="AC147" s="13" t="s">
        <v>1884</v>
      </c>
      <c r="AD147" s="13" t="s">
        <v>1425</v>
      </c>
      <c r="AE147" s="13" t="s">
        <v>1426</v>
      </c>
      <c r="AF147" s="13" t="s">
        <v>1427</v>
      </c>
      <c r="AG147" s="41">
        <v>0.51</v>
      </c>
      <c r="AI147" s="13">
        <v>8</v>
      </c>
      <c r="AJ147" s="13" t="s">
        <v>1428</v>
      </c>
      <c r="AK147" s="13" t="s">
        <v>1429</v>
      </c>
      <c r="AL147" s="41">
        <v>0.21</v>
      </c>
      <c r="AM147" s="41">
        <v>-0.19</v>
      </c>
      <c r="AN147" s="41">
        <v>6.1</v>
      </c>
      <c r="AO147" s="41">
        <v>6.5</v>
      </c>
      <c r="AQ147" s="13" t="s">
        <v>1885</v>
      </c>
      <c r="AR147" s="13" t="s">
        <v>1431</v>
      </c>
      <c r="AS147" s="13" t="s">
        <v>1902</v>
      </c>
      <c r="AT147" s="13" t="s">
        <v>1425</v>
      </c>
      <c r="AU147" s="13" t="s">
        <v>1432</v>
      </c>
      <c r="AV147" s="39">
        <v>45279</v>
      </c>
      <c r="AW147" s="13" t="s">
        <v>1783</v>
      </c>
      <c r="AY147" s="41">
        <v>-0.05</v>
      </c>
      <c r="AZ147" s="41">
        <v>19.399999999999999</v>
      </c>
      <c r="BA147" s="41">
        <v>15.1</v>
      </c>
      <c r="BB147" s="41">
        <v>28.5</v>
      </c>
      <c r="EA147" s="13" t="s">
        <v>1903</v>
      </c>
      <c r="EB147" s="13" t="s">
        <v>1904</v>
      </c>
      <c r="EC147" s="13" t="s">
        <v>1905</v>
      </c>
      <c r="ED147" s="13" t="s">
        <v>1454</v>
      </c>
      <c r="EE147" s="13" t="s">
        <v>1455</v>
      </c>
      <c r="EF147" s="39">
        <v>45182</v>
      </c>
      <c r="EG147" s="13" t="s">
        <v>1456</v>
      </c>
      <c r="EH147" s="13" t="s">
        <v>1794</v>
      </c>
      <c r="EI147" s="41">
        <v>0.1</v>
      </c>
      <c r="EJ147" s="41">
        <v>108.1</v>
      </c>
      <c r="EK147" s="41">
        <v>21.68</v>
      </c>
      <c r="EL147" s="41">
        <v>17.27</v>
      </c>
      <c r="EM147" s="41">
        <v>25.52</v>
      </c>
      <c r="EN147" s="41">
        <v>20.079999999999998</v>
      </c>
      <c r="EO147" s="41">
        <v>126.1</v>
      </c>
      <c r="EP147" s="13">
        <v>21.7</v>
      </c>
      <c r="EQ147" s="13">
        <v>19.8</v>
      </c>
      <c r="ER147" s="13">
        <v>50.03</v>
      </c>
      <c r="ES147" s="41">
        <v>18.89</v>
      </c>
      <c r="ET147" s="41">
        <v>18.829999999999998</v>
      </c>
      <c r="EU147" s="41">
        <v>16.34</v>
      </c>
      <c r="EV147" s="13">
        <v>0.5</v>
      </c>
      <c r="EW147" s="44">
        <v>-0.1</v>
      </c>
      <c r="EX147" s="13">
        <v>16</v>
      </c>
      <c r="EY147" s="41">
        <v>650.6</v>
      </c>
      <c r="EZ147" s="41">
        <v>551</v>
      </c>
      <c r="FA147" s="41">
        <v>400.8</v>
      </c>
      <c r="FB147" s="41">
        <v>225.4</v>
      </c>
      <c r="FC147" s="41">
        <v>1096</v>
      </c>
      <c r="FD147" s="41">
        <v>9.2200000000000006</v>
      </c>
      <c r="FE147" s="41">
        <v>187.7</v>
      </c>
      <c r="FF147" s="41">
        <v>4.03</v>
      </c>
      <c r="FG147" s="41">
        <v>728</v>
      </c>
      <c r="FH147" s="45">
        <v>2.8E-3</v>
      </c>
      <c r="FI147" s="45">
        <v>5.96E-2</v>
      </c>
      <c r="FJ147" s="45">
        <v>2.5000000000000001E-3</v>
      </c>
      <c r="NH147" s="13" t="s">
        <v>1906</v>
      </c>
      <c r="NI147" s="13" t="s">
        <v>1907</v>
      </c>
      <c r="NJ147" s="13" t="s">
        <v>1908</v>
      </c>
      <c r="NK147" s="13" t="s">
        <v>1454</v>
      </c>
      <c r="NL147" s="13" t="s">
        <v>1461</v>
      </c>
      <c r="NM147" s="39">
        <v>45194</v>
      </c>
      <c r="NN147" s="13" t="s">
        <v>1456</v>
      </c>
      <c r="NP147" s="41">
        <v>-0.05</v>
      </c>
      <c r="NQ147" s="41">
        <v>108.1</v>
      </c>
      <c r="NR147" s="41">
        <v>19.38</v>
      </c>
      <c r="NS147" s="41">
        <v>15.09</v>
      </c>
      <c r="NT147" s="41">
        <v>28.59</v>
      </c>
      <c r="NU147" s="41">
        <v>28.45</v>
      </c>
      <c r="NV147" s="41">
        <v>102.51</v>
      </c>
      <c r="NW147" s="41">
        <v>0.74</v>
      </c>
      <c r="NX147" s="44">
        <v>2683</v>
      </c>
      <c r="NY147" s="44">
        <v>21.3</v>
      </c>
      <c r="NZ147" s="44">
        <v>21.3</v>
      </c>
      <c r="OA147" s="44">
        <v>50</v>
      </c>
      <c r="OB147" s="44">
        <v>100</v>
      </c>
      <c r="OC147" s="41" t="s">
        <v>1463</v>
      </c>
      <c r="OD147" s="41" t="s">
        <v>1464</v>
      </c>
      <c r="OE147" s="41" t="s">
        <v>1465</v>
      </c>
      <c r="OF147" s="43">
        <v>299</v>
      </c>
      <c r="OG147" s="41" t="s">
        <v>1466</v>
      </c>
      <c r="OH147" s="41">
        <v>0.62</v>
      </c>
      <c r="OI147" s="41" t="s">
        <v>1467</v>
      </c>
      <c r="OJ147" s="41">
        <v>67.75</v>
      </c>
      <c r="OK147" s="41">
        <v>0.75</v>
      </c>
      <c r="OL147" s="41">
        <v>87.13</v>
      </c>
      <c r="OM147" s="41">
        <v>20.56</v>
      </c>
      <c r="ON147" s="41">
        <v>87.13</v>
      </c>
      <c r="OO147" s="41">
        <v>20.56</v>
      </c>
      <c r="OP147" s="43">
        <v>1</v>
      </c>
      <c r="OQ147" s="41">
        <v>1.43</v>
      </c>
      <c r="OR147" s="41">
        <v>4.3600000000000003</v>
      </c>
      <c r="OS147" s="41" t="s">
        <v>1468</v>
      </c>
      <c r="OT147" s="41">
        <v>0.97</v>
      </c>
      <c r="OU147" s="41">
        <v>100.1</v>
      </c>
      <c r="OV147" s="41">
        <v>59.39</v>
      </c>
      <c r="OW147" s="41">
        <v>109.4</v>
      </c>
      <c r="OX147" s="41">
        <v>67.84</v>
      </c>
      <c r="OY147" s="41">
        <v>119.6</v>
      </c>
      <c r="OZ147" s="41">
        <v>71.48</v>
      </c>
      <c r="PA147" s="41">
        <v>119.6</v>
      </c>
      <c r="PB147" s="41">
        <v>71.75</v>
      </c>
      <c r="PC147" s="41">
        <v>14.39</v>
      </c>
      <c r="PD147" s="41">
        <v>119.4</v>
      </c>
      <c r="PE147" s="41">
        <v>68.75</v>
      </c>
      <c r="PF147" s="43">
        <v>25</v>
      </c>
      <c r="PG147" s="41">
        <v>9.2100000000000009</v>
      </c>
      <c r="PH147" s="41">
        <v>0.56000000000000005</v>
      </c>
      <c r="PI147" s="41">
        <v>0.13</v>
      </c>
    </row>
    <row r="148" spans="1:425">
      <c r="A148" s="14">
        <v>136</v>
      </c>
      <c r="B148" s="15" t="str">
        <f>IF(ISBLANK(D[[#This Row],[CLAS_GRONDSOORT]]),"ONWAAR","WAAR")</f>
        <v>WAAR</v>
      </c>
      <c r="C148" s="15" t="str">
        <f>IF(ISBLANK(D[[#This Row],[CLAS_VN_HOOFDNAAM]]),"ONWAAR","WAAR")</f>
        <v>ONWAAR</v>
      </c>
      <c r="D148" s="15" t="str">
        <f>IF(ISBLANK(D[[#This Row],[KV_GRONDSOORT]]),"ONWAAR","WAAR")</f>
        <v>ONWAAR</v>
      </c>
      <c r="E148" s="15" t="str">
        <f>IF(ISBLANK(D[[#This Row],[CPT_QNET]]),"ONWAAR","WAAR")</f>
        <v>ONWAAR</v>
      </c>
      <c r="F148" s="15" t="str">
        <f>IF(ISBLANK(D[[#This Row],[CRS_GRONDSOORT]]),"ONWAAR","WAAR")</f>
        <v>ONWAAR</v>
      </c>
      <c r="G148" s="15" t="str">
        <f>IF(ISBLANK(D[[#This Row],[SD_GRONDSOORT]]),"ONWAAR","WAAR")</f>
        <v>ONWAAR</v>
      </c>
      <c r="H148" s="15" t="str">
        <f>IF(ISBLANK(D[[#This Row],[DSS_GRONDSOORT]]),"ONWAAR","WAAR")</f>
        <v>ONWAAR</v>
      </c>
      <c r="I148" s="15" t="str">
        <f>IF(ISBLANK(D[[#This Row],[TXT_SS_GRONDSOORT]]),"ONWAAR","WAAR")</f>
        <v>ONWAAR</v>
      </c>
      <c r="J148" s="13" t="s">
        <v>1909</v>
      </c>
      <c r="L148" s="13" t="s">
        <v>1418</v>
      </c>
      <c r="M148" s="13" t="s">
        <v>1419</v>
      </c>
      <c r="P148" s="13" t="s">
        <v>1420</v>
      </c>
      <c r="V148" s="41">
        <v>133861.85999999999</v>
      </c>
      <c r="W148" s="41">
        <v>414580.28</v>
      </c>
      <c r="X148" s="41">
        <v>6.31</v>
      </c>
      <c r="Y148" s="13" t="s">
        <v>1882</v>
      </c>
      <c r="Z148" s="13" t="s">
        <v>1422</v>
      </c>
      <c r="AA148" s="39">
        <v>45169</v>
      </c>
      <c r="AB148" s="13" t="s">
        <v>1883</v>
      </c>
      <c r="AC148" s="13" t="s">
        <v>1884</v>
      </c>
      <c r="AD148" s="13" t="s">
        <v>1425</v>
      </c>
      <c r="AE148" s="13" t="s">
        <v>1426</v>
      </c>
      <c r="AF148" s="13" t="s">
        <v>1427</v>
      </c>
      <c r="AG148" s="41">
        <v>0.51</v>
      </c>
      <c r="AI148" s="13">
        <v>9</v>
      </c>
      <c r="AJ148" s="13" t="s">
        <v>1428</v>
      </c>
      <c r="AK148" s="13" t="s">
        <v>1429</v>
      </c>
      <c r="AL148" s="41">
        <v>-0.28999999999999998</v>
      </c>
      <c r="AM148" s="41">
        <v>-0.69</v>
      </c>
      <c r="AN148" s="41">
        <v>6.6</v>
      </c>
      <c r="AO148" s="41">
        <v>7</v>
      </c>
      <c r="AQ148" s="13" t="s">
        <v>1885</v>
      </c>
      <c r="AR148" s="13" t="s">
        <v>1431</v>
      </c>
      <c r="AS148" s="13" t="s">
        <v>1909</v>
      </c>
      <c r="AT148" s="13" t="s">
        <v>1425</v>
      </c>
      <c r="AU148" s="13" t="s">
        <v>1432</v>
      </c>
      <c r="AV148" s="39">
        <v>45279</v>
      </c>
      <c r="AW148" s="13" t="s">
        <v>1785</v>
      </c>
      <c r="AY148" s="41">
        <v>-0.36</v>
      </c>
      <c r="AZ148" s="41">
        <v>18.3</v>
      </c>
      <c r="BA148" s="41">
        <v>13.8</v>
      </c>
      <c r="BB148" s="41">
        <v>32.4</v>
      </c>
    </row>
    <row r="149" spans="1:425">
      <c r="A149" s="14">
        <v>137</v>
      </c>
      <c r="B149" s="15" t="str">
        <f>IF(ISBLANK(D[[#This Row],[CLAS_GRONDSOORT]]),"ONWAAR","WAAR")</f>
        <v>WAAR</v>
      </c>
      <c r="C149" s="15" t="str">
        <f>IF(ISBLANK(D[[#This Row],[CLAS_VN_HOOFDNAAM]]),"ONWAAR","WAAR")</f>
        <v>ONWAAR</v>
      </c>
      <c r="D149" s="15" t="str">
        <f>IF(ISBLANK(D[[#This Row],[KV_GRONDSOORT]]),"ONWAAR","WAAR")</f>
        <v>ONWAAR</v>
      </c>
      <c r="E149" s="15" t="str">
        <f>IF(ISBLANK(D[[#This Row],[CPT_QNET]]),"ONWAAR","WAAR")</f>
        <v>ONWAAR</v>
      </c>
      <c r="F149" s="15" t="str">
        <f>IF(ISBLANK(D[[#This Row],[CRS_GRONDSOORT]]),"ONWAAR","WAAR")</f>
        <v>ONWAAR</v>
      </c>
      <c r="G149" s="15" t="str">
        <f>IF(ISBLANK(D[[#This Row],[SD_GRONDSOORT]]),"ONWAAR","WAAR")</f>
        <v>ONWAAR</v>
      </c>
      <c r="H149" s="15" t="str">
        <f>IF(ISBLANK(D[[#This Row],[DSS_GRONDSOORT]]),"ONWAAR","WAAR")</f>
        <v>ONWAAR</v>
      </c>
      <c r="I149" s="15" t="str">
        <f>IF(ISBLANK(D[[#This Row],[TXT_SS_GRONDSOORT]]),"ONWAAR","WAAR")</f>
        <v>ONWAAR</v>
      </c>
      <c r="J149" s="13" t="s">
        <v>1910</v>
      </c>
      <c r="L149" s="13" t="s">
        <v>1418</v>
      </c>
      <c r="M149" s="13" t="s">
        <v>1419</v>
      </c>
      <c r="P149" s="13" t="s">
        <v>1420</v>
      </c>
      <c r="V149" s="41">
        <v>133861.85999999999</v>
      </c>
      <c r="W149" s="41">
        <v>414580.28</v>
      </c>
      <c r="X149" s="41">
        <v>6.31</v>
      </c>
      <c r="Y149" s="13" t="s">
        <v>1882</v>
      </c>
      <c r="Z149" s="13" t="s">
        <v>1422</v>
      </c>
      <c r="AA149" s="39">
        <v>45169</v>
      </c>
      <c r="AB149" s="13" t="s">
        <v>1883</v>
      </c>
      <c r="AC149" s="13" t="s">
        <v>1884</v>
      </c>
      <c r="AD149" s="13" t="s">
        <v>1425</v>
      </c>
      <c r="AE149" s="13" t="s">
        <v>1426</v>
      </c>
      <c r="AF149" s="13" t="s">
        <v>1427</v>
      </c>
      <c r="AG149" s="41">
        <v>0.51</v>
      </c>
      <c r="AI149" s="13">
        <v>10</v>
      </c>
      <c r="AJ149" s="13" t="s">
        <v>1428</v>
      </c>
      <c r="AK149" s="13" t="s">
        <v>1429</v>
      </c>
      <c r="AL149" s="41">
        <v>-0.79</v>
      </c>
      <c r="AM149" s="41">
        <v>-1.19</v>
      </c>
      <c r="AN149" s="41">
        <v>7.1</v>
      </c>
      <c r="AO149" s="41">
        <v>7.5</v>
      </c>
      <c r="AQ149" s="13" t="s">
        <v>1885</v>
      </c>
      <c r="AR149" s="13" t="s">
        <v>1431</v>
      </c>
      <c r="AS149" s="13" t="s">
        <v>1910</v>
      </c>
      <c r="AT149" s="13" t="s">
        <v>1425</v>
      </c>
      <c r="AU149" s="13" t="s">
        <v>1432</v>
      </c>
      <c r="AV149" s="39">
        <v>45279</v>
      </c>
      <c r="AW149" s="13" t="s">
        <v>1911</v>
      </c>
      <c r="AY149" s="41">
        <v>-0.99</v>
      </c>
      <c r="AZ149" s="41"/>
      <c r="BA149" s="41"/>
      <c r="BB149" s="41"/>
    </row>
    <row r="150" spans="1:425">
      <c r="A150" s="14">
        <v>138</v>
      </c>
      <c r="B150" s="15" t="str">
        <f>IF(ISBLANK(D[[#This Row],[CLAS_GRONDSOORT]]),"ONWAAR","WAAR")</f>
        <v>WAAR</v>
      </c>
      <c r="C150" s="15" t="str">
        <f>IF(ISBLANK(D[[#This Row],[CLAS_VN_HOOFDNAAM]]),"ONWAAR","WAAR")</f>
        <v>ONWAAR</v>
      </c>
      <c r="D150" s="15" t="str">
        <f>IF(ISBLANK(D[[#This Row],[KV_GRONDSOORT]]),"ONWAAR","WAAR")</f>
        <v>WAAR</v>
      </c>
      <c r="E150" s="15" t="str">
        <f>IF(ISBLANK(D[[#This Row],[CPT_QNET]]),"ONWAAR","WAAR")</f>
        <v>ONWAAR</v>
      </c>
      <c r="F150" s="15" t="str">
        <f>IF(ISBLANK(D[[#This Row],[CRS_GRONDSOORT]]),"ONWAAR","WAAR")</f>
        <v>ONWAAR</v>
      </c>
      <c r="G150" s="15" t="str">
        <f>IF(ISBLANK(D[[#This Row],[SD_GRONDSOORT]]),"ONWAAR","WAAR")</f>
        <v>ONWAAR</v>
      </c>
      <c r="H150" s="15" t="str">
        <f>IF(ISBLANK(D[[#This Row],[DSS_GRONDSOORT]]),"ONWAAR","WAAR")</f>
        <v>ONWAAR</v>
      </c>
      <c r="I150" s="15" t="str">
        <f>IF(ISBLANK(D[[#This Row],[TXT_SS_GRONDSOORT]]),"ONWAAR","WAAR")</f>
        <v>ONWAAR</v>
      </c>
      <c r="J150" s="13" t="s">
        <v>1912</v>
      </c>
      <c r="L150" s="13" t="s">
        <v>1418</v>
      </c>
      <c r="M150" s="13" t="s">
        <v>1419</v>
      </c>
      <c r="P150" s="13" t="s">
        <v>1420</v>
      </c>
      <c r="V150" s="41">
        <v>133861.85999999999</v>
      </c>
      <c r="W150" s="41">
        <v>414580.28</v>
      </c>
      <c r="X150" s="41">
        <v>6.31</v>
      </c>
      <c r="Y150" s="13" t="s">
        <v>1882</v>
      </c>
      <c r="Z150" s="13" t="s">
        <v>1422</v>
      </c>
      <c r="AA150" s="39">
        <v>45169</v>
      </c>
      <c r="AB150" s="13" t="s">
        <v>1883</v>
      </c>
      <c r="AC150" s="13" t="s">
        <v>1884</v>
      </c>
      <c r="AD150" s="13" t="s">
        <v>1425</v>
      </c>
      <c r="AE150" s="13" t="s">
        <v>1426</v>
      </c>
      <c r="AF150" s="13" t="s">
        <v>1427</v>
      </c>
      <c r="AG150" s="41">
        <v>0.51</v>
      </c>
      <c r="AI150" s="13" t="s">
        <v>1593</v>
      </c>
      <c r="AJ150" s="13" t="s">
        <v>1428</v>
      </c>
      <c r="AK150" s="13" t="s">
        <v>1429</v>
      </c>
      <c r="AL150" s="41">
        <v>-7.19</v>
      </c>
      <c r="AM150" s="41">
        <v>-7.5</v>
      </c>
      <c r="AN150" s="41">
        <v>13.5</v>
      </c>
      <c r="AO150" s="41">
        <v>13.81</v>
      </c>
      <c r="AQ150" s="13" t="s">
        <v>1885</v>
      </c>
      <c r="AR150" s="13" t="s">
        <v>1431</v>
      </c>
      <c r="AS150" s="13" t="s">
        <v>1912</v>
      </c>
      <c r="AT150" s="13" t="s">
        <v>1425</v>
      </c>
      <c r="AU150" s="13" t="s">
        <v>1432</v>
      </c>
      <c r="AV150" s="39">
        <v>45279</v>
      </c>
      <c r="AW150" s="13" t="s">
        <v>1913</v>
      </c>
      <c r="AY150" s="41">
        <v>-7.25</v>
      </c>
      <c r="AZ150" s="41">
        <v>19.600000000000001</v>
      </c>
      <c r="BA150" s="41">
        <v>15.3</v>
      </c>
      <c r="BB150" s="41">
        <v>28.1</v>
      </c>
      <c r="CE150" s="13" t="s">
        <v>1914</v>
      </c>
      <c r="CF150" s="13" t="s">
        <v>1431</v>
      </c>
      <c r="CG150" s="13" t="s">
        <v>1912</v>
      </c>
      <c r="CH150" s="13" t="s">
        <v>1425</v>
      </c>
      <c r="CI150" s="13" t="s">
        <v>1524</v>
      </c>
      <c r="CJ150" s="39">
        <v>45212</v>
      </c>
      <c r="CK150" s="13" t="s">
        <v>1525</v>
      </c>
      <c r="CM150" s="13">
        <v>415</v>
      </c>
      <c r="CN150" s="13">
        <v>404</v>
      </c>
      <c r="CO150" s="41">
        <v>0.08</v>
      </c>
      <c r="CP150" s="41">
        <v>95.29</v>
      </c>
      <c r="CQ150" s="41">
        <v>2.63</v>
      </c>
      <c r="CR150" s="41">
        <v>100</v>
      </c>
      <c r="CS150" s="41">
        <v>100</v>
      </c>
      <c r="CT150" s="41">
        <v>100</v>
      </c>
      <c r="CU150" s="41">
        <v>100</v>
      </c>
      <c r="CV150" s="41">
        <v>99.99</v>
      </c>
      <c r="CW150" s="41">
        <v>99.92</v>
      </c>
      <c r="CX150" s="41">
        <v>98.77</v>
      </c>
      <c r="CY150" s="41">
        <v>69.819999999999993</v>
      </c>
      <c r="CZ150" s="41">
        <v>15.2</v>
      </c>
      <c r="DA150" s="41">
        <v>9.15</v>
      </c>
      <c r="DB150" s="41">
        <v>5.78</v>
      </c>
      <c r="DC150" s="41">
        <v>4.63</v>
      </c>
      <c r="DD150" s="41">
        <v>3.1</v>
      </c>
      <c r="DE150" s="41">
        <v>2.63</v>
      </c>
      <c r="DF150" s="41">
        <v>2.4</v>
      </c>
      <c r="DG150" s="41">
        <v>2</v>
      </c>
      <c r="DH150" s="13">
        <v>513</v>
      </c>
      <c r="DI150" s="13">
        <v>461</v>
      </c>
      <c r="DJ150" s="13">
        <v>415</v>
      </c>
      <c r="DK150" s="13">
        <v>238</v>
      </c>
      <c r="DL150" s="13">
        <v>1.94</v>
      </c>
    </row>
    <row r="151" spans="1:425">
      <c r="A151" s="14">
        <v>139</v>
      </c>
      <c r="B151" s="15" t="str">
        <f>IF(ISBLANK(D[[#This Row],[CLAS_GRONDSOORT]]),"ONWAAR","WAAR")</f>
        <v>WAAR</v>
      </c>
      <c r="C151" s="15" t="str">
        <f>IF(ISBLANK(D[[#This Row],[CLAS_VN_HOOFDNAAM]]),"ONWAAR","WAAR")</f>
        <v>ONWAAR</v>
      </c>
      <c r="D151" s="15" t="str">
        <f>IF(ISBLANK(D[[#This Row],[KV_GRONDSOORT]]),"ONWAAR","WAAR")</f>
        <v>ONWAAR</v>
      </c>
      <c r="E151" s="15" t="str">
        <f>IF(ISBLANK(D[[#This Row],[CPT_QNET]]),"ONWAAR","WAAR")</f>
        <v>ONWAAR</v>
      </c>
      <c r="F151" s="15" t="str">
        <f>IF(ISBLANK(D[[#This Row],[CRS_GRONDSOORT]]),"ONWAAR","WAAR")</f>
        <v>ONWAAR</v>
      </c>
      <c r="G151" s="15" t="str">
        <f>IF(ISBLANK(D[[#This Row],[SD_GRONDSOORT]]),"ONWAAR","WAAR")</f>
        <v>ONWAAR</v>
      </c>
      <c r="H151" s="15" t="str">
        <f>IF(ISBLANK(D[[#This Row],[DSS_GRONDSOORT]]),"ONWAAR","WAAR")</f>
        <v>ONWAAR</v>
      </c>
      <c r="I151" s="15" t="str">
        <f>IF(ISBLANK(D[[#This Row],[TXT_SS_GRONDSOORT]]),"ONWAAR","WAAR")</f>
        <v>ONWAAR</v>
      </c>
      <c r="J151" s="13" t="s">
        <v>1915</v>
      </c>
      <c r="L151" s="13" t="s">
        <v>1418</v>
      </c>
      <c r="M151" s="13" t="s">
        <v>1419</v>
      </c>
      <c r="P151" s="13" t="s">
        <v>1420</v>
      </c>
      <c r="V151" s="41">
        <v>133861.85999999999</v>
      </c>
      <c r="W151" s="41">
        <v>414580.28</v>
      </c>
      <c r="X151" s="41">
        <v>6.31</v>
      </c>
      <c r="Y151" s="13" t="s">
        <v>1882</v>
      </c>
      <c r="Z151" s="13" t="s">
        <v>1422</v>
      </c>
      <c r="AA151" s="39">
        <v>45169</v>
      </c>
      <c r="AB151" s="13" t="s">
        <v>1883</v>
      </c>
      <c r="AC151" s="13" t="s">
        <v>1884</v>
      </c>
      <c r="AD151" s="13" t="s">
        <v>1425</v>
      </c>
      <c r="AE151" s="13" t="s">
        <v>1426</v>
      </c>
      <c r="AF151" s="13" t="s">
        <v>1427</v>
      </c>
      <c r="AG151" s="41">
        <v>0.51</v>
      </c>
      <c r="AI151" s="13" t="s">
        <v>1596</v>
      </c>
      <c r="AJ151" s="13" t="s">
        <v>1428</v>
      </c>
      <c r="AK151" s="13" t="s">
        <v>1429</v>
      </c>
      <c r="AL151" s="41">
        <v>-7.5</v>
      </c>
      <c r="AM151" s="41">
        <v>-7.59</v>
      </c>
      <c r="AN151" s="41">
        <v>13.81</v>
      </c>
      <c r="AO151" s="41">
        <v>13.9</v>
      </c>
      <c r="AQ151" s="13" t="s">
        <v>1885</v>
      </c>
      <c r="AR151" s="13" t="s">
        <v>1431</v>
      </c>
      <c r="AS151" s="13" t="s">
        <v>1915</v>
      </c>
      <c r="AT151" s="13" t="s">
        <v>1425</v>
      </c>
      <c r="AU151" s="13" t="s">
        <v>1432</v>
      </c>
      <c r="AV151" s="39">
        <v>45279</v>
      </c>
      <c r="AW151" s="13" t="s">
        <v>1916</v>
      </c>
      <c r="AY151" s="41">
        <v>-7.55</v>
      </c>
      <c r="AZ151" s="41"/>
      <c r="BA151" s="41"/>
      <c r="BB151" s="41"/>
    </row>
    <row r="152" spans="1:425">
      <c r="A152" s="14">
        <v>140</v>
      </c>
      <c r="B152" s="15" t="str">
        <f>IF(ISBLANK(D[[#This Row],[CLAS_GRONDSOORT]]),"ONWAAR","WAAR")</f>
        <v>WAAR</v>
      </c>
      <c r="C152" s="15" t="str">
        <f>IF(ISBLANK(D[[#This Row],[CLAS_VN_HOOFDNAAM]]),"ONWAAR","WAAR")</f>
        <v>ONWAAR</v>
      </c>
      <c r="D152" s="15" t="str">
        <f>IF(ISBLANK(D[[#This Row],[KV_GRONDSOORT]]),"ONWAAR","WAAR")</f>
        <v>ONWAAR</v>
      </c>
      <c r="E152" s="15" t="str">
        <f>IF(ISBLANK(D[[#This Row],[CPT_QNET]]),"ONWAAR","WAAR")</f>
        <v>ONWAAR</v>
      </c>
      <c r="F152" s="15" t="str">
        <f>IF(ISBLANK(D[[#This Row],[CRS_GRONDSOORT]]),"ONWAAR","WAAR")</f>
        <v>ONWAAR</v>
      </c>
      <c r="G152" s="15" t="str">
        <f>IF(ISBLANK(D[[#This Row],[SD_GRONDSOORT]]),"ONWAAR","WAAR")</f>
        <v>ONWAAR</v>
      </c>
      <c r="H152" s="15" t="str">
        <f>IF(ISBLANK(D[[#This Row],[DSS_GRONDSOORT]]),"ONWAAR","WAAR")</f>
        <v>ONWAAR</v>
      </c>
      <c r="I152" s="15" t="str">
        <f>IF(ISBLANK(D[[#This Row],[TXT_SS_GRONDSOORT]]),"ONWAAR","WAAR")</f>
        <v>ONWAAR</v>
      </c>
      <c r="J152" s="13" t="s">
        <v>1917</v>
      </c>
      <c r="L152" s="13" t="s">
        <v>1418</v>
      </c>
      <c r="M152" s="13" t="s">
        <v>1419</v>
      </c>
      <c r="P152" s="13" t="s">
        <v>1420</v>
      </c>
      <c r="V152" s="41">
        <v>133861.85999999999</v>
      </c>
      <c r="W152" s="41">
        <v>414580.28</v>
      </c>
      <c r="X152" s="41">
        <v>6.31</v>
      </c>
      <c r="Y152" s="13" t="s">
        <v>1882</v>
      </c>
      <c r="Z152" s="13" t="s">
        <v>1422</v>
      </c>
      <c r="AA152" s="39">
        <v>45169</v>
      </c>
      <c r="AB152" s="13" t="s">
        <v>1883</v>
      </c>
      <c r="AC152" s="13" t="s">
        <v>1884</v>
      </c>
      <c r="AD152" s="13" t="s">
        <v>1425</v>
      </c>
      <c r="AE152" s="13" t="s">
        <v>1426</v>
      </c>
      <c r="AF152" s="13" t="s">
        <v>1427</v>
      </c>
      <c r="AG152" s="41">
        <v>0.51</v>
      </c>
      <c r="AI152" s="13">
        <v>12</v>
      </c>
      <c r="AJ152" s="13" t="s">
        <v>1428</v>
      </c>
      <c r="AK152" s="13" t="s">
        <v>1429</v>
      </c>
      <c r="AL152" s="41">
        <v>-7.59</v>
      </c>
      <c r="AM152" s="41">
        <v>-7.99</v>
      </c>
      <c r="AN152" s="41">
        <v>13.9</v>
      </c>
      <c r="AO152" s="41">
        <v>14.3</v>
      </c>
      <c r="AQ152" s="13" t="s">
        <v>1885</v>
      </c>
      <c r="AR152" s="13" t="s">
        <v>1431</v>
      </c>
      <c r="AS152" s="13" t="s">
        <v>1917</v>
      </c>
      <c r="AT152" s="13" t="s">
        <v>1425</v>
      </c>
      <c r="AU152" s="13" t="s">
        <v>1432</v>
      </c>
      <c r="AV152" s="39">
        <v>45279</v>
      </c>
      <c r="AW152" s="13" t="s">
        <v>1918</v>
      </c>
      <c r="AY152" s="41">
        <v>-7.79</v>
      </c>
      <c r="AZ152" s="41"/>
      <c r="BA152" s="41"/>
      <c r="BB152" s="41"/>
    </row>
    <row r="153" spans="1:425">
      <c r="A153" s="14">
        <v>141</v>
      </c>
      <c r="B153" s="15" t="str">
        <f>IF(ISBLANK(D[[#This Row],[CLAS_GRONDSOORT]]),"ONWAAR","WAAR")</f>
        <v>WAAR</v>
      </c>
      <c r="C153" s="15" t="str">
        <f>IF(ISBLANK(D[[#This Row],[CLAS_VN_HOOFDNAAM]]),"ONWAAR","WAAR")</f>
        <v>ONWAAR</v>
      </c>
      <c r="D153" s="15" t="str">
        <f>IF(ISBLANK(D[[#This Row],[KV_GRONDSOORT]]),"ONWAAR","WAAR")</f>
        <v>ONWAAR</v>
      </c>
      <c r="E153" s="15" t="str">
        <f>IF(ISBLANK(D[[#This Row],[CPT_QNET]]),"ONWAAR","WAAR")</f>
        <v>ONWAAR</v>
      </c>
      <c r="F153" s="15" t="str">
        <f>IF(ISBLANK(D[[#This Row],[CRS_GRONDSOORT]]),"ONWAAR","WAAR")</f>
        <v>ONWAAR</v>
      </c>
      <c r="G153" s="15" t="str">
        <f>IF(ISBLANK(D[[#This Row],[SD_GRONDSOORT]]),"ONWAAR","WAAR")</f>
        <v>ONWAAR</v>
      </c>
      <c r="H153" s="15" t="str">
        <f>IF(ISBLANK(D[[#This Row],[DSS_GRONDSOORT]]),"ONWAAR","WAAR")</f>
        <v>ONWAAR</v>
      </c>
      <c r="I153" s="15" t="str">
        <f>IF(ISBLANK(D[[#This Row],[TXT_SS_GRONDSOORT]]),"ONWAAR","WAAR")</f>
        <v>ONWAAR</v>
      </c>
      <c r="J153" s="13" t="s">
        <v>1919</v>
      </c>
      <c r="L153" s="13" t="s">
        <v>1418</v>
      </c>
      <c r="M153" s="13" t="s">
        <v>1419</v>
      </c>
      <c r="P153" s="13" t="s">
        <v>1420</v>
      </c>
      <c r="V153" s="41">
        <v>133608.85</v>
      </c>
      <c r="W153" s="41">
        <v>414267.28</v>
      </c>
      <c r="X153" s="41">
        <v>6.36</v>
      </c>
      <c r="Y153" s="13" t="s">
        <v>1920</v>
      </c>
      <c r="Z153" s="13" t="s">
        <v>1422</v>
      </c>
      <c r="AA153" s="39">
        <v>45182</v>
      </c>
      <c r="AB153" s="13" t="s">
        <v>1921</v>
      </c>
      <c r="AC153" s="13" t="s">
        <v>1922</v>
      </c>
      <c r="AD153" s="13" t="s">
        <v>1425</v>
      </c>
      <c r="AE153" s="13" t="s">
        <v>1476</v>
      </c>
      <c r="AF153" s="13" t="s">
        <v>1427</v>
      </c>
      <c r="AG153" s="41">
        <v>0.46</v>
      </c>
      <c r="AI153" s="13">
        <v>2</v>
      </c>
      <c r="AJ153" s="13" t="s">
        <v>1428</v>
      </c>
      <c r="AK153" s="13" t="s">
        <v>1429</v>
      </c>
      <c r="AL153" s="41">
        <v>5.0599999999999996</v>
      </c>
      <c r="AM153" s="41">
        <v>4.8849999999999998</v>
      </c>
      <c r="AN153" s="41">
        <v>1.3</v>
      </c>
      <c r="AO153" s="41">
        <v>1.4750000000000001</v>
      </c>
      <c r="AP153" s="13">
        <v>10.6</v>
      </c>
      <c r="AQ153" s="13" t="s">
        <v>1923</v>
      </c>
      <c r="AR153" s="13" t="s">
        <v>1431</v>
      </c>
      <c r="AS153" s="13" t="s">
        <v>1919</v>
      </c>
      <c r="AT153" s="13" t="s">
        <v>1425</v>
      </c>
      <c r="AU153" s="13" t="s">
        <v>1432</v>
      </c>
      <c r="AV153" s="39">
        <v>45279</v>
      </c>
      <c r="AW153" s="13" t="s">
        <v>1924</v>
      </c>
      <c r="AY153" s="41">
        <v>5.01</v>
      </c>
      <c r="AZ153" s="41">
        <v>18</v>
      </c>
      <c r="BA153" s="41">
        <v>15.7</v>
      </c>
      <c r="BB153" s="41">
        <v>14.6</v>
      </c>
    </row>
    <row r="154" spans="1:425">
      <c r="A154" s="14">
        <v>142</v>
      </c>
      <c r="B154" s="15" t="str">
        <f>IF(ISBLANK(D[[#This Row],[CLAS_GRONDSOORT]]),"ONWAAR","WAAR")</f>
        <v>WAAR</v>
      </c>
      <c r="C154" s="15" t="str">
        <f>IF(ISBLANK(D[[#This Row],[CLAS_VN_HOOFDNAAM]]),"ONWAAR","WAAR")</f>
        <v>ONWAAR</v>
      </c>
      <c r="D154" s="15" t="str">
        <f>IF(ISBLANK(D[[#This Row],[KV_GRONDSOORT]]),"ONWAAR","WAAR")</f>
        <v>ONWAAR</v>
      </c>
      <c r="E154" s="15" t="str">
        <f>IF(ISBLANK(D[[#This Row],[CPT_QNET]]),"ONWAAR","WAAR")</f>
        <v>ONWAAR</v>
      </c>
      <c r="F154" s="15" t="str">
        <f>IF(ISBLANK(D[[#This Row],[CRS_GRONDSOORT]]),"ONWAAR","WAAR")</f>
        <v>ONWAAR</v>
      </c>
      <c r="G154" s="15" t="str">
        <f>IF(ISBLANK(D[[#This Row],[SD_GRONDSOORT]]),"ONWAAR","WAAR")</f>
        <v>ONWAAR</v>
      </c>
      <c r="H154" s="15" t="str">
        <f>IF(ISBLANK(D[[#This Row],[DSS_GRONDSOORT]]),"ONWAAR","WAAR")</f>
        <v>ONWAAR</v>
      </c>
      <c r="I154" s="15" t="str">
        <f>IF(ISBLANK(D[[#This Row],[TXT_SS_GRONDSOORT]]),"ONWAAR","WAAR")</f>
        <v>ONWAAR</v>
      </c>
      <c r="J154" s="13" t="s">
        <v>1925</v>
      </c>
      <c r="L154" s="13" t="s">
        <v>1418</v>
      </c>
      <c r="M154" s="13" t="s">
        <v>1419</v>
      </c>
      <c r="P154" s="13" t="s">
        <v>1420</v>
      </c>
      <c r="V154" s="41">
        <v>133608.85</v>
      </c>
      <c r="W154" s="41">
        <v>414267.28</v>
      </c>
      <c r="X154" s="41">
        <v>6.36</v>
      </c>
      <c r="Y154" s="13" t="s">
        <v>1920</v>
      </c>
      <c r="Z154" s="13" t="s">
        <v>1422</v>
      </c>
      <c r="AA154" s="39">
        <v>45182</v>
      </c>
      <c r="AB154" s="13" t="s">
        <v>1921</v>
      </c>
      <c r="AC154" s="13" t="s">
        <v>1922</v>
      </c>
      <c r="AD154" s="13" t="s">
        <v>1425</v>
      </c>
      <c r="AE154" s="13" t="s">
        <v>1476</v>
      </c>
      <c r="AF154" s="13" t="s">
        <v>1427</v>
      </c>
      <c r="AG154" s="41">
        <v>0.46</v>
      </c>
      <c r="AI154" s="13">
        <v>3</v>
      </c>
      <c r="AJ154" s="13" t="s">
        <v>1428</v>
      </c>
      <c r="AK154" s="13" t="s">
        <v>1429</v>
      </c>
      <c r="AL154" s="41">
        <v>4.0599999999999996</v>
      </c>
      <c r="AM154" s="41">
        <v>3.7949999999999999</v>
      </c>
      <c r="AN154" s="41">
        <v>2.2999999999999998</v>
      </c>
      <c r="AO154" s="41">
        <v>2.5649999999999999</v>
      </c>
      <c r="AP154" s="13">
        <v>12.7</v>
      </c>
      <c r="AQ154" s="13" t="s">
        <v>1923</v>
      </c>
      <c r="AR154" s="13" t="s">
        <v>1431</v>
      </c>
      <c r="AS154" s="13" t="s">
        <v>1925</v>
      </c>
      <c r="AT154" s="13" t="s">
        <v>1425</v>
      </c>
      <c r="AU154" s="13" t="s">
        <v>1432</v>
      </c>
      <c r="AV154" s="39">
        <v>45279</v>
      </c>
      <c r="AW154" s="13" t="s">
        <v>1926</v>
      </c>
      <c r="AY154" s="41">
        <v>3.93</v>
      </c>
      <c r="AZ154" s="41"/>
      <c r="BA154" s="41"/>
      <c r="BB154" s="41"/>
    </row>
    <row r="155" spans="1:425">
      <c r="A155" s="14">
        <v>143</v>
      </c>
      <c r="B155" s="15" t="str">
        <f>IF(ISBLANK(D[[#This Row],[CLAS_GRONDSOORT]]),"ONWAAR","WAAR")</f>
        <v>WAAR</v>
      </c>
      <c r="C155" s="15" t="str">
        <f>IF(ISBLANK(D[[#This Row],[CLAS_VN_HOOFDNAAM]]),"ONWAAR","WAAR")</f>
        <v>ONWAAR</v>
      </c>
      <c r="D155" s="15" t="str">
        <f>IF(ISBLANK(D[[#This Row],[KV_GRONDSOORT]]),"ONWAAR","WAAR")</f>
        <v>ONWAAR</v>
      </c>
      <c r="E155" s="15" t="str">
        <f>IF(ISBLANK(D[[#This Row],[CPT_QNET]]),"ONWAAR","WAAR")</f>
        <v>ONWAAR</v>
      </c>
      <c r="F155" s="15" t="str">
        <f>IF(ISBLANK(D[[#This Row],[CRS_GRONDSOORT]]),"ONWAAR","WAAR")</f>
        <v>ONWAAR</v>
      </c>
      <c r="G155" s="15" t="str">
        <f>IF(ISBLANK(D[[#This Row],[SD_GRONDSOORT]]),"ONWAAR","WAAR")</f>
        <v>ONWAAR</v>
      </c>
      <c r="H155" s="15" t="str">
        <f>IF(ISBLANK(D[[#This Row],[DSS_GRONDSOORT]]),"ONWAAR","WAAR")</f>
        <v>ONWAAR</v>
      </c>
      <c r="I155" s="15" t="str">
        <f>IF(ISBLANK(D[[#This Row],[TXT_SS_GRONDSOORT]]),"ONWAAR","WAAR")</f>
        <v>ONWAAR</v>
      </c>
      <c r="J155" s="13" t="s">
        <v>1927</v>
      </c>
      <c r="L155" s="13" t="s">
        <v>1418</v>
      </c>
      <c r="M155" s="13" t="s">
        <v>1419</v>
      </c>
      <c r="P155" s="13" t="s">
        <v>1420</v>
      </c>
      <c r="V155" s="41">
        <v>133608.85</v>
      </c>
      <c r="W155" s="41">
        <v>414267.28</v>
      </c>
      <c r="X155" s="41">
        <v>6.36</v>
      </c>
      <c r="Y155" s="13" t="s">
        <v>1920</v>
      </c>
      <c r="Z155" s="13" t="s">
        <v>1422</v>
      </c>
      <c r="AA155" s="39">
        <v>45182</v>
      </c>
      <c r="AB155" s="13" t="s">
        <v>1921</v>
      </c>
      <c r="AC155" s="13" t="s">
        <v>1922</v>
      </c>
      <c r="AD155" s="13" t="s">
        <v>1425</v>
      </c>
      <c r="AE155" s="13" t="s">
        <v>1476</v>
      </c>
      <c r="AF155" s="13" t="s">
        <v>1427</v>
      </c>
      <c r="AG155" s="41">
        <v>0.46</v>
      </c>
      <c r="AI155" s="13">
        <v>4</v>
      </c>
      <c r="AJ155" s="13" t="s">
        <v>1428</v>
      </c>
      <c r="AK155" s="13" t="s">
        <v>1429</v>
      </c>
      <c r="AL155" s="41">
        <v>3.06</v>
      </c>
      <c r="AM155" s="41">
        <v>2.66</v>
      </c>
      <c r="AN155" s="41">
        <v>3.3</v>
      </c>
      <c r="AO155" s="41">
        <v>3.7</v>
      </c>
      <c r="AP155" s="13">
        <v>16.2</v>
      </c>
      <c r="AQ155" s="13" t="s">
        <v>1923</v>
      </c>
      <c r="AR155" s="13" t="s">
        <v>1431</v>
      </c>
      <c r="AS155" s="13" t="s">
        <v>1927</v>
      </c>
      <c r="AT155" s="13" t="s">
        <v>1425</v>
      </c>
      <c r="AU155" s="13" t="s">
        <v>1432</v>
      </c>
      <c r="AV155" s="39">
        <v>45279</v>
      </c>
      <c r="AW155" s="13" t="s">
        <v>1928</v>
      </c>
      <c r="AY155" s="41">
        <v>2.86</v>
      </c>
      <c r="AZ155" s="41"/>
      <c r="BA155" s="41"/>
      <c r="BB155" s="41"/>
    </row>
    <row r="156" spans="1:425">
      <c r="A156" s="14">
        <v>144</v>
      </c>
      <c r="B156" s="15" t="str">
        <f>IF(ISBLANK(D[[#This Row],[CLAS_GRONDSOORT]]),"ONWAAR","WAAR")</f>
        <v>WAAR</v>
      </c>
      <c r="C156" s="15" t="str">
        <f>IF(ISBLANK(D[[#This Row],[CLAS_VN_HOOFDNAAM]]),"ONWAAR","WAAR")</f>
        <v>ONWAAR</v>
      </c>
      <c r="D156" s="15" t="str">
        <f>IF(ISBLANK(D[[#This Row],[KV_GRONDSOORT]]),"ONWAAR","WAAR")</f>
        <v>ONWAAR</v>
      </c>
      <c r="E156" s="15" t="str">
        <f>IF(ISBLANK(D[[#This Row],[CPT_QNET]]),"ONWAAR","WAAR")</f>
        <v>ONWAAR</v>
      </c>
      <c r="F156" s="15" t="str">
        <f>IF(ISBLANK(D[[#This Row],[CRS_GRONDSOORT]]),"ONWAAR","WAAR")</f>
        <v>ONWAAR</v>
      </c>
      <c r="G156" s="15" t="str">
        <f>IF(ISBLANK(D[[#This Row],[SD_GRONDSOORT]]),"ONWAAR","WAAR")</f>
        <v>ONWAAR</v>
      </c>
      <c r="H156" s="15" t="str">
        <f>IF(ISBLANK(D[[#This Row],[DSS_GRONDSOORT]]),"ONWAAR","WAAR")</f>
        <v>ONWAAR</v>
      </c>
      <c r="I156" s="15" t="str">
        <f>IF(ISBLANK(D[[#This Row],[TXT_SS_GRONDSOORT]]),"ONWAAR","WAAR")</f>
        <v>ONWAAR</v>
      </c>
      <c r="J156" s="13" t="s">
        <v>1929</v>
      </c>
      <c r="L156" s="13" t="s">
        <v>1418</v>
      </c>
      <c r="M156" s="13" t="s">
        <v>1419</v>
      </c>
      <c r="P156" s="13" t="s">
        <v>1420</v>
      </c>
      <c r="V156" s="41">
        <v>133608.85</v>
      </c>
      <c r="W156" s="41">
        <v>414267.28</v>
      </c>
      <c r="X156" s="41">
        <v>6.36</v>
      </c>
      <c r="Y156" s="13" t="s">
        <v>1920</v>
      </c>
      <c r="Z156" s="13" t="s">
        <v>1422</v>
      </c>
      <c r="AA156" s="39">
        <v>45182</v>
      </c>
      <c r="AB156" s="13" t="s">
        <v>1921</v>
      </c>
      <c r="AC156" s="13" t="s">
        <v>1922</v>
      </c>
      <c r="AD156" s="13" t="s">
        <v>1425</v>
      </c>
      <c r="AE156" s="13" t="s">
        <v>1476</v>
      </c>
      <c r="AF156" s="13" t="s">
        <v>1427</v>
      </c>
      <c r="AG156" s="41">
        <v>0.46</v>
      </c>
      <c r="AI156" s="13">
        <v>5</v>
      </c>
      <c r="AJ156" s="13" t="s">
        <v>1428</v>
      </c>
      <c r="AK156" s="13" t="s">
        <v>1429</v>
      </c>
      <c r="AL156" s="41">
        <v>2.06</v>
      </c>
      <c r="AM156" s="41">
        <v>1.82</v>
      </c>
      <c r="AN156" s="41">
        <v>4.3</v>
      </c>
      <c r="AO156" s="41">
        <v>4.54</v>
      </c>
      <c r="AP156" s="13">
        <v>15.9</v>
      </c>
      <c r="AQ156" s="13" t="s">
        <v>1923</v>
      </c>
      <c r="AR156" s="13" t="s">
        <v>1431</v>
      </c>
      <c r="AS156" s="13" t="s">
        <v>1929</v>
      </c>
      <c r="AT156" s="13" t="s">
        <v>1425</v>
      </c>
      <c r="AU156" s="13" t="s">
        <v>1432</v>
      </c>
      <c r="AV156" s="39">
        <v>45279</v>
      </c>
      <c r="AW156" s="13" t="s">
        <v>1930</v>
      </c>
      <c r="AY156" s="41">
        <v>1.94</v>
      </c>
      <c r="AZ156" s="41"/>
      <c r="BA156" s="41"/>
      <c r="BB156" s="41"/>
    </row>
    <row r="157" spans="1:425">
      <c r="A157" s="14">
        <v>145</v>
      </c>
      <c r="B157" s="15" t="str">
        <f>IF(ISBLANK(D[[#This Row],[CLAS_GRONDSOORT]]),"ONWAAR","WAAR")</f>
        <v>WAAR</v>
      </c>
      <c r="C157" s="15" t="str">
        <f>IF(ISBLANK(D[[#This Row],[CLAS_VN_HOOFDNAAM]]),"ONWAAR","WAAR")</f>
        <v>ONWAAR</v>
      </c>
      <c r="D157" s="15" t="str">
        <f>IF(ISBLANK(D[[#This Row],[KV_GRONDSOORT]]),"ONWAAR","WAAR")</f>
        <v>ONWAAR</v>
      </c>
      <c r="E157" s="15" t="str">
        <f>IF(ISBLANK(D[[#This Row],[CPT_QNET]]),"ONWAAR","WAAR")</f>
        <v>ONWAAR</v>
      </c>
      <c r="F157" s="15" t="str">
        <f>IF(ISBLANK(D[[#This Row],[CRS_GRONDSOORT]]),"ONWAAR","WAAR")</f>
        <v>ONWAAR</v>
      </c>
      <c r="G157" s="15" t="str">
        <f>IF(ISBLANK(D[[#This Row],[SD_GRONDSOORT]]),"ONWAAR","WAAR")</f>
        <v>ONWAAR</v>
      </c>
      <c r="H157" s="15" t="str">
        <f>IF(ISBLANK(D[[#This Row],[DSS_GRONDSOORT]]),"ONWAAR","WAAR")</f>
        <v>ONWAAR</v>
      </c>
      <c r="I157" s="15" t="str">
        <f>IF(ISBLANK(D[[#This Row],[TXT_SS_GRONDSOORT]]),"ONWAAR","WAAR")</f>
        <v>ONWAAR</v>
      </c>
      <c r="J157" s="13" t="s">
        <v>1931</v>
      </c>
      <c r="L157" s="13" t="s">
        <v>1418</v>
      </c>
      <c r="M157" s="13" t="s">
        <v>1419</v>
      </c>
      <c r="P157" s="13" t="s">
        <v>1420</v>
      </c>
      <c r="V157" s="41">
        <v>133608.85</v>
      </c>
      <c r="W157" s="41">
        <v>414267.28</v>
      </c>
      <c r="X157" s="41">
        <v>6.36</v>
      </c>
      <c r="Y157" s="13" t="s">
        <v>1920</v>
      </c>
      <c r="Z157" s="13" t="s">
        <v>1422</v>
      </c>
      <c r="AA157" s="39">
        <v>45182</v>
      </c>
      <c r="AB157" s="13" t="s">
        <v>1921</v>
      </c>
      <c r="AC157" s="13" t="s">
        <v>1922</v>
      </c>
      <c r="AD157" s="13" t="s">
        <v>1425</v>
      </c>
      <c r="AE157" s="13" t="s">
        <v>1476</v>
      </c>
      <c r="AF157" s="13" t="s">
        <v>1427</v>
      </c>
      <c r="AG157" s="41">
        <v>0.46</v>
      </c>
      <c r="AI157" s="13">
        <v>6</v>
      </c>
      <c r="AJ157" s="13" t="s">
        <v>1428</v>
      </c>
      <c r="AK157" s="13" t="s">
        <v>1429</v>
      </c>
      <c r="AL157" s="41">
        <v>1.06</v>
      </c>
      <c r="AM157" s="41">
        <v>0.81</v>
      </c>
      <c r="AN157" s="41">
        <v>5.3</v>
      </c>
      <c r="AO157" s="41">
        <v>5.55</v>
      </c>
      <c r="AP157" s="13">
        <v>9.1</v>
      </c>
      <c r="AQ157" s="13" t="s">
        <v>1923</v>
      </c>
      <c r="AR157" s="13" t="s">
        <v>1431</v>
      </c>
      <c r="AS157" s="13" t="s">
        <v>1931</v>
      </c>
      <c r="AT157" s="13" t="s">
        <v>1425</v>
      </c>
      <c r="AU157" s="13" t="s">
        <v>1432</v>
      </c>
      <c r="AV157" s="39">
        <v>45279</v>
      </c>
      <c r="AW157" s="13" t="s">
        <v>1932</v>
      </c>
      <c r="AY157" s="41">
        <v>0.94</v>
      </c>
      <c r="AZ157" s="41"/>
      <c r="BA157" s="41"/>
      <c r="BB157" s="41"/>
    </row>
    <row r="158" spans="1:425">
      <c r="A158" s="14">
        <v>146</v>
      </c>
      <c r="B158" s="15" t="str">
        <f>IF(ISBLANK(D[[#This Row],[CLAS_GRONDSOORT]]),"ONWAAR","WAAR")</f>
        <v>WAAR</v>
      </c>
      <c r="C158" s="15" t="str">
        <f>IF(ISBLANK(D[[#This Row],[CLAS_VN_HOOFDNAAM]]),"ONWAAR","WAAR")</f>
        <v>ONWAAR</v>
      </c>
      <c r="D158" s="15" t="str">
        <f>IF(ISBLANK(D[[#This Row],[KV_GRONDSOORT]]),"ONWAAR","WAAR")</f>
        <v>ONWAAR</v>
      </c>
      <c r="E158" s="15" t="str">
        <f>IF(ISBLANK(D[[#This Row],[CPT_QNET]]),"ONWAAR","WAAR")</f>
        <v>ONWAAR</v>
      </c>
      <c r="F158" s="15" t="str">
        <f>IF(ISBLANK(D[[#This Row],[CRS_GRONDSOORT]]),"ONWAAR","WAAR")</f>
        <v>ONWAAR</v>
      </c>
      <c r="G158" s="15" t="str">
        <f>IF(ISBLANK(D[[#This Row],[SD_GRONDSOORT]]),"ONWAAR","WAAR")</f>
        <v>ONWAAR</v>
      </c>
      <c r="H158" s="15" t="str">
        <f>IF(ISBLANK(D[[#This Row],[DSS_GRONDSOORT]]),"ONWAAR","WAAR")</f>
        <v>ONWAAR</v>
      </c>
      <c r="I158" s="15" t="str">
        <f>IF(ISBLANK(D[[#This Row],[TXT_SS_GRONDSOORT]]),"ONWAAR","WAAR")</f>
        <v>ONWAAR</v>
      </c>
      <c r="J158" s="13" t="s">
        <v>1933</v>
      </c>
      <c r="L158" s="13" t="s">
        <v>1418</v>
      </c>
      <c r="M158" s="13" t="s">
        <v>1419</v>
      </c>
      <c r="P158" s="13" t="s">
        <v>1420</v>
      </c>
      <c r="V158" s="41">
        <v>133608.85</v>
      </c>
      <c r="W158" s="41">
        <v>414267.28</v>
      </c>
      <c r="X158" s="41">
        <v>6.36</v>
      </c>
      <c r="Y158" s="13" t="s">
        <v>1920</v>
      </c>
      <c r="Z158" s="13" t="s">
        <v>1422</v>
      </c>
      <c r="AA158" s="39">
        <v>45182</v>
      </c>
      <c r="AB158" s="13" t="s">
        <v>1921</v>
      </c>
      <c r="AC158" s="13" t="s">
        <v>1922</v>
      </c>
      <c r="AD158" s="13" t="s">
        <v>1425</v>
      </c>
      <c r="AE158" s="13" t="s">
        <v>1476</v>
      </c>
      <c r="AF158" s="13" t="s">
        <v>1427</v>
      </c>
      <c r="AG158" s="41">
        <v>0.46</v>
      </c>
      <c r="AI158" s="13">
        <v>7</v>
      </c>
      <c r="AJ158" s="13" t="s">
        <v>1428</v>
      </c>
      <c r="AK158" s="13" t="s">
        <v>1429</v>
      </c>
      <c r="AL158" s="41">
        <v>0.56000000000000005</v>
      </c>
      <c r="AM158" s="41">
        <v>0.39</v>
      </c>
      <c r="AN158" s="41">
        <v>5.8</v>
      </c>
      <c r="AO158" s="41">
        <v>5.97</v>
      </c>
      <c r="AP158" s="13">
        <v>10.1</v>
      </c>
      <c r="AQ158" s="13" t="s">
        <v>1923</v>
      </c>
      <c r="AR158" s="13" t="s">
        <v>1431</v>
      </c>
      <c r="AS158" s="13" t="s">
        <v>1933</v>
      </c>
      <c r="AT158" s="13" t="s">
        <v>1425</v>
      </c>
      <c r="AU158" s="13" t="s">
        <v>1432</v>
      </c>
      <c r="AV158" s="39">
        <v>45279</v>
      </c>
      <c r="AW158" s="13" t="s">
        <v>1734</v>
      </c>
      <c r="AY158" s="41">
        <v>0.51</v>
      </c>
      <c r="AZ158" s="41">
        <v>16.7</v>
      </c>
      <c r="BA158" s="41">
        <v>12.1</v>
      </c>
      <c r="BB158" s="41">
        <v>37.799999999999997</v>
      </c>
    </row>
    <row r="159" spans="1:425">
      <c r="A159" s="14">
        <v>147</v>
      </c>
      <c r="B159" s="15" t="str">
        <f>IF(ISBLANK(D[[#This Row],[CLAS_GRONDSOORT]]),"ONWAAR","WAAR")</f>
        <v>WAAR</v>
      </c>
      <c r="C159" s="15" t="str">
        <f>IF(ISBLANK(D[[#This Row],[CLAS_VN_HOOFDNAAM]]),"ONWAAR","WAAR")</f>
        <v>ONWAAR</v>
      </c>
      <c r="D159" s="15" t="str">
        <f>IF(ISBLANK(D[[#This Row],[KV_GRONDSOORT]]),"ONWAAR","WAAR")</f>
        <v>ONWAAR</v>
      </c>
      <c r="E159" s="15" t="str">
        <f>IF(ISBLANK(D[[#This Row],[CPT_QNET]]),"ONWAAR","WAAR")</f>
        <v>ONWAAR</v>
      </c>
      <c r="F159" s="15" t="str">
        <f>IF(ISBLANK(D[[#This Row],[CRS_GRONDSOORT]]),"ONWAAR","WAAR")</f>
        <v>ONWAAR</v>
      </c>
      <c r="G159" s="15" t="str">
        <f>IF(ISBLANK(D[[#This Row],[SD_GRONDSOORT]]),"ONWAAR","WAAR")</f>
        <v>ONWAAR</v>
      </c>
      <c r="H159" s="15" t="str">
        <f>IF(ISBLANK(D[[#This Row],[DSS_GRONDSOORT]]),"ONWAAR","WAAR")</f>
        <v>ONWAAR</v>
      </c>
      <c r="I159" s="15" t="str">
        <f>IF(ISBLANK(D[[#This Row],[TXT_SS_GRONDSOORT]]),"ONWAAR","WAAR")</f>
        <v>ONWAAR</v>
      </c>
      <c r="J159" s="13" t="s">
        <v>1934</v>
      </c>
      <c r="L159" s="13" t="s">
        <v>1418</v>
      </c>
      <c r="M159" s="13" t="s">
        <v>1419</v>
      </c>
      <c r="P159" s="13" t="s">
        <v>1420</v>
      </c>
      <c r="V159" s="41">
        <v>133608.85</v>
      </c>
      <c r="W159" s="41">
        <v>414267.28</v>
      </c>
      <c r="X159" s="41">
        <v>6.36</v>
      </c>
      <c r="Y159" s="13" t="s">
        <v>1920</v>
      </c>
      <c r="Z159" s="13" t="s">
        <v>1422</v>
      </c>
      <c r="AA159" s="39">
        <v>45182</v>
      </c>
      <c r="AB159" s="13" t="s">
        <v>1921</v>
      </c>
      <c r="AC159" s="13" t="s">
        <v>1922</v>
      </c>
      <c r="AD159" s="13" t="s">
        <v>1425</v>
      </c>
      <c r="AE159" s="13" t="s">
        <v>1476</v>
      </c>
      <c r="AF159" s="13" t="s">
        <v>1427</v>
      </c>
      <c r="AG159" s="41">
        <v>0.46</v>
      </c>
      <c r="AI159" s="13">
        <v>8</v>
      </c>
      <c r="AJ159" s="13" t="s">
        <v>1428</v>
      </c>
      <c r="AK159" s="13" t="s">
        <v>1429</v>
      </c>
      <c r="AL159" s="41">
        <v>0.06</v>
      </c>
      <c r="AM159" s="41">
        <v>-0.34</v>
      </c>
      <c r="AN159" s="41">
        <v>6.3</v>
      </c>
      <c r="AO159" s="41">
        <v>6.7</v>
      </c>
      <c r="AP159" s="13">
        <v>12.8</v>
      </c>
      <c r="AQ159" s="13" t="s">
        <v>1923</v>
      </c>
      <c r="AR159" s="13" t="s">
        <v>1431</v>
      </c>
      <c r="AS159" s="13" t="s">
        <v>1934</v>
      </c>
      <c r="AT159" s="13" t="s">
        <v>1425</v>
      </c>
      <c r="AU159" s="13" t="s">
        <v>1432</v>
      </c>
      <c r="AV159" s="39">
        <v>45279</v>
      </c>
      <c r="AW159" s="13" t="s">
        <v>1732</v>
      </c>
      <c r="AY159" s="41">
        <v>0.01</v>
      </c>
      <c r="AZ159" s="41">
        <v>18.8</v>
      </c>
      <c r="BA159" s="41">
        <v>14.7</v>
      </c>
      <c r="BB159" s="41">
        <v>27.9</v>
      </c>
    </row>
    <row r="160" spans="1:425">
      <c r="A160" s="14">
        <v>148</v>
      </c>
      <c r="B160" s="15" t="str">
        <f>IF(ISBLANK(D[[#This Row],[CLAS_GRONDSOORT]]),"ONWAAR","WAAR")</f>
        <v>WAAR</v>
      </c>
      <c r="C160" s="15" t="str">
        <f>IF(ISBLANK(D[[#This Row],[CLAS_VN_HOOFDNAAM]]),"ONWAAR","WAAR")</f>
        <v>ONWAAR</v>
      </c>
      <c r="D160" s="15" t="str">
        <f>IF(ISBLANK(D[[#This Row],[KV_GRONDSOORT]]),"ONWAAR","WAAR")</f>
        <v>ONWAAR</v>
      </c>
      <c r="E160" s="15" t="str">
        <f>IF(ISBLANK(D[[#This Row],[CPT_QNET]]),"ONWAAR","WAAR")</f>
        <v>ONWAAR</v>
      </c>
      <c r="F160" s="15" t="str">
        <f>IF(ISBLANK(D[[#This Row],[CRS_GRONDSOORT]]),"ONWAAR","WAAR")</f>
        <v>WAAR</v>
      </c>
      <c r="G160" s="15" t="str">
        <f>IF(ISBLANK(D[[#This Row],[SD_GRONDSOORT]]),"ONWAAR","WAAR")</f>
        <v>ONWAAR</v>
      </c>
      <c r="H160" s="15" t="str">
        <f>IF(ISBLANK(D[[#This Row],[DSS_GRONDSOORT]]),"ONWAAR","WAAR")</f>
        <v>ONWAAR</v>
      </c>
      <c r="I160" s="15" t="str">
        <f>IF(ISBLANK(D[[#This Row],[TXT_SS_GRONDSOORT]]),"ONWAAR","WAAR")</f>
        <v>WAAR</v>
      </c>
      <c r="J160" s="13" t="s">
        <v>1935</v>
      </c>
      <c r="L160" s="13" t="s">
        <v>1418</v>
      </c>
      <c r="M160" s="13" t="s">
        <v>1419</v>
      </c>
      <c r="P160" s="13" t="s">
        <v>1420</v>
      </c>
      <c r="V160" s="41">
        <v>133608.85</v>
      </c>
      <c r="W160" s="41">
        <v>414267.28</v>
      </c>
      <c r="X160" s="41">
        <v>6.36</v>
      </c>
      <c r="Y160" s="13" t="s">
        <v>1920</v>
      </c>
      <c r="Z160" s="13" t="s">
        <v>1422</v>
      </c>
      <c r="AA160" s="39">
        <v>45182</v>
      </c>
      <c r="AB160" s="13" t="s">
        <v>1921</v>
      </c>
      <c r="AC160" s="13" t="s">
        <v>1922</v>
      </c>
      <c r="AD160" s="13" t="s">
        <v>1425</v>
      </c>
      <c r="AE160" s="13" t="s">
        <v>1476</v>
      </c>
      <c r="AF160" s="13" t="s">
        <v>1427</v>
      </c>
      <c r="AG160" s="41">
        <v>0.46</v>
      </c>
      <c r="AI160" s="13">
        <v>10</v>
      </c>
      <c r="AJ160" s="13" t="s">
        <v>1428</v>
      </c>
      <c r="AK160" s="13" t="s">
        <v>1429</v>
      </c>
      <c r="AL160" s="41">
        <v>-0.94</v>
      </c>
      <c r="AM160" s="41">
        <v>-1.276</v>
      </c>
      <c r="AN160" s="41">
        <v>7.3</v>
      </c>
      <c r="AO160" s="41">
        <v>7.6360000000000001</v>
      </c>
      <c r="AQ160" s="13" t="s">
        <v>1923</v>
      </c>
      <c r="AR160" s="13" t="s">
        <v>1431</v>
      </c>
      <c r="AS160" s="13" t="s">
        <v>1935</v>
      </c>
      <c r="AT160" s="13" t="s">
        <v>1425</v>
      </c>
      <c r="AU160" s="13" t="s">
        <v>1432</v>
      </c>
      <c r="AV160" s="39">
        <v>45279</v>
      </c>
      <c r="AW160" s="13" t="s">
        <v>1849</v>
      </c>
      <c r="AY160" s="41">
        <v>-1.0900000000000001</v>
      </c>
      <c r="AZ160" s="41">
        <v>18.899999999999999</v>
      </c>
      <c r="BA160" s="41">
        <v>14.1</v>
      </c>
      <c r="BB160" s="41">
        <v>33.799999999999997</v>
      </c>
      <c r="EA160" s="13" t="s">
        <v>1936</v>
      </c>
      <c r="EB160" s="13" t="s">
        <v>1937</v>
      </c>
      <c r="EC160" s="13" t="s">
        <v>1938</v>
      </c>
      <c r="ED160" s="13" t="s">
        <v>1454</v>
      </c>
      <c r="EE160" s="13" t="s">
        <v>1455</v>
      </c>
      <c r="EF160" s="39">
        <v>45201</v>
      </c>
      <c r="EG160" s="13" t="s">
        <v>1456</v>
      </c>
      <c r="EI160" s="41">
        <v>-1.01</v>
      </c>
      <c r="EJ160" s="41">
        <v>110.3</v>
      </c>
      <c r="EK160" s="41">
        <v>18.68</v>
      </c>
      <c r="EL160" s="41">
        <v>14.33</v>
      </c>
      <c r="EM160" s="41">
        <v>30.34</v>
      </c>
      <c r="EN160" s="41">
        <v>24.84</v>
      </c>
      <c r="EO160" s="41">
        <v>96.06</v>
      </c>
      <c r="EP160" s="13">
        <v>21.7</v>
      </c>
      <c r="EQ160" s="13">
        <v>19.8</v>
      </c>
      <c r="ER160" s="13">
        <v>65.44</v>
      </c>
      <c r="ES160" s="41">
        <v>18.8</v>
      </c>
      <c r="ET160" s="41">
        <v>18.53</v>
      </c>
      <c r="EU160" s="41">
        <v>15.26</v>
      </c>
      <c r="EV160" s="13">
        <v>0.5</v>
      </c>
      <c r="EW160" s="44">
        <v>-0.1</v>
      </c>
      <c r="EX160" s="13">
        <v>16</v>
      </c>
      <c r="EY160" s="41">
        <v>650.20000000000005</v>
      </c>
      <c r="EZ160" s="41">
        <v>547.79999999999995</v>
      </c>
      <c r="FA160" s="41">
        <v>403.6</v>
      </c>
      <c r="FB160" s="41">
        <v>223.8</v>
      </c>
      <c r="FC160" s="41">
        <v>1096</v>
      </c>
      <c r="FD160" s="41">
        <v>5.26</v>
      </c>
      <c r="FE160" s="41">
        <v>178.7</v>
      </c>
      <c r="FF160" s="41">
        <v>6.25</v>
      </c>
      <c r="FG160" s="41">
        <v>635.9</v>
      </c>
      <c r="FH160" s="45">
        <v>4.4000000000000003E-3</v>
      </c>
      <c r="FI160" s="45">
        <v>8.2299999999999998E-2</v>
      </c>
      <c r="FJ160" s="45">
        <v>2.8999999999999998E-3</v>
      </c>
      <c r="NH160" s="13" t="s">
        <v>1939</v>
      </c>
      <c r="NI160" s="13" t="s">
        <v>1940</v>
      </c>
      <c r="NJ160" s="13" t="s">
        <v>1941</v>
      </c>
      <c r="NK160" s="13" t="s">
        <v>1454</v>
      </c>
      <c r="NL160" s="13" t="s">
        <v>1461</v>
      </c>
      <c r="NM160" s="39">
        <v>45215</v>
      </c>
      <c r="NN160" s="13" t="s">
        <v>1456</v>
      </c>
      <c r="NP160" s="41">
        <v>-1.0900000000000001</v>
      </c>
      <c r="NQ160" s="41">
        <v>110.3</v>
      </c>
      <c r="NR160" s="41">
        <v>18.920000000000002</v>
      </c>
      <c r="NS160" s="41">
        <v>14.14</v>
      </c>
      <c r="NT160" s="41">
        <v>30.84</v>
      </c>
      <c r="NU160" s="41">
        <v>33.76</v>
      </c>
      <c r="NV160" s="41">
        <v>106.26</v>
      </c>
      <c r="NW160" s="41">
        <v>0.85</v>
      </c>
      <c r="NX160" s="44">
        <v>2660</v>
      </c>
      <c r="NY160" s="44">
        <v>21.3</v>
      </c>
      <c r="NZ160" s="44">
        <v>21.3</v>
      </c>
      <c r="OA160" s="44">
        <v>50</v>
      </c>
      <c r="OB160" s="44">
        <v>100</v>
      </c>
      <c r="OC160" s="41" t="s">
        <v>1463</v>
      </c>
      <c r="OD160" s="41" t="s">
        <v>1464</v>
      </c>
      <c r="OE160" s="41" t="s">
        <v>1465</v>
      </c>
      <c r="OF160" s="43">
        <v>299</v>
      </c>
      <c r="OG160" s="41" t="s">
        <v>1466</v>
      </c>
      <c r="OH160" s="41">
        <v>0.61</v>
      </c>
      <c r="OI160" s="41" t="s">
        <v>1467</v>
      </c>
      <c r="OJ160" s="41">
        <v>66.78</v>
      </c>
      <c r="OK160" s="41">
        <v>0.78</v>
      </c>
      <c r="OL160" s="41">
        <v>86.98</v>
      </c>
      <c r="OM160" s="41">
        <v>21.81</v>
      </c>
      <c r="ON160" s="41">
        <v>86.98</v>
      </c>
      <c r="OO160" s="41">
        <v>21.81</v>
      </c>
      <c r="OP160" s="43">
        <v>1</v>
      </c>
      <c r="OQ160" s="41">
        <v>2.42</v>
      </c>
      <c r="OR160" s="41">
        <v>6.02</v>
      </c>
      <c r="OS160" s="41" t="s">
        <v>1468</v>
      </c>
      <c r="OT160" s="41">
        <v>0.98</v>
      </c>
      <c r="OU160" s="41">
        <v>86.55</v>
      </c>
      <c r="OV160" s="41">
        <v>49.18</v>
      </c>
      <c r="OW160" s="41">
        <v>94.09</v>
      </c>
      <c r="OX160" s="41">
        <v>59.42</v>
      </c>
      <c r="OY160" s="41">
        <v>113.1</v>
      </c>
      <c r="OZ160" s="41">
        <v>68.72</v>
      </c>
      <c r="PA160" s="41">
        <v>113.6</v>
      </c>
      <c r="PB160" s="41">
        <v>68.959999999999994</v>
      </c>
      <c r="PC160" s="41">
        <v>15.46</v>
      </c>
      <c r="PD160" s="41">
        <v>116.7</v>
      </c>
      <c r="PE160" s="41">
        <v>67.099999999999994</v>
      </c>
      <c r="PF160" s="43">
        <v>25</v>
      </c>
      <c r="PG160" s="41">
        <v>3.58</v>
      </c>
      <c r="PH160" s="41">
        <v>1.32</v>
      </c>
      <c r="PI160" s="41">
        <v>0.15</v>
      </c>
    </row>
    <row r="161" spans="1:116">
      <c r="A161" s="14">
        <v>149</v>
      </c>
      <c r="B161" s="15" t="str">
        <f>IF(ISBLANK(D[[#This Row],[CLAS_GRONDSOORT]]),"ONWAAR","WAAR")</f>
        <v>WAAR</v>
      </c>
      <c r="C161" s="15" t="str">
        <f>IF(ISBLANK(D[[#This Row],[CLAS_VN_HOOFDNAAM]]),"ONWAAR","WAAR")</f>
        <v>ONWAAR</v>
      </c>
      <c r="D161" s="15" t="str">
        <f>IF(ISBLANK(D[[#This Row],[KV_GRONDSOORT]]),"ONWAAR","WAAR")</f>
        <v>ONWAAR</v>
      </c>
      <c r="E161" s="15" t="str">
        <f>IF(ISBLANK(D[[#This Row],[CPT_QNET]]),"ONWAAR","WAAR")</f>
        <v>ONWAAR</v>
      </c>
      <c r="F161" s="15" t="str">
        <f>IF(ISBLANK(D[[#This Row],[CRS_GRONDSOORT]]),"ONWAAR","WAAR")</f>
        <v>ONWAAR</v>
      </c>
      <c r="G161" s="15" t="str">
        <f>IF(ISBLANK(D[[#This Row],[SD_GRONDSOORT]]),"ONWAAR","WAAR")</f>
        <v>ONWAAR</v>
      </c>
      <c r="H161" s="15" t="str">
        <f>IF(ISBLANK(D[[#This Row],[DSS_GRONDSOORT]]),"ONWAAR","WAAR")</f>
        <v>ONWAAR</v>
      </c>
      <c r="I161" s="15" t="str">
        <f>IF(ISBLANK(D[[#This Row],[TXT_SS_GRONDSOORT]]),"ONWAAR","WAAR")</f>
        <v>ONWAAR</v>
      </c>
      <c r="J161" s="13" t="s">
        <v>1942</v>
      </c>
      <c r="L161" s="13" t="s">
        <v>1418</v>
      </c>
      <c r="M161" s="13" t="s">
        <v>1419</v>
      </c>
      <c r="P161" s="13" t="s">
        <v>1420</v>
      </c>
      <c r="V161" s="41">
        <v>133608.85</v>
      </c>
      <c r="W161" s="41">
        <v>414267.28</v>
      </c>
      <c r="X161" s="41">
        <v>6.36</v>
      </c>
      <c r="Y161" s="13" t="s">
        <v>1920</v>
      </c>
      <c r="Z161" s="13" t="s">
        <v>1422</v>
      </c>
      <c r="AA161" s="39">
        <v>45182</v>
      </c>
      <c r="AB161" s="13" t="s">
        <v>1921</v>
      </c>
      <c r="AC161" s="13" t="s">
        <v>1922</v>
      </c>
      <c r="AD161" s="13" t="s">
        <v>1425</v>
      </c>
      <c r="AE161" s="13" t="s">
        <v>1476</v>
      </c>
      <c r="AF161" s="13" t="s">
        <v>1427</v>
      </c>
      <c r="AG161" s="41">
        <v>0.46</v>
      </c>
      <c r="AI161" s="13" t="s">
        <v>1593</v>
      </c>
      <c r="AJ161" s="13" t="s">
        <v>1428</v>
      </c>
      <c r="AK161" s="13" t="s">
        <v>1429</v>
      </c>
      <c r="AL161" s="41">
        <v>-1.44</v>
      </c>
      <c r="AM161" s="41">
        <v>-1.51</v>
      </c>
      <c r="AN161" s="41">
        <v>7.8</v>
      </c>
      <c r="AO161" s="41">
        <v>7.87</v>
      </c>
      <c r="AQ161" s="13" t="s">
        <v>1923</v>
      </c>
      <c r="AR161" s="13" t="s">
        <v>1431</v>
      </c>
      <c r="AS161" s="13" t="s">
        <v>1942</v>
      </c>
      <c r="AT161" s="13" t="s">
        <v>1425</v>
      </c>
      <c r="AU161" s="13" t="s">
        <v>1432</v>
      </c>
      <c r="AV161" s="39">
        <v>45279</v>
      </c>
      <c r="AW161" s="13" t="s">
        <v>1849</v>
      </c>
      <c r="AY161" s="41">
        <v>-1.48</v>
      </c>
      <c r="AZ161" s="41"/>
      <c r="BA161" s="41"/>
      <c r="BB161" s="41"/>
    </row>
    <row r="162" spans="1:116">
      <c r="A162" s="14">
        <v>150</v>
      </c>
      <c r="B162" s="15" t="str">
        <f>IF(ISBLANK(D[[#This Row],[CLAS_GRONDSOORT]]),"ONWAAR","WAAR")</f>
        <v>WAAR</v>
      </c>
      <c r="C162" s="15" t="str">
        <f>IF(ISBLANK(D[[#This Row],[CLAS_VN_HOOFDNAAM]]),"ONWAAR","WAAR")</f>
        <v>ONWAAR</v>
      </c>
      <c r="D162" s="15" t="str">
        <f>IF(ISBLANK(D[[#This Row],[KV_GRONDSOORT]]),"ONWAAR","WAAR")</f>
        <v>WAAR</v>
      </c>
      <c r="E162" s="15" t="str">
        <f>IF(ISBLANK(D[[#This Row],[CPT_QNET]]),"ONWAAR","WAAR")</f>
        <v>ONWAAR</v>
      </c>
      <c r="F162" s="15" t="str">
        <f>IF(ISBLANK(D[[#This Row],[CRS_GRONDSOORT]]),"ONWAAR","WAAR")</f>
        <v>ONWAAR</v>
      </c>
      <c r="G162" s="15" t="str">
        <f>IF(ISBLANK(D[[#This Row],[SD_GRONDSOORT]]),"ONWAAR","WAAR")</f>
        <v>ONWAAR</v>
      </c>
      <c r="H162" s="15" t="str">
        <f>IF(ISBLANK(D[[#This Row],[DSS_GRONDSOORT]]),"ONWAAR","WAAR")</f>
        <v>ONWAAR</v>
      </c>
      <c r="I162" s="15" t="str">
        <f>IF(ISBLANK(D[[#This Row],[TXT_SS_GRONDSOORT]]),"ONWAAR","WAAR")</f>
        <v>ONWAAR</v>
      </c>
      <c r="J162" s="13" t="s">
        <v>1943</v>
      </c>
      <c r="L162" s="13" t="s">
        <v>1418</v>
      </c>
      <c r="M162" s="13" t="s">
        <v>1419</v>
      </c>
      <c r="P162" s="13" t="s">
        <v>1420</v>
      </c>
      <c r="V162" s="41">
        <v>133608.85</v>
      </c>
      <c r="W162" s="41">
        <v>414267.28</v>
      </c>
      <c r="X162" s="41">
        <v>6.36</v>
      </c>
      <c r="Y162" s="13" t="s">
        <v>1920</v>
      </c>
      <c r="Z162" s="13" t="s">
        <v>1422</v>
      </c>
      <c r="AA162" s="39">
        <v>45182</v>
      </c>
      <c r="AB162" s="13" t="s">
        <v>1921</v>
      </c>
      <c r="AC162" s="13" t="s">
        <v>1922</v>
      </c>
      <c r="AD162" s="13" t="s">
        <v>1425</v>
      </c>
      <c r="AE162" s="13" t="s">
        <v>1476</v>
      </c>
      <c r="AF162" s="13" t="s">
        <v>1427</v>
      </c>
      <c r="AG162" s="41">
        <v>0.46</v>
      </c>
      <c r="AI162" s="13" t="s">
        <v>1596</v>
      </c>
      <c r="AJ162" s="13" t="s">
        <v>1428</v>
      </c>
      <c r="AK162" s="13" t="s">
        <v>1429</v>
      </c>
      <c r="AL162" s="41">
        <v>-1.51</v>
      </c>
      <c r="AM162" s="41">
        <v>-1.63</v>
      </c>
      <c r="AN162" s="41">
        <v>7.87</v>
      </c>
      <c r="AO162" s="41">
        <v>7.99</v>
      </c>
      <c r="AP162" s="13">
        <v>10.8</v>
      </c>
      <c r="AQ162" s="13" t="s">
        <v>1923</v>
      </c>
      <c r="AR162" s="13" t="s">
        <v>1431</v>
      </c>
      <c r="AS162" s="13" t="s">
        <v>1943</v>
      </c>
      <c r="AT162" s="13" t="s">
        <v>1425</v>
      </c>
      <c r="AU162" s="13" t="s">
        <v>1432</v>
      </c>
      <c r="AV162" s="39">
        <v>45279</v>
      </c>
      <c r="AW162" s="13" t="s">
        <v>1878</v>
      </c>
      <c r="AY162" s="41">
        <v>-1.57</v>
      </c>
      <c r="AZ162" s="41"/>
      <c r="BA162" s="41"/>
      <c r="BB162" s="41"/>
      <c r="CE162" s="13" t="s">
        <v>1944</v>
      </c>
      <c r="CF162" s="13" t="s">
        <v>1687</v>
      </c>
      <c r="CG162" s="13" t="s">
        <v>1943</v>
      </c>
      <c r="CH162" s="13" t="s">
        <v>1425</v>
      </c>
      <c r="CI162" s="13" t="s">
        <v>1524</v>
      </c>
      <c r="CJ162" s="39">
        <v>45212</v>
      </c>
      <c r="CK162" s="13" t="s">
        <v>1945</v>
      </c>
      <c r="CM162" s="13">
        <v>422</v>
      </c>
      <c r="CN162" s="13">
        <v>405</v>
      </c>
      <c r="CO162" s="41">
        <v>0.01</v>
      </c>
      <c r="CP162" s="41">
        <v>95.9</v>
      </c>
      <c r="CQ162" s="41">
        <v>2.39</v>
      </c>
      <c r="CR162" s="41">
        <v>100</v>
      </c>
      <c r="CS162" s="41">
        <v>100</v>
      </c>
      <c r="CT162" s="41">
        <v>100</v>
      </c>
      <c r="CU162" s="41">
        <v>100</v>
      </c>
      <c r="CV162" s="41">
        <v>100</v>
      </c>
      <c r="CW162" s="41">
        <v>99.99</v>
      </c>
      <c r="CX162" s="41">
        <v>97.77</v>
      </c>
      <c r="CY162" s="41">
        <v>61.47</v>
      </c>
      <c r="CZ162" s="41">
        <v>36.01</v>
      </c>
      <c r="DA162" s="41">
        <v>17.399999999999999</v>
      </c>
      <c r="DB162" s="41">
        <v>6.63</v>
      </c>
      <c r="DC162" s="41">
        <v>4.09</v>
      </c>
      <c r="DD162" s="41">
        <v>2.1</v>
      </c>
      <c r="DE162" s="41">
        <v>2.0299999999999998</v>
      </c>
      <c r="DF162" s="41">
        <v>2</v>
      </c>
      <c r="DG162" s="41">
        <v>1.7</v>
      </c>
      <c r="DH162" s="13">
        <v>576</v>
      </c>
      <c r="DI162" s="13">
        <v>501</v>
      </c>
      <c r="DJ162" s="13">
        <v>422</v>
      </c>
      <c r="DK162" s="13">
        <v>161</v>
      </c>
      <c r="DL162" s="13">
        <v>3.11</v>
      </c>
    </row>
    <row r="163" spans="1:116">
      <c r="A163" s="14">
        <v>151</v>
      </c>
      <c r="B163" s="15" t="str">
        <f>IF(ISBLANK(D[[#This Row],[CLAS_GRONDSOORT]]),"ONWAAR","WAAR")</f>
        <v>WAAR</v>
      </c>
      <c r="C163" s="15" t="str">
        <f>IF(ISBLANK(D[[#This Row],[CLAS_VN_HOOFDNAAM]]),"ONWAAR","WAAR")</f>
        <v>ONWAAR</v>
      </c>
      <c r="D163" s="15" t="str">
        <f>IF(ISBLANK(D[[#This Row],[KV_GRONDSOORT]]),"ONWAAR","WAAR")</f>
        <v>ONWAAR</v>
      </c>
      <c r="E163" s="15" t="str">
        <f>IF(ISBLANK(D[[#This Row],[CPT_QNET]]),"ONWAAR","WAAR")</f>
        <v>ONWAAR</v>
      </c>
      <c r="F163" s="15" t="str">
        <f>IF(ISBLANK(D[[#This Row],[CRS_GRONDSOORT]]),"ONWAAR","WAAR")</f>
        <v>ONWAAR</v>
      </c>
      <c r="G163" s="15" t="str">
        <f>IF(ISBLANK(D[[#This Row],[SD_GRONDSOORT]]),"ONWAAR","WAAR")</f>
        <v>ONWAAR</v>
      </c>
      <c r="H163" s="15" t="str">
        <f>IF(ISBLANK(D[[#This Row],[DSS_GRONDSOORT]]),"ONWAAR","WAAR")</f>
        <v>ONWAAR</v>
      </c>
      <c r="I163" s="15" t="str">
        <f>IF(ISBLANK(D[[#This Row],[TXT_SS_GRONDSOORT]]),"ONWAAR","WAAR")</f>
        <v>ONWAAR</v>
      </c>
      <c r="J163" s="13" t="s">
        <v>1946</v>
      </c>
      <c r="L163" s="13" t="s">
        <v>1418</v>
      </c>
      <c r="M163" s="13" t="s">
        <v>1419</v>
      </c>
      <c r="P163" s="13" t="s">
        <v>1420</v>
      </c>
      <c r="V163" s="41">
        <v>133608.85</v>
      </c>
      <c r="W163" s="41">
        <v>414267.28</v>
      </c>
      <c r="X163" s="41">
        <v>6.36</v>
      </c>
      <c r="Y163" s="13" t="s">
        <v>1920</v>
      </c>
      <c r="Z163" s="13" t="s">
        <v>1422</v>
      </c>
      <c r="AA163" s="39">
        <v>45182</v>
      </c>
      <c r="AB163" s="13" t="s">
        <v>1921</v>
      </c>
      <c r="AC163" s="13" t="s">
        <v>1922</v>
      </c>
      <c r="AD163" s="13" t="s">
        <v>1425</v>
      </c>
      <c r="AE163" s="13" t="s">
        <v>1476</v>
      </c>
      <c r="AF163" s="13" t="s">
        <v>1427</v>
      </c>
      <c r="AG163" s="41">
        <v>0.46</v>
      </c>
      <c r="AI163" s="13">
        <v>12</v>
      </c>
      <c r="AJ163" s="13" t="s">
        <v>1428</v>
      </c>
      <c r="AK163" s="13" t="s">
        <v>1429</v>
      </c>
      <c r="AL163" s="41">
        <v>-4.9400000000000004</v>
      </c>
      <c r="AM163" s="41">
        <v>-5.28</v>
      </c>
      <c r="AN163" s="41">
        <v>11.3</v>
      </c>
      <c r="AO163" s="41">
        <v>11.64</v>
      </c>
      <c r="AP163" s="13">
        <v>17.899999999999999</v>
      </c>
      <c r="AQ163" s="13" t="s">
        <v>1923</v>
      </c>
      <c r="AR163" s="13" t="s">
        <v>1431</v>
      </c>
      <c r="AS163" s="13" t="s">
        <v>1946</v>
      </c>
      <c r="AT163" s="13" t="s">
        <v>1425</v>
      </c>
      <c r="AU163" s="13" t="s">
        <v>1432</v>
      </c>
      <c r="AV163" s="39">
        <v>45279</v>
      </c>
      <c r="AW163" s="13" t="s">
        <v>1809</v>
      </c>
      <c r="AY163" s="41">
        <v>-5.1100000000000003</v>
      </c>
      <c r="AZ163" s="41"/>
      <c r="BA163" s="41"/>
      <c r="BB163" s="41"/>
    </row>
    <row r="164" spans="1:116">
      <c r="A164" s="14">
        <v>152</v>
      </c>
      <c r="B164" s="15" t="str">
        <f>IF(ISBLANK(D[[#This Row],[CLAS_GRONDSOORT]]),"ONWAAR","WAAR")</f>
        <v>WAAR</v>
      </c>
      <c r="C164" s="15" t="str">
        <f>IF(ISBLANK(D[[#This Row],[CLAS_VN_HOOFDNAAM]]),"ONWAAR","WAAR")</f>
        <v>ONWAAR</v>
      </c>
      <c r="D164" s="15" t="str">
        <f>IF(ISBLANK(D[[#This Row],[KV_GRONDSOORT]]),"ONWAAR","WAAR")</f>
        <v>ONWAAR</v>
      </c>
      <c r="E164" s="15" t="str">
        <f>IF(ISBLANK(D[[#This Row],[CPT_QNET]]),"ONWAAR","WAAR")</f>
        <v>ONWAAR</v>
      </c>
      <c r="F164" s="15" t="str">
        <f>IF(ISBLANK(D[[#This Row],[CRS_GRONDSOORT]]),"ONWAAR","WAAR")</f>
        <v>ONWAAR</v>
      </c>
      <c r="G164" s="15" t="str">
        <f>IF(ISBLANK(D[[#This Row],[SD_GRONDSOORT]]),"ONWAAR","WAAR")</f>
        <v>ONWAAR</v>
      </c>
      <c r="H164" s="15" t="str">
        <f>IF(ISBLANK(D[[#This Row],[DSS_GRONDSOORT]]),"ONWAAR","WAAR")</f>
        <v>ONWAAR</v>
      </c>
      <c r="I164" s="15" t="str">
        <f>IF(ISBLANK(D[[#This Row],[TXT_SS_GRONDSOORT]]),"ONWAAR","WAAR")</f>
        <v>ONWAAR</v>
      </c>
      <c r="J164" s="13" t="s">
        <v>1947</v>
      </c>
      <c r="L164" s="13" t="s">
        <v>1418</v>
      </c>
      <c r="M164" s="13" t="s">
        <v>1419</v>
      </c>
      <c r="P164" s="13" t="s">
        <v>1420</v>
      </c>
      <c r="V164" s="41">
        <v>133608.85</v>
      </c>
      <c r="W164" s="41">
        <v>414267.28</v>
      </c>
      <c r="X164" s="41">
        <v>6.36</v>
      </c>
      <c r="Y164" s="13" t="s">
        <v>1920</v>
      </c>
      <c r="Z164" s="13" t="s">
        <v>1422</v>
      </c>
      <c r="AA164" s="39">
        <v>45182</v>
      </c>
      <c r="AB164" s="13" t="s">
        <v>1921</v>
      </c>
      <c r="AC164" s="13" t="s">
        <v>1922</v>
      </c>
      <c r="AD164" s="13" t="s">
        <v>1425</v>
      </c>
      <c r="AE164" s="13" t="s">
        <v>1476</v>
      </c>
      <c r="AF164" s="13" t="s">
        <v>1427</v>
      </c>
      <c r="AG164" s="41">
        <v>0.46</v>
      </c>
      <c r="AI164" s="13">
        <v>13</v>
      </c>
      <c r="AJ164" s="13" t="s">
        <v>1428</v>
      </c>
      <c r="AK164" s="13" t="s">
        <v>1429</v>
      </c>
      <c r="AL164" s="41">
        <v>-5.44</v>
      </c>
      <c r="AM164" s="41">
        <v>-5.77</v>
      </c>
      <c r="AN164" s="41">
        <v>11.8</v>
      </c>
      <c r="AO164" s="41">
        <v>12.13</v>
      </c>
      <c r="AP164" s="13">
        <v>16.899999999999999</v>
      </c>
      <c r="AQ164" s="13" t="s">
        <v>1923</v>
      </c>
      <c r="AR164" s="13" t="s">
        <v>1431</v>
      </c>
      <c r="AS164" s="13" t="s">
        <v>1947</v>
      </c>
      <c r="AT164" s="13" t="s">
        <v>1425</v>
      </c>
      <c r="AU164" s="13" t="s">
        <v>1432</v>
      </c>
      <c r="AV164" s="39">
        <v>45279</v>
      </c>
      <c r="AW164" s="13" t="s">
        <v>1809</v>
      </c>
      <c r="AY164" s="41">
        <v>-5.61</v>
      </c>
      <c r="AZ164" s="41"/>
      <c r="BA164" s="41"/>
      <c r="BB164" s="41"/>
    </row>
    <row r="165" spans="1:116">
      <c r="A165" s="14">
        <v>153</v>
      </c>
      <c r="B165" s="15" t="str">
        <f>IF(ISBLANK(D[[#This Row],[CLAS_GRONDSOORT]]),"ONWAAR","WAAR")</f>
        <v>WAAR</v>
      </c>
      <c r="C165" s="15" t="str">
        <f>IF(ISBLANK(D[[#This Row],[CLAS_VN_HOOFDNAAM]]),"ONWAAR","WAAR")</f>
        <v>ONWAAR</v>
      </c>
      <c r="D165" s="15" t="str">
        <f>IF(ISBLANK(D[[#This Row],[KV_GRONDSOORT]]),"ONWAAR","WAAR")</f>
        <v>ONWAAR</v>
      </c>
      <c r="E165" s="15" t="str">
        <f>IF(ISBLANK(D[[#This Row],[CPT_QNET]]),"ONWAAR","WAAR")</f>
        <v>ONWAAR</v>
      </c>
      <c r="F165" s="15" t="str">
        <f>IF(ISBLANK(D[[#This Row],[CRS_GRONDSOORT]]),"ONWAAR","WAAR")</f>
        <v>ONWAAR</v>
      </c>
      <c r="G165" s="15" t="str">
        <f>IF(ISBLANK(D[[#This Row],[SD_GRONDSOORT]]),"ONWAAR","WAAR")</f>
        <v>ONWAAR</v>
      </c>
      <c r="H165" s="15" t="str">
        <f>IF(ISBLANK(D[[#This Row],[DSS_GRONDSOORT]]),"ONWAAR","WAAR")</f>
        <v>ONWAAR</v>
      </c>
      <c r="I165" s="15" t="str">
        <f>IF(ISBLANK(D[[#This Row],[TXT_SS_GRONDSOORT]]),"ONWAAR","WAAR")</f>
        <v>ONWAAR</v>
      </c>
      <c r="J165" s="13" t="s">
        <v>1948</v>
      </c>
      <c r="L165" s="13" t="s">
        <v>1418</v>
      </c>
      <c r="M165" s="13" t="s">
        <v>1419</v>
      </c>
      <c r="P165" s="13" t="s">
        <v>1420</v>
      </c>
      <c r="V165" s="41">
        <v>133608.85</v>
      </c>
      <c r="W165" s="41">
        <v>414267.28</v>
      </c>
      <c r="X165" s="41">
        <v>6.36</v>
      </c>
      <c r="Y165" s="13" t="s">
        <v>1920</v>
      </c>
      <c r="Z165" s="13" t="s">
        <v>1422</v>
      </c>
      <c r="AA165" s="39">
        <v>45182</v>
      </c>
      <c r="AB165" s="13" t="s">
        <v>1921</v>
      </c>
      <c r="AC165" s="13" t="s">
        <v>1922</v>
      </c>
      <c r="AD165" s="13" t="s">
        <v>1425</v>
      </c>
      <c r="AE165" s="13" t="s">
        <v>1476</v>
      </c>
      <c r="AF165" s="13" t="s">
        <v>1427</v>
      </c>
      <c r="AG165" s="41">
        <v>0.46</v>
      </c>
      <c r="AI165" s="13" t="s">
        <v>1949</v>
      </c>
      <c r="AJ165" s="13" t="s">
        <v>1428</v>
      </c>
      <c r="AK165" s="13" t="s">
        <v>1429</v>
      </c>
      <c r="AL165" s="41">
        <v>-9.94</v>
      </c>
      <c r="AM165" s="41">
        <v>-10.07</v>
      </c>
      <c r="AN165" s="41">
        <v>16.3</v>
      </c>
      <c r="AO165" s="41">
        <v>16.43</v>
      </c>
      <c r="AP165" s="13">
        <v>19.2</v>
      </c>
      <c r="AQ165" s="13" t="s">
        <v>1923</v>
      </c>
      <c r="AR165" s="13" t="s">
        <v>1431</v>
      </c>
      <c r="AS165" s="13" t="s">
        <v>1948</v>
      </c>
      <c r="AT165" s="13" t="s">
        <v>1425</v>
      </c>
      <c r="AU165" s="13" t="s">
        <v>1432</v>
      </c>
      <c r="AV165" s="39">
        <v>45279</v>
      </c>
      <c r="AW165" s="13" t="s">
        <v>1809</v>
      </c>
      <c r="AY165" s="41">
        <v>-10.01</v>
      </c>
      <c r="AZ165" s="41"/>
      <c r="BA165" s="41"/>
      <c r="BB165" s="41"/>
    </row>
    <row r="166" spans="1:116">
      <c r="A166" s="14">
        <v>154</v>
      </c>
      <c r="B166" s="15" t="str">
        <f>IF(ISBLANK(D[[#This Row],[CLAS_GRONDSOORT]]),"ONWAAR","WAAR")</f>
        <v>WAAR</v>
      </c>
      <c r="C166" s="15" t="str">
        <f>IF(ISBLANK(D[[#This Row],[CLAS_VN_HOOFDNAAM]]),"ONWAAR","WAAR")</f>
        <v>ONWAAR</v>
      </c>
      <c r="D166" s="15" t="str">
        <f>IF(ISBLANK(D[[#This Row],[KV_GRONDSOORT]]),"ONWAAR","WAAR")</f>
        <v>ONWAAR</v>
      </c>
      <c r="E166" s="15" t="str">
        <f>IF(ISBLANK(D[[#This Row],[CPT_QNET]]),"ONWAAR","WAAR")</f>
        <v>ONWAAR</v>
      </c>
      <c r="F166" s="15" t="str">
        <f>IF(ISBLANK(D[[#This Row],[CRS_GRONDSOORT]]),"ONWAAR","WAAR")</f>
        <v>ONWAAR</v>
      </c>
      <c r="G166" s="15" t="str">
        <f>IF(ISBLANK(D[[#This Row],[SD_GRONDSOORT]]),"ONWAAR","WAAR")</f>
        <v>ONWAAR</v>
      </c>
      <c r="H166" s="15" t="str">
        <f>IF(ISBLANK(D[[#This Row],[DSS_GRONDSOORT]]),"ONWAAR","WAAR")</f>
        <v>ONWAAR</v>
      </c>
      <c r="I166" s="15" t="str">
        <f>IF(ISBLANK(D[[#This Row],[TXT_SS_GRONDSOORT]]),"ONWAAR","WAAR")</f>
        <v>ONWAAR</v>
      </c>
      <c r="J166" s="13" t="s">
        <v>1950</v>
      </c>
      <c r="L166" s="13" t="s">
        <v>1418</v>
      </c>
      <c r="M166" s="13" t="s">
        <v>1419</v>
      </c>
      <c r="P166" s="13" t="s">
        <v>1420</v>
      </c>
      <c r="V166" s="41">
        <v>133608.85</v>
      </c>
      <c r="W166" s="41">
        <v>414267.28</v>
      </c>
      <c r="X166" s="41">
        <v>6.36</v>
      </c>
      <c r="Y166" s="13" t="s">
        <v>1920</v>
      </c>
      <c r="Z166" s="13" t="s">
        <v>1422</v>
      </c>
      <c r="AA166" s="39">
        <v>45182</v>
      </c>
      <c r="AB166" s="13" t="s">
        <v>1921</v>
      </c>
      <c r="AC166" s="13" t="s">
        <v>1922</v>
      </c>
      <c r="AD166" s="13" t="s">
        <v>1425</v>
      </c>
      <c r="AE166" s="13" t="s">
        <v>1476</v>
      </c>
      <c r="AF166" s="13" t="s">
        <v>1427</v>
      </c>
      <c r="AG166" s="41">
        <v>0.46</v>
      </c>
      <c r="AI166" s="13" t="s">
        <v>1951</v>
      </c>
      <c r="AJ166" s="13" t="s">
        <v>1428</v>
      </c>
      <c r="AK166" s="13" t="s">
        <v>1429</v>
      </c>
      <c r="AL166" s="41">
        <v>-10.07</v>
      </c>
      <c r="AM166" s="41">
        <v>-10.34</v>
      </c>
      <c r="AN166" s="41">
        <v>16.43</v>
      </c>
      <c r="AO166" s="41">
        <v>16.7</v>
      </c>
      <c r="AQ166" s="13" t="s">
        <v>1923</v>
      </c>
      <c r="AR166" s="13" t="s">
        <v>1431</v>
      </c>
      <c r="AS166" s="13" t="s">
        <v>1950</v>
      </c>
      <c r="AT166" s="13" t="s">
        <v>1425</v>
      </c>
      <c r="AU166" s="13" t="s">
        <v>1432</v>
      </c>
      <c r="AV166" s="39">
        <v>45279</v>
      </c>
      <c r="AW166" s="13" t="s">
        <v>1952</v>
      </c>
      <c r="AY166" s="41">
        <v>-10.210000000000001</v>
      </c>
      <c r="AZ166" s="41"/>
      <c r="BA166" s="41"/>
      <c r="BB166" s="41"/>
    </row>
    <row r="167" spans="1:116">
      <c r="A167" s="14">
        <v>155</v>
      </c>
      <c r="B167" s="15" t="str">
        <f>IF(ISBLANK(D[[#This Row],[CLAS_GRONDSOORT]]),"ONWAAR","WAAR")</f>
        <v>WAAR</v>
      </c>
      <c r="C167" s="15" t="str">
        <f>IF(ISBLANK(D[[#This Row],[CLAS_VN_HOOFDNAAM]]),"ONWAAR","WAAR")</f>
        <v>ONWAAR</v>
      </c>
      <c r="D167" s="15" t="str">
        <f>IF(ISBLANK(D[[#This Row],[KV_GRONDSOORT]]),"ONWAAR","WAAR")</f>
        <v>ONWAAR</v>
      </c>
      <c r="E167" s="15" t="str">
        <f>IF(ISBLANK(D[[#This Row],[CPT_QNET]]),"ONWAAR","WAAR")</f>
        <v>ONWAAR</v>
      </c>
      <c r="F167" s="15" t="str">
        <f>IF(ISBLANK(D[[#This Row],[CRS_GRONDSOORT]]),"ONWAAR","WAAR")</f>
        <v>ONWAAR</v>
      </c>
      <c r="G167" s="15" t="str">
        <f>IF(ISBLANK(D[[#This Row],[SD_GRONDSOORT]]),"ONWAAR","WAAR")</f>
        <v>ONWAAR</v>
      </c>
      <c r="H167" s="15" t="str">
        <f>IF(ISBLANK(D[[#This Row],[DSS_GRONDSOORT]]),"ONWAAR","WAAR")</f>
        <v>ONWAAR</v>
      </c>
      <c r="I167" s="15" t="str">
        <f>IF(ISBLANK(D[[#This Row],[TXT_SS_GRONDSOORT]]),"ONWAAR","WAAR")</f>
        <v>ONWAAR</v>
      </c>
      <c r="J167" s="13" t="s">
        <v>1953</v>
      </c>
      <c r="L167" s="13" t="s">
        <v>1418</v>
      </c>
      <c r="M167" s="13" t="s">
        <v>1419</v>
      </c>
      <c r="P167" s="13" t="s">
        <v>1420</v>
      </c>
      <c r="V167" s="41">
        <v>133608.85</v>
      </c>
      <c r="W167" s="41">
        <v>414267.28</v>
      </c>
      <c r="X167" s="41">
        <v>6.36</v>
      </c>
      <c r="Y167" s="13" t="s">
        <v>1920</v>
      </c>
      <c r="Z167" s="13" t="s">
        <v>1422</v>
      </c>
      <c r="AA167" s="39">
        <v>45182</v>
      </c>
      <c r="AB167" s="13" t="s">
        <v>1921</v>
      </c>
      <c r="AC167" s="13" t="s">
        <v>1922</v>
      </c>
      <c r="AD167" s="13" t="s">
        <v>1425</v>
      </c>
      <c r="AE167" s="13" t="s">
        <v>1476</v>
      </c>
      <c r="AF167" s="13" t="s">
        <v>1427</v>
      </c>
      <c r="AG167" s="41">
        <v>0.46</v>
      </c>
      <c r="AI167" s="13" t="s">
        <v>1954</v>
      </c>
      <c r="AJ167" s="13" t="s">
        <v>1428</v>
      </c>
      <c r="AK167" s="13" t="s">
        <v>1429</v>
      </c>
      <c r="AL167" s="41">
        <v>-10.44</v>
      </c>
      <c r="AM167" s="41">
        <v>-10.61</v>
      </c>
      <c r="AN167" s="41">
        <v>16.8</v>
      </c>
      <c r="AO167" s="41">
        <v>16.97</v>
      </c>
      <c r="AP167" s="13">
        <v>16.100000000000001</v>
      </c>
      <c r="AQ167" s="13" t="s">
        <v>1923</v>
      </c>
      <c r="AR167" s="13" t="s">
        <v>1431</v>
      </c>
      <c r="AS167" s="13" t="s">
        <v>1953</v>
      </c>
      <c r="AT167" s="13" t="s">
        <v>1425</v>
      </c>
      <c r="AU167" s="13" t="s">
        <v>1432</v>
      </c>
      <c r="AV167" s="39">
        <v>45279</v>
      </c>
      <c r="AW167" s="13" t="s">
        <v>1952</v>
      </c>
      <c r="AY167" s="41">
        <v>-10.53</v>
      </c>
      <c r="AZ167" s="41"/>
      <c r="BA167" s="41"/>
      <c r="BB167" s="41"/>
    </row>
    <row r="168" spans="1:116">
      <c r="A168" s="14">
        <v>156</v>
      </c>
      <c r="B168" s="15" t="str">
        <f>IF(ISBLANK(D[[#This Row],[CLAS_GRONDSOORT]]),"ONWAAR","WAAR")</f>
        <v>WAAR</v>
      </c>
      <c r="C168" s="15" t="str">
        <f>IF(ISBLANK(D[[#This Row],[CLAS_VN_HOOFDNAAM]]),"ONWAAR","WAAR")</f>
        <v>ONWAAR</v>
      </c>
      <c r="D168" s="15" t="str">
        <f>IF(ISBLANK(D[[#This Row],[KV_GRONDSOORT]]),"ONWAAR","WAAR")</f>
        <v>ONWAAR</v>
      </c>
      <c r="E168" s="15" t="str">
        <f>IF(ISBLANK(D[[#This Row],[CPT_QNET]]),"ONWAAR","WAAR")</f>
        <v>ONWAAR</v>
      </c>
      <c r="F168" s="15" t="str">
        <f>IF(ISBLANK(D[[#This Row],[CRS_GRONDSOORT]]),"ONWAAR","WAAR")</f>
        <v>ONWAAR</v>
      </c>
      <c r="G168" s="15" t="str">
        <f>IF(ISBLANK(D[[#This Row],[SD_GRONDSOORT]]),"ONWAAR","WAAR")</f>
        <v>ONWAAR</v>
      </c>
      <c r="H168" s="15" t="str">
        <f>IF(ISBLANK(D[[#This Row],[DSS_GRONDSOORT]]),"ONWAAR","WAAR")</f>
        <v>ONWAAR</v>
      </c>
      <c r="I168" s="15" t="str">
        <f>IF(ISBLANK(D[[#This Row],[TXT_SS_GRONDSOORT]]),"ONWAAR","WAAR")</f>
        <v>ONWAAR</v>
      </c>
      <c r="J168" s="13" t="s">
        <v>1955</v>
      </c>
      <c r="L168" s="13" t="s">
        <v>1418</v>
      </c>
      <c r="M168" s="13" t="s">
        <v>1419</v>
      </c>
      <c r="P168" s="13" t="s">
        <v>1420</v>
      </c>
      <c r="V168" s="41">
        <v>133608.85</v>
      </c>
      <c r="W168" s="41">
        <v>414267.28</v>
      </c>
      <c r="X168" s="41">
        <v>6.36</v>
      </c>
      <c r="Y168" s="13" t="s">
        <v>1920</v>
      </c>
      <c r="Z168" s="13" t="s">
        <v>1422</v>
      </c>
      <c r="AA168" s="39">
        <v>45182</v>
      </c>
      <c r="AB168" s="13" t="s">
        <v>1921</v>
      </c>
      <c r="AC168" s="13" t="s">
        <v>1922</v>
      </c>
      <c r="AD168" s="13" t="s">
        <v>1425</v>
      </c>
      <c r="AE168" s="13" t="s">
        <v>1476</v>
      </c>
      <c r="AF168" s="13" t="s">
        <v>1427</v>
      </c>
      <c r="AG168" s="41">
        <v>0.46</v>
      </c>
      <c r="AI168" s="13" t="s">
        <v>1956</v>
      </c>
      <c r="AJ168" s="13" t="s">
        <v>1428</v>
      </c>
      <c r="AK168" s="13" t="s">
        <v>1429</v>
      </c>
      <c r="AL168" s="41">
        <v>-10.61</v>
      </c>
      <c r="AM168" s="41">
        <v>-10.78</v>
      </c>
      <c r="AN168" s="41">
        <v>16.97</v>
      </c>
      <c r="AO168" s="41">
        <v>17.14</v>
      </c>
      <c r="AQ168" s="13" t="s">
        <v>1923</v>
      </c>
      <c r="AR168" s="13" t="s">
        <v>1431</v>
      </c>
      <c r="AS168" s="13" t="s">
        <v>1955</v>
      </c>
      <c r="AT168" s="13" t="s">
        <v>1425</v>
      </c>
      <c r="AU168" s="13" t="s">
        <v>1432</v>
      </c>
      <c r="AV168" s="39">
        <v>45279</v>
      </c>
      <c r="AW168" s="13" t="s">
        <v>1957</v>
      </c>
      <c r="AY168" s="41">
        <v>-10.7</v>
      </c>
      <c r="AZ168" s="41"/>
      <c r="BA168" s="41"/>
      <c r="BB168" s="41"/>
    </row>
    <row r="169" spans="1:116">
      <c r="A169" s="14">
        <v>157</v>
      </c>
      <c r="B169" s="15" t="str">
        <f>IF(ISBLANK(D[[#This Row],[CLAS_GRONDSOORT]]),"ONWAAR","WAAR")</f>
        <v>WAAR</v>
      </c>
      <c r="C169" s="15" t="str">
        <f>IF(ISBLANK(D[[#This Row],[CLAS_VN_HOOFDNAAM]]),"ONWAAR","WAAR")</f>
        <v>ONWAAR</v>
      </c>
      <c r="D169" s="15" t="str">
        <f>IF(ISBLANK(D[[#This Row],[KV_GRONDSOORT]]),"ONWAAR","WAAR")</f>
        <v>ONWAAR</v>
      </c>
      <c r="E169" s="15" t="str">
        <f>IF(ISBLANK(D[[#This Row],[CPT_QNET]]),"ONWAAR","WAAR")</f>
        <v>ONWAAR</v>
      </c>
      <c r="F169" s="15" t="str">
        <f>IF(ISBLANK(D[[#This Row],[CRS_GRONDSOORT]]),"ONWAAR","WAAR")</f>
        <v>ONWAAR</v>
      </c>
      <c r="G169" s="15" t="str">
        <f>IF(ISBLANK(D[[#This Row],[SD_GRONDSOORT]]),"ONWAAR","WAAR")</f>
        <v>ONWAAR</v>
      </c>
      <c r="H169" s="15" t="str">
        <f>IF(ISBLANK(D[[#This Row],[DSS_GRONDSOORT]]),"ONWAAR","WAAR")</f>
        <v>ONWAAR</v>
      </c>
      <c r="I169" s="15" t="str">
        <f>IF(ISBLANK(D[[#This Row],[TXT_SS_GRONDSOORT]]),"ONWAAR","WAAR")</f>
        <v>ONWAAR</v>
      </c>
      <c r="J169" s="13" t="s">
        <v>1958</v>
      </c>
      <c r="L169" s="13" t="s">
        <v>1418</v>
      </c>
      <c r="M169" s="13" t="s">
        <v>1419</v>
      </c>
      <c r="P169" s="13" t="s">
        <v>1420</v>
      </c>
      <c r="V169" s="41">
        <v>133561.10999999999</v>
      </c>
      <c r="W169" s="41">
        <v>414172.8</v>
      </c>
      <c r="X169" s="41">
        <v>1.39</v>
      </c>
      <c r="Y169" s="13" t="s">
        <v>1959</v>
      </c>
      <c r="Z169" s="13" t="s">
        <v>1737</v>
      </c>
      <c r="AA169" s="39">
        <v>45155</v>
      </c>
      <c r="AB169" s="13" t="s">
        <v>1960</v>
      </c>
      <c r="AC169" s="13" t="s">
        <v>1961</v>
      </c>
      <c r="AD169" s="13" t="s">
        <v>1425</v>
      </c>
      <c r="AE169" s="13" t="s">
        <v>1962</v>
      </c>
      <c r="AF169" s="13" t="s">
        <v>1427</v>
      </c>
      <c r="AG169" s="41">
        <v>-0.41</v>
      </c>
      <c r="AI169" s="13">
        <v>1</v>
      </c>
      <c r="AJ169" s="13" t="s">
        <v>1963</v>
      </c>
      <c r="AK169" s="13" t="s">
        <v>1429</v>
      </c>
      <c r="AL169" s="41">
        <v>0.89</v>
      </c>
      <c r="AM169" s="41">
        <v>0.69</v>
      </c>
      <c r="AN169" s="41">
        <v>0.5</v>
      </c>
      <c r="AO169" s="41">
        <v>0.7</v>
      </c>
      <c r="AQ169" s="13" t="s">
        <v>1964</v>
      </c>
      <c r="AR169" s="13" t="s">
        <v>1431</v>
      </c>
      <c r="AS169" s="13" t="s">
        <v>1958</v>
      </c>
      <c r="AT169" s="13" t="s">
        <v>1425</v>
      </c>
      <c r="AU169" s="13" t="s">
        <v>1432</v>
      </c>
      <c r="AV169" s="39">
        <v>45279</v>
      </c>
      <c r="AW169" s="13" t="s">
        <v>1965</v>
      </c>
      <c r="AY169" s="41">
        <v>0.82</v>
      </c>
      <c r="AZ169" s="41">
        <v>18.7</v>
      </c>
      <c r="BA169" s="41">
        <v>15.9</v>
      </c>
      <c r="BB169" s="41">
        <v>17.7</v>
      </c>
    </row>
    <row r="170" spans="1:116">
      <c r="A170" s="14">
        <v>158</v>
      </c>
      <c r="B170" s="15" t="str">
        <f>IF(ISBLANK(D[[#This Row],[CLAS_GRONDSOORT]]),"ONWAAR","WAAR")</f>
        <v>ONWAAR</v>
      </c>
      <c r="C170" s="15" t="str">
        <f>IF(ISBLANK(D[[#This Row],[CLAS_VN_HOOFDNAAM]]),"ONWAAR","WAAR")</f>
        <v>ONWAAR</v>
      </c>
      <c r="D170" s="15" t="str">
        <f>IF(ISBLANK(D[[#This Row],[KV_GRONDSOORT]]),"ONWAAR","WAAR")</f>
        <v>WAAR</v>
      </c>
      <c r="E170" s="15" t="str">
        <f>IF(ISBLANK(D[[#This Row],[CPT_QNET]]),"ONWAAR","WAAR")</f>
        <v>ONWAAR</v>
      </c>
      <c r="F170" s="15" t="str">
        <f>IF(ISBLANK(D[[#This Row],[CRS_GRONDSOORT]]),"ONWAAR","WAAR")</f>
        <v>ONWAAR</v>
      </c>
      <c r="G170" s="15" t="str">
        <f>IF(ISBLANK(D[[#This Row],[SD_GRONDSOORT]]),"ONWAAR","WAAR")</f>
        <v>ONWAAR</v>
      </c>
      <c r="H170" s="15" t="str">
        <f>IF(ISBLANK(D[[#This Row],[DSS_GRONDSOORT]]),"ONWAAR","WAAR")</f>
        <v>ONWAAR</v>
      </c>
      <c r="I170" s="15" t="str">
        <f>IF(ISBLANK(D[[#This Row],[TXT_SS_GRONDSOORT]]),"ONWAAR","WAAR")</f>
        <v>ONWAAR</v>
      </c>
      <c r="J170" s="13" t="s">
        <v>1966</v>
      </c>
      <c r="L170" s="13" t="s">
        <v>1418</v>
      </c>
      <c r="M170" s="13" t="s">
        <v>1419</v>
      </c>
      <c r="P170" s="13" t="s">
        <v>1420</v>
      </c>
      <c r="V170" s="41">
        <v>133561.10999999999</v>
      </c>
      <c r="W170" s="41">
        <v>414172.8</v>
      </c>
      <c r="X170" s="41">
        <v>1.39</v>
      </c>
      <c r="Y170" s="13" t="s">
        <v>1959</v>
      </c>
      <c r="Z170" s="13" t="s">
        <v>1737</v>
      </c>
      <c r="AA170" s="39">
        <v>45155</v>
      </c>
      <c r="AB170" s="13" t="s">
        <v>1960</v>
      </c>
      <c r="AC170" s="13" t="s">
        <v>1961</v>
      </c>
      <c r="AD170" s="13" t="s">
        <v>1425</v>
      </c>
      <c r="AE170" s="13" t="s">
        <v>1962</v>
      </c>
      <c r="AF170" s="13" t="s">
        <v>1427</v>
      </c>
      <c r="AG170" s="41">
        <v>-0.41</v>
      </c>
      <c r="AI170" s="13">
        <v>105</v>
      </c>
      <c r="AJ170" s="13" t="s">
        <v>1646</v>
      </c>
      <c r="AK170" s="13" t="s">
        <v>1647</v>
      </c>
      <c r="AL170" s="41">
        <v>-1.1100000000000001</v>
      </c>
      <c r="AM170" s="41">
        <v>-1.81</v>
      </c>
      <c r="AN170" s="41">
        <v>2.5</v>
      </c>
      <c r="AO170" s="41">
        <v>3.2</v>
      </c>
      <c r="AY170" s="41"/>
      <c r="AZ170" s="41"/>
      <c r="BA170" s="41"/>
      <c r="BB170" s="41"/>
      <c r="CE170" s="13" t="s">
        <v>1967</v>
      </c>
      <c r="CF170" s="13" t="s">
        <v>1431</v>
      </c>
      <c r="CG170" s="13" t="s">
        <v>1966</v>
      </c>
      <c r="CH170" s="13" t="s">
        <v>1425</v>
      </c>
      <c r="CI170" s="13" t="s">
        <v>1524</v>
      </c>
      <c r="CJ170" s="39">
        <v>45212</v>
      </c>
      <c r="CK170" s="13" t="s">
        <v>1525</v>
      </c>
      <c r="CM170" s="13">
        <v>400</v>
      </c>
      <c r="CN170" s="13">
        <v>376</v>
      </c>
      <c r="CO170" s="41">
        <v>0.01</v>
      </c>
      <c r="CP170" s="41">
        <v>92.52</v>
      </c>
      <c r="CQ170" s="41">
        <v>4.7699999999999996</v>
      </c>
      <c r="CR170" s="41">
        <v>100</v>
      </c>
      <c r="CS170" s="41">
        <v>100</v>
      </c>
      <c r="CT170" s="41">
        <v>100</v>
      </c>
      <c r="CU170" s="41">
        <v>100</v>
      </c>
      <c r="CV170" s="41">
        <v>100</v>
      </c>
      <c r="CW170" s="41">
        <v>99.99</v>
      </c>
      <c r="CX170" s="41">
        <v>98.28</v>
      </c>
      <c r="CY170" s="41">
        <v>69.88</v>
      </c>
      <c r="CZ170" s="41">
        <v>32.71</v>
      </c>
      <c r="DA170" s="41">
        <v>22.76</v>
      </c>
      <c r="DB170" s="41">
        <v>12.54</v>
      </c>
      <c r="DC170" s="41">
        <v>7.47</v>
      </c>
      <c r="DD170" s="41">
        <v>4.4000000000000004</v>
      </c>
      <c r="DE170" s="41">
        <v>3.59</v>
      </c>
      <c r="DF170" s="41">
        <v>3.2</v>
      </c>
      <c r="DG170" s="41">
        <v>2.7</v>
      </c>
      <c r="DH170" s="13">
        <v>523</v>
      </c>
      <c r="DI170" s="13">
        <v>457</v>
      </c>
      <c r="DJ170" s="13">
        <v>400</v>
      </c>
      <c r="DK170" s="13">
        <v>148</v>
      </c>
      <c r="DL170" s="13">
        <v>3.1</v>
      </c>
    </row>
    <row r="171" spans="1:116">
      <c r="A171" s="14">
        <v>159</v>
      </c>
      <c r="B171" s="15" t="str">
        <f>IF(ISBLANK(D[[#This Row],[CLAS_GRONDSOORT]]),"ONWAAR","WAAR")</f>
        <v>WAAR</v>
      </c>
      <c r="C171" s="15" t="str">
        <f>IF(ISBLANK(D[[#This Row],[CLAS_VN_HOOFDNAAM]]),"ONWAAR","WAAR")</f>
        <v>ONWAAR</v>
      </c>
      <c r="D171" s="15" t="str">
        <f>IF(ISBLANK(D[[#This Row],[KV_GRONDSOORT]]),"ONWAAR","WAAR")</f>
        <v>ONWAAR</v>
      </c>
      <c r="E171" s="15" t="str">
        <f>IF(ISBLANK(D[[#This Row],[CPT_QNET]]),"ONWAAR","WAAR")</f>
        <v>ONWAAR</v>
      </c>
      <c r="F171" s="15" t="str">
        <f>IF(ISBLANK(D[[#This Row],[CRS_GRONDSOORT]]),"ONWAAR","WAAR")</f>
        <v>ONWAAR</v>
      </c>
      <c r="G171" s="15" t="str">
        <f>IF(ISBLANK(D[[#This Row],[SD_GRONDSOORT]]),"ONWAAR","WAAR")</f>
        <v>ONWAAR</v>
      </c>
      <c r="H171" s="15" t="str">
        <f>IF(ISBLANK(D[[#This Row],[DSS_GRONDSOORT]]),"ONWAAR","WAAR")</f>
        <v>ONWAAR</v>
      </c>
      <c r="I171" s="15" t="str">
        <f>IF(ISBLANK(D[[#This Row],[TXT_SS_GRONDSOORT]]),"ONWAAR","WAAR")</f>
        <v>ONWAAR</v>
      </c>
      <c r="J171" s="13" t="s">
        <v>1968</v>
      </c>
      <c r="L171" s="13" t="s">
        <v>1418</v>
      </c>
      <c r="M171" s="13" t="s">
        <v>1419</v>
      </c>
      <c r="P171" s="13" t="s">
        <v>1420</v>
      </c>
      <c r="V171" s="41">
        <v>133533.85999999999</v>
      </c>
      <c r="W171" s="41">
        <v>414199.08</v>
      </c>
      <c r="X171" s="41">
        <v>4.1399999999999997</v>
      </c>
      <c r="Y171" s="13" t="s">
        <v>1969</v>
      </c>
      <c r="Z171" s="13" t="s">
        <v>1970</v>
      </c>
      <c r="AA171" s="39">
        <v>45152</v>
      </c>
      <c r="AB171" s="13" t="s">
        <v>1971</v>
      </c>
      <c r="AC171" s="13" t="s">
        <v>1972</v>
      </c>
      <c r="AD171" s="13" t="s">
        <v>1425</v>
      </c>
      <c r="AE171" s="13" t="s">
        <v>1973</v>
      </c>
      <c r="AF171" s="13" t="s">
        <v>1427</v>
      </c>
      <c r="AG171" s="41"/>
      <c r="AI171" s="13">
        <v>106</v>
      </c>
      <c r="AJ171" s="13" t="s">
        <v>1963</v>
      </c>
      <c r="AK171" s="13" t="s">
        <v>1429</v>
      </c>
      <c r="AL171" s="41">
        <v>3.64</v>
      </c>
      <c r="AM171" s="41">
        <v>3.44</v>
      </c>
      <c r="AN171" s="41">
        <v>0.5</v>
      </c>
      <c r="AO171" s="41">
        <v>0.7</v>
      </c>
      <c r="AQ171" s="13" t="s">
        <v>1964</v>
      </c>
      <c r="AR171" s="13" t="s">
        <v>1431</v>
      </c>
      <c r="AS171" s="13" t="s">
        <v>1968</v>
      </c>
      <c r="AT171" s="13" t="s">
        <v>1425</v>
      </c>
      <c r="AU171" s="13" t="s">
        <v>1432</v>
      </c>
      <c r="AV171" s="39">
        <v>45279</v>
      </c>
      <c r="AW171" s="13" t="s">
        <v>1965</v>
      </c>
      <c r="AY171" s="41">
        <v>3.54</v>
      </c>
      <c r="AZ171" s="41"/>
      <c r="BA171" s="41"/>
      <c r="BB171" s="41"/>
    </row>
    <row r="172" spans="1:116">
      <c r="A172" s="14">
        <v>160</v>
      </c>
      <c r="B172" s="15" t="str">
        <f>IF(ISBLANK(D[[#This Row],[CLAS_GRONDSOORT]]),"ONWAAR","WAAR")</f>
        <v>WAAR</v>
      </c>
      <c r="C172" s="15" t="str">
        <f>IF(ISBLANK(D[[#This Row],[CLAS_VN_HOOFDNAAM]]),"ONWAAR","WAAR")</f>
        <v>ONWAAR</v>
      </c>
      <c r="D172" s="15" t="str">
        <f>IF(ISBLANK(D[[#This Row],[KV_GRONDSOORT]]),"ONWAAR","WAAR")</f>
        <v>ONWAAR</v>
      </c>
      <c r="E172" s="15" t="str">
        <f>IF(ISBLANK(D[[#This Row],[CPT_QNET]]),"ONWAAR","WAAR")</f>
        <v>ONWAAR</v>
      </c>
      <c r="F172" s="15" t="str">
        <f>IF(ISBLANK(D[[#This Row],[CRS_GRONDSOORT]]),"ONWAAR","WAAR")</f>
        <v>ONWAAR</v>
      </c>
      <c r="G172" s="15" t="str">
        <f>IF(ISBLANK(D[[#This Row],[SD_GRONDSOORT]]),"ONWAAR","WAAR")</f>
        <v>ONWAAR</v>
      </c>
      <c r="H172" s="15" t="str">
        <f>IF(ISBLANK(D[[#This Row],[DSS_GRONDSOORT]]),"ONWAAR","WAAR")</f>
        <v>ONWAAR</v>
      </c>
      <c r="I172" s="15" t="str">
        <f>IF(ISBLANK(D[[#This Row],[TXT_SS_GRONDSOORT]]),"ONWAAR","WAAR")</f>
        <v>ONWAAR</v>
      </c>
      <c r="J172" s="13" t="s">
        <v>1974</v>
      </c>
      <c r="L172" s="13" t="s">
        <v>1418</v>
      </c>
      <c r="M172" s="13" t="s">
        <v>1419</v>
      </c>
      <c r="P172" s="13" t="s">
        <v>1420</v>
      </c>
      <c r="V172" s="41">
        <v>133467.66</v>
      </c>
      <c r="W172" s="41">
        <v>414131.55</v>
      </c>
      <c r="X172" s="41">
        <v>4.22</v>
      </c>
      <c r="Y172" s="13" t="s">
        <v>1975</v>
      </c>
      <c r="Z172" s="13" t="s">
        <v>1970</v>
      </c>
      <c r="AA172" s="39">
        <v>45152</v>
      </c>
      <c r="AB172" s="13" t="s">
        <v>1976</v>
      </c>
      <c r="AC172" s="13" t="s">
        <v>1977</v>
      </c>
      <c r="AD172" s="13" t="s">
        <v>1425</v>
      </c>
      <c r="AE172" s="13" t="s">
        <v>1973</v>
      </c>
      <c r="AF172" s="13" t="s">
        <v>1427</v>
      </c>
      <c r="AG172" s="41">
        <v>1.62</v>
      </c>
      <c r="AH172" s="13">
        <v>1.62</v>
      </c>
      <c r="AI172" s="13">
        <v>107</v>
      </c>
      <c r="AJ172" s="13" t="s">
        <v>1963</v>
      </c>
      <c r="AK172" s="13" t="s">
        <v>1429</v>
      </c>
      <c r="AL172" s="41">
        <v>3.72</v>
      </c>
      <c r="AM172" s="41">
        <v>3.52</v>
      </c>
      <c r="AN172" s="41">
        <v>0.5</v>
      </c>
      <c r="AO172" s="41">
        <v>0.7</v>
      </c>
      <c r="AQ172" s="13" t="s">
        <v>1964</v>
      </c>
      <c r="AR172" s="13" t="s">
        <v>1431</v>
      </c>
      <c r="AS172" s="13" t="s">
        <v>1974</v>
      </c>
      <c r="AT172" s="13" t="s">
        <v>1425</v>
      </c>
      <c r="AU172" s="13" t="s">
        <v>1432</v>
      </c>
      <c r="AV172" s="39">
        <v>45279</v>
      </c>
      <c r="AW172" s="13" t="s">
        <v>1978</v>
      </c>
      <c r="AY172" s="41">
        <v>3.64</v>
      </c>
      <c r="AZ172" s="41">
        <v>16.7</v>
      </c>
      <c r="BA172" s="41">
        <v>13.6</v>
      </c>
      <c r="BB172" s="41">
        <v>22.6</v>
      </c>
    </row>
    <row r="173" spans="1:116">
      <c r="A173" s="14">
        <v>161</v>
      </c>
      <c r="B173" s="15" t="str">
        <f>IF(ISBLANK(D[[#This Row],[CLAS_GRONDSOORT]]),"ONWAAR","WAAR")</f>
        <v>WAAR</v>
      </c>
      <c r="C173" s="15" t="str">
        <f>IF(ISBLANK(D[[#This Row],[CLAS_VN_HOOFDNAAM]]),"ONWAAR","WAAR")</f>
        <v>ONWAAR</v>
      </c>
      <c r="D173" s="15" t="str">
        <f>IF(ISBLANK(D[[#This Row],[KV_GRONDSOORT]]),"ONWAAR","WAAR")</f>
        <v>ONWAAR</v>
      </c>
      <c r="E173" s="15" t="str">
        <f>IF(ISBLANK(D[[#This Row],[CPT_QNET]]),"ONWAAR","WAAR")</f>
        <v>ONWAAR</v>
      </c>
      <c r="F173" s="15" t="str">
        <f>IF(ISBLANK(D[[#This Row],[CRS_GRONDSOORT]]),"ONWAAR","WAAR")</f>
        <v>ONWAAR</v>
      </c>
      <c r="G173" s="15" t="str">
        <f>IF(ISBLANK(D[[#This Row],[SD_GRONDSOORT]]),"ONWAAR","WAAR")</f>
        <v>ONWAAR</v>
      </c>
      <c r="H173" s="15" t="str">
        <f>IF(ISBLANK(D[[#This Row],[DSS_GRONDSOORT]]),"ONWAAR","WAAR")</f>
        <v>ONWAAR</v>
      </c>
      <c r="I173" s="15" t="str">
        <f>IF(ISBLANK(D[[#This Row],[TXT_SS_GRONDSOORT]]),"ONWAAR","WAAR")</f>
        <v>ONWAAR</v>
      </c>
      <c r="J173" s="13" t="s">
        <v>1979</v>
      </c>
      <c r="L173" s="13" t="s">
        <v>1418</v>
      </c>
      <c r="M173" s="13" t="s">
        <v>1419</v>
      </c>
      <c r="P173" s="13" t="s">
        <v>1420</v>
      </c>
      <c r="V173" s="41">
        <v>133489.32</v>
      </c>
      <c r="W173" s="41">
        <v>414105.31</v>
      </c>
      <c r="X173" s="41">
        <v>1.51</v>
      </c>
      <c r="Y173" s="13" t="s">
        <v>1980</v>
      </c>
      <c r="Z173" s="13" t="s">
        <v>1737</v>
      </c>
      <c r="AA173" s="39">
        <v>45153</v>
      </c>
      <c r="AB173" s="13" t="s">
        <v>1981</v>
      </c>
      <c r="AC173" s="13" t="s">
        <v>1982</v>
      </c>
      <c r="AD173" s="13" t="s">
        <v>1425</v>
      </c>
      <c r="AE173" s="13" t="s">
        <v>1962</v>
      </c>
      <c r="AF173" s="13" t="s">
        <v>1427</v>
      </c>
      <c r="AG173" s="41">
        <v>0.31</v>
      </c>
      <c r="AH173" s="13">
        <v>-1.49</v>
      </c>
      <c r="AI173" s="13">
        <v>1</v>
      </c>
      <c r="AJ173" s="13" t="s">
        <v>1963</v>
      </c>
      <c r="AK173" s="13" t="s">
        <v>1429</v>
      </c>
      <c r="AL173" s="41">
        <v>1.01</v>
      </c>
      <c r="AM173" s="41">
        <v>0.81</v>
      </c>
      <c r="AN173" s="41">
        <v>0.5</v>
      </c>
      <c r="AO173" s="41">
        <v>0.7</v>
      </c>
      <c r="AQ173" s="13" t="s">
        <v>1964</v>
      </c>
      <c r="AR173" s="13" t="s">
        <v>1431</v>
      </c>
      <c r="AS173" s="13" t="s">
        <v>1979</v>
      </c>
      <c r="AT173" s="13" t="s">
        <v>1425</v>
      </c>
      <c r="AU173" s="13" t="s">
        <v>1432</v>
      </c>
      <c r="AV173" s="39">
        <v>45279</v>
      </c>
      <c r="AW173" s="13" t="s">
        <v>1983</v>
      </c>
      <c r="AY173" s="41">
        <v>1</v>
      </c>
      <c r="AZ173" s="41">
        <v>19.100000000000001</v>
      </c>
      <c r="BA173" s="41">
        <v>16.5</v>
      </c>
      <c r="BB173" s="41">
        <v>15.8</v>
      </c>
    </row>
    <row r="174" spans="1:116">
      <c r="A174" s="14">
        <v>162</v>
      </c>
      <c r="B174" s="15" t="str">
        <f>IF(ISBLANK(D[[#This Row],[CLAS_GRONDSOORT]]),"ONWAAR","WAAR")</f>
        <v>ONWAAR</v>
      </c>
      <c r="C174" s="15" t="str">
        <f>IF(ISBLANK(D[[#This Row],[CLAS_VN_HOOFDNAAM]]),"ONWAAR","WAAR")</f>
        <v>ONWAAR</v>
      </c>
      <c r="D174" s="15" t="str">
        <f>IF(ISBLANK(D[[#This Row],[KV_GRONDSOORT]]),"ONWAAR","WAAR")</f>
        <v>WAAR</v>
      </c>
      <c r="E174" s="15" t="str">
        <f>IF(ISBLANK(D[[#This Row],[CPT_QNET]]),"ONWAAR","WAAR")</f>
        <v>ONWAAR</v>
      </c>
      <c r="F174" s="15" t="str">
        <f>IF(ISBLANK(D[[#This Row],[CRS_GRONDSOORT]]),"ONWAAR","WAAR")</f>
        <v>ONWAAR</v>
      </c>
      <c r="G174" s="15" t="str">
        <f>IF(ISBLANK(D[[#This Row],[SD_GRONDSOORT]]),"ONWAAR","WAAR")</f>
        <v>ONWAAR</v>
      </c>
      <c r="H174" s="15" t="str">
        <f>IF(ISBLANK(D[[#This Row],[DSS_GRONDSOORT]]),"ONWAAR","WAAR")</f>
        <v>ONWAAR</v>
      </c>
      <c r="I174" s="15" t="str">
        <f>IF(ISBLANK(D[[#This Row],[TXT_SS_GRONDSOORT]]),"ONWAAR","WAAR")</f>
        <v>ONWAAR</v>
      </c>
      <c r="J174" s="13" t="s">
        <v>1984</v>
      </c>
      <c r="L174" s="13" t="s">
        <v>1418</v>
      </c>
      <c r="M174" s="13" t="s">
        <v>1419</v>
      </c>
      <c r="P174" s="13" t="s">
        <v>1420</v>
      </c>
      <c r="V174" s="41">
        <v>133489.32</v>
      </c>
      <c r="W174" s="41">
        <v>414105.31</v>
      </c>
      <c r="X174" s="41">
        <v>1.51</v>
      </c>
      <c r="Y174" s="13" t="s">
        <v>1980</v>
      </c>
      <c r="Z174" s="13" t="s">
        <v>1737</v>
      </c>
      <c r="AA174" s="39">
        <v>45153</v>
      </c>
      <c r="AB174" s="13" t="s">
        <v>1981</v>
      </c>
      <c r="AC174" s="13" t="s">
        <v>1982</v>
      </c>
      <c r="AD174" s="13" t="s">
        <v>1425</v>
      </c>
      <c r="AE174" s="13" t="s">
        <v>1962</v>
      </c>
      <c r="AF174" s="13" t="s">
        <v>1427</v>
      </c>
      <c r="AG174" s="41">
        <v>0.31</v>
      </c>
      <c r="AH174" s="13">
        <v>-1.49</v>
      </c>
      <c r="AI174" s="13">
        <v>104</v>
      </c>
      <c r="AJ174" s="13" t="s">
        <v>1646</v>
      </c>
      <c r="AK174" s="13" t="s">
        <v>1647</v>
      </c>
      <c r="AL174" s="41">
        <v>0.41</v>
      </c>
      <c r="AM174" s="41">
        <v>-0.49</v>
      </c>
      <c r="AN174" s="41">
        <v>1.1000000000000001</v>
      </c>
      <c r="AO174" s="41">
        <v>2</v>
      </c>
      <c r="AY174" s="41"/>
      <c r="AZ174" s="41"/>
      <c r="BA174" s="41"/>
      <c r="BB174" s="41"/>
      <c r="CE174" s="13" t="s">
        <v>1985</v>
      </c>
      <c r="CF174" s="13" t="s">
        <v>1431</v>
      </c>
      <c r="CG174" s="13" t="s">
        <v>1984</v>
      </c>
      <c r="CH174" s="13" t="s">
        <v>1425</v>
      </c>
      <c r="CI174" s="13" t="s">
        <v>1524</v>
      </c>
      <c r="CJ174" s="39">
        <v>45212</v>
      </c>
      <c r="CK174" s="13" t="s">
        <v>1986</v>
      </c>
      <c r="CM174" s="13">
        <v>172</v>
      </c>
      <c r="CN174" s="13">
        <v>170</v>
      </c>
      <c r="CO174" s="41">
        <v>0</v>
      </c>
      <c r="CP174" s="41">
        <v>95.84</v>
      </c>
      <c r="CQ174" s="41">
        <v>2.66</v>
      </c>
      <c r="CR174" s="41">
        <v>100</v>
      </c>
      <c r="CS174" s="41">
        <v>100</v>
      </c>
      <c r="CT174" s="41">
        <v>100</v>
      </c>
      <c r="CU174" s="41">
        <v>100</v>
      </c>
      <c r="CV174" s="41">
        <v>100</v>
      </c>
      <c r="CW174" s="41">
        <v>100</v>
      </c>
      <c r="CX174" s="41">
        <v>99.71</v>
      </c>
      <c r="CY174" s="41">
        <v>99.04</v>
      </c>
      <c r="CZ174" s="41">
        <v>94.44</v>
      </c>
      <c r="DA174" s="41">
        <v>58.65</v>
      </c>
      <c r="DB174" s="41">
        <v>12.8</v>
      </c>
      <c r="DC174" s="41">
        <v>4.16</v>
      </c>
      <c r="DD174" s="41">
        <v>2.1</v>
      </c>
      <c r="DE174" s="41">
        <v>1.9</v>
      </c>
      <c r="DF174" s="41">
        <v>1.8</v>
      </c>
      <c r="DG174" s="41">
        <v>1.5</v>
      </c>
      <c r="DH174" s="13">
        <v>205</v>
      </c>
      <c r="DI174" s="13">
        <v>186</v>
      </c>
      <c r="DJ174" s="13">
        <v>172</v>
      </c>
      <c r="DK174" s="13">
        <v>126</v>
      </c>
      <c r="DL174" s="13">
        <v>1.47</v>
      </c>
    </row>
    <row r="175" spans="1:116">
      <c r="A175" s="14">
        <v>163</v>
      </c>
      <c r="B175" s="15" t="str">
        <f>IF(ISBLANK(D[[#This Row],[CLAS_GRONDSOORT]]),"ONWAAR","WAAR")</f>
        <v>WAAR</v>
      </c>
      <c r="C175" s="15" t="str">
        <f>IF(ISBLANK(D[[#This Row],[CLAS_VN_HOOFDNAAM]]),"ONWAAR","WAAR")</f>
        <v>ONWAAR</v>
      </c>
      <c r="D175" s="15" t="str">
        <f>IF(ISBLANK(D[[#This Row],[KV_GRONDSOORT]]),"ONWAAR","WAAR")</f>
        <v>ONWAAR</v>
      </c>
      <c r="E175" s="15" t="str">
        <f>IF(ISBLANK(D[[#This Row],[CPT_QNET]]),"ONWAAR","WAAR")</f>
        <v>ONWAAR</v>
      </c>
      <c r="F175" s="15" t="str">
        <f>IF(ISBLANK(D[[#This Row],[CRS_GRONDSOORT]]),"ONWAAR","WAAR")</f>
        <v>ONWAAR</v>
      </c>
      <c r="G175" s="15" t="str">
        <f>IF(ISBLANK(D[[#This Row],[SD_GRONDSOORT]]),"ONWAAR","WAAR")</f>
        <v>ONWAAR</v>
      </c>
      <c r="H175" s="15" t="str">
        <f>IF(ISBLANK(D[[#This Row],[DSS_GRONDSOORT]]),"ONWAAR","WAAR")</f>
        <v>ONWAAR</v>
      </c>
      <c r="I175" s="15" t="str">
        <f>IF(ISBLANK(D[[#This Row],[TXT_SS_GRONDSOORT]]),"ONWAAR","WAAR")</f>
        <v>ONWAAR</v>
      </c>
      <c r="J175" s="13" t="s">
        <v>1987</v>
      </c>
      <c r="L175" s="13" t="s">
        <v>1418</v>
      </c>
      <c r="M175" s="13" t="s">
        <v>1419</v>
      </c>
      <c r="P175" s="13" t="s">
        <v>1420</v>
      </c>
      <c r="V175" s="41">
        <v>133417.21</v>
      </c>
      <c r="W175" s="41">
        <v>414039.18</v>
      </c>
      <c r="X175" s="41">
        <v>1</v>
      </c>
      <c r="Y175" s="13" t="s">
        <v>1988</v>
      </c>
      <c r="Z175" s="13" t="s">
        <v>1737</v>
      </c>
      <c r="AA175" s="39">
        <v>45152</v>
      </c>
      <c r="AB175" s="13" t="s">
        <v>1989</v>
      </c>
      <c r="AC175" s="13" t="s">
        <v>1990</v>
      </c>
      <c r="AD175" s="13" t="s">
        <v>1425</v>
      </c>
      <c r="AE175" s="13" t="s">
        <v>1973</v>
      </c>
      <c r="AF175" s="13" t="s">
        <v>1427</v>
      </c>
      <c r="AG175" s="41">
        <v>-0.3</v>
      </c>
      <c r="AH175" s="13">
        <v>-0.4</v>
      </c>
      <c r="AI175" s="13">
        <v>109</v>
      </c>
      <c r="AJ175" s="13" t="s">
        <v>1963</v>
      </c>
      <c r="AK175" s="13" t="s">
        <v>1429</v>
      </c>
      <c r="AL175" s="41">
        <v>0.5</v>
      </c>
      <c r="AM175" s="41">
        <v>0.3</v>
      </c>
      <c r="AN175" s="41">
        <v>0.5</v>
      </c>
      <c r="AO175" s="41">
        <v>0.7</v>
      </c>
      <c r="AQ175" s="13" t="s">
        <v>1964</v>
      </c>
      <c r="AR175" s="13" t="s">
        <v>1431</v>
      </c>
      <c r="AS175" s="13" t="s">
        <v>1987</v>
      </c>
      <c r="AT175" s="13" t="s">
        <v>1425</v>
      </c>
      <c r="AU175" s="13" t="s">
        <v>1432</v>
      </c>
      <c r="AV175" s="39">
        <v>45279</v>
      </c>
      <c r="AW175" s="13" t="s">
        <v>1991</v>
      </c>
      <c r="AY175" s="41">
        <v>0.41</v>
      </c>
      <c r="AZ175" s="41">
        <v>18.8</v>
      </c>
      <c r="BA175" s="41">
        <v>15.9</v>
      </c>
      <c r="BB175" s="41">
        <v>18.100000000000001</v>
      </c>
    </row>
    <row r="176" spans="1:116">
      <c r="A176" s="14">
        <v>164</v>
      </c>
      <c r="B176" s="15" t="str">
        <f>IF(ISBLANK(D[[#This Row],[CLAS_GRONDSOORT]]),"ONWAAR","WAAR")</f>
        <v>ONWAAR</v>
      </c>
      <c r="C176" s="15" t="str">
        <f>IF(ISBLANK(D[[#This Row],[CLAS_VN_HOOFDNAAM]]),"ONWAAR","WAAR")</f>
        <v>ONWAAR</v>
      </c>
      <c r="D176" s="15" t="str">
        <f>IF(ISBLANK(D[[#This Row],[KV_GRONDSOORT]]),"ONWAAR","WAAR")</f>
        <v>WAAR</v>
      </c>
      <c r="E176" s="15" t="str">
        <f>IF(ISBLANK(D[[#This Row],[CPT_QNET]]),"ONWAAR","WAAR")</f>
        <v>ONWAAR</v>
      </c>
      <c r="F176" s="15" t="str">
        <f>IF(ISBLANK(D[[#This Row],[CRS_GRONDSOORT]]),"ONWAAR","WAAR")</f>
        <v>ONWAAR</v>
      </c>
      <c r="G176" s="15" t="str">
        <f>IF(ISBLANK(D[[#This Row],[SD_GRONDSOORT]]),"ONWAAR","WAAR")</f>
        <v>ONWAAR</v>
      </c>
      <c r="H176" s="15" t="str">
        <f>IF(ISBLANK(D[[#This Row],[DSS_GRONDSOORT]]),"ONWAAR","WAAR")</f>
        <v>ONWAAR</v>
      </c>
      <c r="I176" s="15" t="str">
        <f>IF(ISBLANK(D[[#This Row],[TXT_SS_GRONDSOORT]]),"ONWAAR","WAAR")</f>
        <v>ONWAAR</v>
      </c>
      <c r="J176" s="13" t="s">
        <v>1992</v>
      </c>
      <c r="L176" s="13" t="s">
        <v>1418</v>
      </c>
      <c r="M176" s="13" t="s">
        <v>1419</v>
      </c>
      <c r="P176" s="13" t="s">
        <v>1420</v>
      </c>
      <c r="V176" s="41">
        <v>133417.21</v>
      </c>
      <c r="W176" s="41">
        <v>414039.18</v>
      </c>
      <c r="X176" s="41">
        <v>1</v>
      </c>
      <c r="Y176" s="13" t="s">
        <v>1988</v>
      </c>
      <c r="Z176" s="13" t="s">
        <v>1737</v>
      </c>
      <c r="AA176" s="39">
        <v>45152</v>
      </c>
      <c r="AB176" s="13" t="s">
        <v>1989</v>
      </c>
      <c r="AC176" s="13" t="s">
        <v>1990</v>
      </c>
      <c r="AD176" s="13" t="s">
        <v>1425</v>
      </c>
      <c r="AE176" s="13" t="s">
        <v>1973</v>
      </c>
      <c r="AF176" s="13" t="s">
        <v>1427</v>
      </c>
      <c r="AG176" s="41">
        <v>-0.3</v>
      </c>
      <c r="AH176" s="13">
        <v>-0.4</v>
      </c>
      <c r="AI176" s="13">
        <v>105</v>
      </c>
      <c r="AJ176" s="13" t="s">
        <v>1646</v>
      </c>
      <c r="AK176" s="13" t="s">
        <v>1647</v>
      </c>
      <c r="AL176" s="41">
        <v>-0.2</v>
      </c>
      <c r="AM176" s="41">
        <v>-1</v>
      </c>
      <c r="AN176" s="41">
        <v>1.2</v>
      </c>
      <c r="AO176" s="41">
        <v>2</v>
      </c>
      <c r="AY176" s="41"/>
      <c r="AZ176" s="41"/>
      <c r="BA176" s="41"/>
      <c r="BB176" s="41"/>
      <c r="CE176" s="13" t="s">
        <v>1993</v>
      </c>
      <c r="CF176" s="13" t="s">
        <v>1431</v>
      </c>
      <c r="CG176" s="13" t="s">
        <v>1992</v>
      </c>
      <c r="CH176" s="13" t="s">
        <v>1425</v>
      </c>
      <c r="CI176" s="13" t="s">
        <v>1524</v>
      </c>
      <c r="CJ176" s="39">
        <v>45212</v>
      </c>
      <c r="CK176" s="13" t="s">
        <v>1994</v>
      </c>
      <c r="CM176" s="13">
        <v>203</v>
      </c>
      <c r="CN176" s="13">
        <v>194</v>
      </c>
      <c r="CO176" s="41">
        <v>0.08</v>
      </c>
      <c r="CP176" s="41">
        <v>88.05</v>
      </c>
      <c r="CQ176" s="41">
        <v>4.0599999999999996</v>
      </c>
      <c r="CR176" s="41">
        <v>100</v>
      </c>
      <c r="CS176" s="41">
        <v>100</v>
      </c>
      <c r="CT176" s="41">
        <v>100</v>
      </c>
      <c r="CU176" s="41">
        <v>100</v>
      </c>
      <c r="CV176" s="41">
        <v>99.99</v>
      </c>
      <c r="CW176" s="41">
        <v>99.92</v>
      </c>
      <c r="CX176" s="41">
        <v>99.32</v>
      </c>
      <c r="CY176" s="41">
        <v>98.22</v>
      </c>
      <c r="CZ176" s="41">
        <v>86.19</v>
      </c>
      <c r="DA176" s="41">
        <v>40.93</v>
      </c>
      <c r="DB176" s="41">
        <v>16.27</v>
      </c>
      <c r="DC176" s="41">
        <v>11.86</v>
      </c>
      <c r="DD176" s="41">
        <v>11.2</v>
      </c>
      <c r="DE176" s="41">
        <v>11.06</v>
      </c>
      <c r="DF176" s="41">
        <v>11</v>
      </c>
      <c r="DG176" s="41">
        <v>7.8</v>
      </c>
      <c r="DH176" s="13">
        <v>230</v>
      </c>
      <c r="DI176" s="13">
        <v>217</v>
      </c>
      <c r="DJ176" s="13">
        <v>203</v>
      </c>
      <c r="DK176" s="13">
        <v>135</v>
      </c>
      <c r="DL176" s="13">
        <v>1.61</v>
      </c>
    </row>
    <row r="177" spans="1:116">
      <c r="A177" s="14">
        <v>165</v>
      </c>
      <c r="B177" s="15" t="str">
        <f>IF(ISBLANK(D[[#This Row],[CLAS_GRONDSOORT]]),"ONWAAR","WAAR")</f>
        <v>WAAR</v>
      </c>
      <c r="C177" s="15" t="str">
        <f>IF(ISBLANK(D[[#This Row],[CLAS_VN_HOOFDNAAM]]),"ONWAAR","WAAR")</f>
        <v>ONWAAR</v>
      </c>
      <c r="D177" s="15" t="str">
        <f>IF(ISBLANK(D[[#This Row],[KV_GRONDSOORT]]),"ONWAAR","WAAR")</f>
        <v>ONWAAR</v>
      </c>
      <c r="E177" s="15" t="str">
        <f>IF(ISBLANK(D[[#This Row],[CPT_QNET]]),"ONWAAR","WAAR")</f>
        <v>ONWAAR</v>
      </c>
      <c r="F177" s="15" t="str">
        <f>IF(ISBLANK(D[[#This Row],[CRS_GRONDSOORT]]),"ONWAAR","WAAR")</f>
        <v>ONWAAR</v>
      </c>
      <c r="G177" s="15" t="str">
        <f>IF(ISBLANK(D[[#This Row],[SD_GRONDSOORT]]),"ONWAAR","WAAR")</f>
        <v>ONWAAR</v>
      </c>
      <c r="H177" s="15" t="str">
        <f>IF(ISBLANK(D[[#This Row],[DSS_GRONDSOORT]]),"ONWAAR","WAAR")</f>
        <v>ONWAAR</v>
      </c>
      <c r="I177" s="15" t="str">
        <f>IF(ISBLANK(D[[#This Row],[TXT_SS_GRONDSOORT]]),"ONWAAR","WAAR")</f>
        <v>ONWAAR</v>
      </c>
      <c r="J177" s="13" t="s">
        <v>1995</v>
      </c>
      <c r="L177" s="13" t="s">
        <v>1418</v>
      </c>
      <c r="M177" s="13" t="s">
        <v>1419</v>
      </c>
      <c r="P177" s="13" t="s">
        <v>1420</v>
      </c>
      <c r="V177" s="41">
        <v>133323.01999999999</v>
      </c>
      <c r="W177" s="41">
        <v>413997.1</v>
      </c>
      <c r="X177" s="41">
        <v>3.51</v>
      </c>
      <c r="Y177" s="13" t="s">
        <v>1996</v>
      </c>
      <c r="Z177" s="13" t="s">
        <v>1970</v>
      </c>
      <c r="AA177" s="39">
        <v>45152</v>
      </c>
      <c r="AB177" s="13" t="s">
        <v>1997</v>
      </c>
      <c r="AC177" s="13" t="s">
        <v>1998</v>
      </c>
      <c r="AD177" s="13" t="s">
        <v>1425</v>
      </c>
      <c r="AE177" s="13" t="s">
        <v>1973</v>
      </c>
      <c r="AF177" s="13" t="s">
        <v>1427</v>
      </c>
      <c r="AG177" s="41">
        <v>0.91</v>
      </c>
      <c r="AH177" s="13">
        <v>0.91</v>
      </c>
      <c r="AI177" s="13">
        <v>1</v>
      </c>
      <c r="AJ177" s="13" t="s">
        <v>1963</v>
      </c>
      <c r="AK177" s="13" t="s">
        <v>1429</v>
      </c>
      <c r="AL177" s="41">
        <v>3.01</v>
      </c>
      <c r="AM177" s="41">
        <v>2.81</v>
      </c>
      <c r="AN177" s="41">
        <v>0.5</v>
      </c>
      <c r="AO177" s="41">
        <v>0.7</v>
      </c>
      <c r="AQ177" s="13" t="s">
        <v>1964</v>
      </c>
      <c r="AR177" s="13" t="s">
        <v>1431</v>
      </c>
      <c r="AS177" s="13" t="s">
        <v>1995</v>
      </c>
      <c r="AT177" s="13" t="s">
        <v>1425</v>
      </c>
      <c r="AU177" s="13" t="s">
        <v>1432</v>
      </c>
      <c r="AV177" s="39">
        <v>45279</v>
      </c>
      <c r="AW177" s="13" t="s">
        <v>1999</v>
      </c>
      <c r="AY177" s="41">
        <v>2.87</v>
      </c>
      <c r="AZ177" s="41">
        <v>18.600000000000001</v>
      </c>
      <c r="BA177" s="41">
        <v>15.2</v>
      </c>
      <c r="BB177" s="41">
        <v>22.3</v>
      </c>
    </row>
    <row r="178" spans="1:116">
      <c r="A178" s="14">
        <v>166</v>
      </c>
      <c r="B178" s="15" t="str">
        <f>IF(ISBLANK(D[[#This Row],[CLAS_GRONDSOORT]]),"ONWAAR","WAAR")</f>
        <v>WAAR</v>
      </c>
      <c r="C178" s="15" t="str">
        <f>IF(ISBLANK(D[[#This Row],[CLAS_VN_HOOFDNAAM]]),"ONWAAR","WAAR")</f>
        <v>ONWAAR</v>
      </c>
      <c r="D178" s="15" t="str">
        <f>IF(ISBLANK(D[[#This Row],[KV_GRONDSOORT]]),"ONWAAR","WAAR")</f>
        <v>ONWAAR</v>
      </c>
      <c r="E178" s="15" t="str">
        <f>IF(ISBLANK(D[[#This Row],[CPT_QNET]]),"ONWAAR","WAAR")</f>
        <v>ONWAAR</v>
      </c>
      <c r="F178" s="15" t="str">
        <f>IF(ISBLANK(D[[#This Row],[CRS_GRONDSOORT]]),"ONWAAR","WAAR")</f>
        <v>ONWAAR</v>
      </c>
      <c r="G178" s="15" t="str">
        <f>IF(ISBLANK(D[[#This Row],[SD_GRONDSOORT]]),"ONWAAR","WAAR")</f>
        <v>ONWAAR</v>
      </c>
      <c r="H178" s="15" t="str">
        <f>IF(ISBLANK(D[[#This Row],[DSS_GRONDSOORT]]),"ONWAAR","WAAR")</f>
        <v>ONWAAR</v>
      </c>
      <c r="I178" s="15" t="str">
        <f>IF(ISBLANK(D[[#This Row],[TXT_SS_GRONDSOORT]]),"ONWAAR","WAAR")</f>
        <v>ONWAAR</v>
      </c>
      <c r="J178" s="13" t="s">
        <v>2000</v>
      </c>
      <c r="L178" s="13" t="s">
        <v>1418</v>
      </c>
      <c r="M178" s="13" t="s">
        <v>1419</v>
      </c>
      <c r="P178" s="13" t="s">
        <v>1420</v>
      </c>
      <c r="V178" s="41">
        <v>133333.98000000001</v>
      </c>
      <c r="W178" s="41">
        <v>413931.87</v>
      </c>
      <c r="X178" s="41">
        <v>3.79</v>
      </c>
      <c r="Y178" s="13" t="s">
        <v>2001</v>
      </c>
      <c r="Z178" s="13" t="s">
        <v>1970</v>
      </c>
      <c r="AA178" s="39">
        <v>45166</v>
      </c>
      <c r="AB178" s="13" t="s">
        <v>2002</v>
      </c>
      <c r="AC178" s="13" t="s">
        <v>2003</v>
      </c>
      <c r="AD178" s="13" t="s">
        <v>1425</v>
      </c>
      <c r="AE178" s="13" t="s">
        <v>1962</v>
      </c>
      <c r="AF178" s="13" t="s">
        <v>1427</v>
      </c>
      <c r="AG178" s="41"/>
      <c r="AI178" s="13">
        <v>3</v>
      </c>
      <c r="AJ178" s="13" t="s">
        <v>1963</v>
      </c>
      <c r="AK178" s="13" t="s">
        <v>1429</v>
      </c>
      <c r="AL178" s="41">
        <v>3.29</v>
      </c>
      <c r="AM178" s="41">
        <v>3.09</v>
      </c>
      <c r="AN178" s="41">
        <v>0.5</v>
      </c>
      <c r="AO178" s="41">
        <v>0.7</v>
      </c>
      <c r="AQ178" s="13" t="s">
        <v>1964</v>
      </c>
      <c r="AR178" s="13" t="s">
        <v>1431</v>
      </c>
      <c r="AS178" s="13" t="s">
        <v>2000</v>
      </c>
      <c r="AT178" s="13" t="s">
        <v>1425</v>
      </c>
      <c r="AU178" s="13" t="s">
        <v>1432</v>
      </c>
      <c r="AV178" s="39">
        <v>45279</v>
      </c>
      <c r="AW178" s="13" t="s">
        <v>2004</v>
      </c>
      <c r="AY178" s="41">
        <v>3.19</v>
      </c>
      <c r="AZ178" s="41"/>
      <c r="BA178" s="41"/>
      <c r="BB178" s="41"/>
    </row>
    <row r="179" spans="1:116">
      <c r="A179" s="14">
        <v>167</v>
      </c>
      <c r="B179" s="15" t="str">
        <f>IF(ISBLANK(D[[#This Row],[CLAS_GRONDSOORT]]),"ONWAAR","WAAR")</f>
        <v>ONWAAR</v>
      </c>
      <c r="C179" s="15" t="str">
        <f>IF(ISBLANK(D[[#This Row],[CLAS_VN_HOOFDNAAM]]),"ONWAAR","WAAR")</f>
        <v>ONWAAR</v>
      </c>
      <c r="D179" s="15" t="str">
        <f>IF(ISBLANK(D[[#This Row],[KV_GRONDSOORT]]),"ONWAAR","WAAR")</f>
        <v>WAAR</v>
      </c>
      <c r="E179" s="15" t="str">
        <f>IF(ISBLANK(D[[#This Row],[CPT_QNET]]),"ONWAAR","WAAR")</f>
        <v>ONWAAR</v>
      </c>
      <c r="F179" s="15" t="str">
        <f>IF(ISBLANK(D[[#This Row],[CRS_GRONDSOORT]]),"ONWAAR","WAAR")</f>
        <v>ONWAAR</v>
      </c>
      <c r="G179" s="15" t="str">
        <f>IF(ISBLANK(D[[#This Row],[SD_GRONDSOORT]]),"ONWAAR","WAAR")</f>
        <v>ONWAAR</v>
      </c>
      <c r="H179" s="15" t="str">
        <f>IF(ISBLANK(D[[#This Row],[DSS_GRONDSOORT]]),"ONWAAR","WAAR")</f>
        <v>ONWAAR</v>
      </c>
      <c r="I179" s="15" t="str">
        <f>IF(ISBLANK(D[[#This Row],[TXT_SS_GRONDSOORT]]),"ONWAAR","WAAR")</f>
        <v>ONWAAR</v>
      </c>
      <c r="J179" s="13" t="s">
        <v>2005</v>
      </c>
      <c r="L179" s="13" t="s">
        <v>1418</v>
      </c>
      <c r="M179" s="13" t="s">
        <v>1419</v>
      </c>
      <c r="P179" s="13" t="s">
        <v>1420</v>
      </c>
      <c r="V179" s="41">
        <v>136431.24</v>
      </c>
      <c r="W179" s="41">
        <v>416196.65</v>
      </c>
      <c r="X179" s="41">
        <v>2.46</v>
      </c>
      <c r="Y179" s="13" t="s">
        <v>2006</v>
      </c>
      <c r="Z179" s="13" t="s">
        <v>1737</v>
      </c>
      <c r="AA179" s="39">
        <v>45169</v>
      </c>
      <c r="AB179" s="13" t="s">
        <v>2007</v>
      </c>
      <c r="AC179" s="13" t="s">
        <v>2008</v>
      </c>
      <c r="AD179" s="13" t="s">
        <v>1425</v>
      </c>
      <c r="AE179" s="13" t="s">
        <v>1962</v>
      </c>
      <c r="AF179" s="13" t="s">
        <v>1427</v>
      </c>
      <c r="AG179" s="41">
        <v>0.66</v>
      </c>
      <c r="AI179" s="13">
        <v>5</v>
      </c>
      <c r="AJ179" s="13" t="s">
        <v>2009</v>
      </c>
      <c r="AK179" s="13" t="s">
        <v>1647</v>
      </c>
      <c r="AL179" s="41">
        <v>0.46</v>
      </c>
      <c r="AM179" s="41">
        <v>-0.54</v>
      </c>
      <c r="AN179" s="41">
        <v>2</v>
      </c>
      <c r="AO179" s="41">
        <v>3</v>
      </c>
      <c r="AY179" s="41"/>
      <c r="AZ179" s="41"/>
      <c r="BA179" s="41"/>
      <c r="BB179" s="41"/>
      <c r="CE179" s="13" t="s">
        <v>2010</v>
      </c>
      <c r="CF179" s="13" t="s">
        <v>1431</v>
      </c>
      <c r="CG179" s="13" t="s">
        <v>2005</v>
      </c>
      <c r="CH179" s="13" t="s">
        <v>1425</v>
      </c>
      <c r="CI179" s="13" t="s">
        <v>1524</v>
      </c>
      <c r="CJ179" s="39">
        <v>45212</v>
      </c>
      <c r="CK179" s="13" t="s">
        <v>1986</v>
      </c>
      <c r="CM179" s="13">
        <v>191</v>
      </c>
      <c r="CN179" s="13">
        <v>183</v>
      </c>
      <c r="CO179" s="41">
        <v>0</v>
      </c>
      <c r="CP179" s="41">
        <v>93.41</v>
      </c>
      <c r="CQ179" s="41">
        <v>4.59</v>
      </c>
      <c r="CR179" s="41">
        <v>100</v>
      </c>
      <c r="CS179" s="41">
        <v>100</v>
      </c>
      <c r="CT179" s="41">
        <v>100</v>
      </c>
      <c r="CU179" s="41">
        <v>100</v>
      </c>
      <c r="CV179" s="41">
        <v>100</v>
      </c>
      <c r="CW179" s="41">
        <v>100</v>
      </c>
      <c r="CX179" s="41">
        <v>99.9</v>
      </c>
      <c r="CY179" s="41">
        <v>98.27</v>
      </c>
      <c r="CZ179" s="41">
        <v>76.31</v>
      </c>
      <c r="DA179" s="41">
        <v>48.86</v>
      </c>
      <c r="DB179" s="41">
        <v>15.74</v>
      </c>
      <c r="DC179" s="41">
        <v>6.59</v>
      </c>
      <c r="DD179" s="41">
        <v>2.6</v>
      </c>
      <c r="DE179" s="41">
        <v>2.4</v>
      </c>
      <c r="DF179" s="41">
        <v>2.2999999999999998</v>
      </c>
      <c r="DG179" s="41">
        <v>2</v>
      </c>
      <c r="DH179" s="13">
        <v>239</v>
      </c>
      <c r="DI179" s="13">
        <v>215</v>
      </c>
      <c r="DJ179" s="13">
        <v>191</v>
      </c>
      <c r="DK179" s="13">
        <v>125</v>
      </c>
      <c r="DL179" s="13">
        <v>1.72</v>
      </c>
    </row>
    <row r="180" spans="1:116">
      <c r="A180" s="14">
        <v>168</v>
      </c>
      <c r="B180" s="15" t="str">
        <f>IF(ISBLANK(D[[#This Row],[CLAS_GRONDSOORT]]),"ONWAAR","WAAR")</f>
        <v>WAAR</v>
      </c>
      <c r="C180" s="15" t="str">
        <f>IF(ISBLANK(D[[#This Row],[CLAS_VN_HOOFDNAAM]]),"ONWAAR","WAAR")</f>
        <v>ONWAAR</v>
      </c>
      <c r="D180" s="15" t="str">
        <f>IF(ISBLANK(D[[#This Row],[KV_GRONDSOORT]]),"ONWAAR","WAAR")</f>
        <v>ONWAAR</v>
      </c>
      <c r="E180" s="15" t="str">
        <f>IF(ISBLANK(D[[#This Row],[CPT_QNET]]),"ONWAAR","WAAR")</f>
        <v>ONWAAR</v>
      </c>
      <c r="F180" s="15" t="str">
        <f>IF(ISBLANK(D[[#This Row],[CRS_GRONDSOORT]]),"ONWAAR","WAAR")</f>
        <v>ONWAAR</v>
      </c>
      <c r="G180" s="15" t="str">
        <f>IF(ISBLANK(D[[#This Row],[SD_GRONDSOORT]]),"ONWAAR","WAAR")</f>
        <v>ONWAAR</v>
      </c>
      <c r="H180" s="15" t="str">
        <f>IF(ISBLANK(D[[#This Row],[DSS_GRONDSOORT]]),"ONWAAR","WAAR")</f>
        <v>ONWAAR</v>
      </c>
      <c r="I180" s="15" t="str">
        <f>IF(ISBLANK(D[[#This Row],[TXT_SS_GRONDSOORT]]),"ONWAAR","WAAR")</f>
        <v>ONWAAR</v>
      </c>
      <c r="J180" s="13" t="s">
        <v>2011</v>
      </c>
      <c r="L180" s="13" t="s">
        <v>1418</v>
      </c>
      <c r="M180" s="13" t="s">
        <v>1419</v>
      </c>
      <c r="P180" s="13" t="s">
        <v>1420</v>
      </c>
      <c r="V180" s="41">
        <v>136408.07</v>
      </c>
      <c r="W180" s="41">
        <v>416245.71</v>
      </c>
      <c r="X180" s="41">
        <v>6.02</v>
      </c>
      <c r="Y180" s="13" t="s">
        <v>2012</v>
      </c>
      <c r="Z180" s="13" t="s">
        <v>1970</v>
      </c>
      <c r="AA180" s="39">
        <v>45155</v>
      </c>
      <c r="AB180" s="13" t="s">
        <v>2013</v>
      </c>
      <c r="AC180" s="13" t="s">
        <v>2014</v>
      </c>
      <c r="AD180" s="13" t="s">
        <v>1425</v>
      </c>
      <c r="AE180" s="13" t="s">
        <v>1973</v>
      </c>
      <c r="AF180" s="13" t="s">
        <v>1427</v>
      </c>
      <c r="AG180" s="41"/>
      <c r="AI180" s="13">
        <v>100</v>
      </c>
      <c r="AJ180" s="13" t="s">
        <v>1963</v>
      </c>
      <c r="AK180" s="13" t="s">
        <v>1429</v>
      </c>
      <c r="AL180" s="41">
        <v>5.52</v>
      </c>
      <c r="AM180" s="41">
        <v>5.32</v>
      </c>
      <c r="AN180" s="41">
        <v>0.5</v>
      </c>
      <c r="AO180" s="41">
        <v>0.7</v>
      </c>
      <c r="AQ180" s="13" t="s">
        <v>1964</v>
      </c>
      <c r="AR180" s="13" t="s">
        <v>1431</v>
      </c>
      <c r="AS180" s="13" t="s">
        <v>2011</v>
      </c>
      <c r="AT180" s="13" t="s">
        <v>1425</v>
      </c>
      <c r="AU180" s="13" t="s">
        <v>1432</v>
      </c>
      <c r="AV180" s="39">
        <v>45279</v>
      </c>
      <c r="AW180" s="13" t="s">
        <v>2015</v>
      </c>
      <c r="AY180" s="41">
        <v>5.42</v>
      </c>
      <c r="AZ180" s="41"/>
      <c r="BA180" s="41"/>
      <c r="BB180" s="41"/>
    </row>
    <row r="181" spans="1:116">
      <c r="A181" s="14">
        <v>169</v>
      </c>
      <c r="B181" s="15" t="str">
        <f>IF(ISBLANK(D[[#This Row],[CLAS_GRONDSOORT]]),"ONWAAR","WAAR")</f>
        <v>WAAR</v>
      </c>
      <c r="C181" s="15" t="str">
        <f>IF(ISBLANK(D[[#This Row],[CLAS_VN_HOOFDNAAM]]),"ONWAAR","WAAR")</f>
        <v>ONWAAR</v>
      </c>
      <c r="D181" s="15" t="str">
        <f>IF(ISBLANK(D[[#This Row],[KV_GRONDSOORT]]),"ONWAAR","WAAR")</f>
        <v>ONWAAR</v>
      </c>
      <c r="E181" s="15" t="str">
        <f>IF(ISBLANK(D[[#This Row],[CPT_QNET]]),"ONWAAR","WAAR")</f>
        <v>ONWAAR</v>
      </c>
      <c r="F181" s="15" t="str">
        <f>IF(ISBLANK(D[[#This Row],[CRS_GRONDSOORT]]),"ONWAAR","WAAR")</f>
        <v>ONWAAR</v>
      </c>
      <c r="G181" s="15" t="str">
        <f>IF(ISBLANK(D[[#This Row],[SD_GRONDSOORT]]),"ONWAAR","WAAR")</f>
        <v>ONWAAR</v>
      </c>
      <c r="H181" s="15" t="str">
        <f>IF(ISBLANK(D[[#This Row],[DSS_GRONDSOORT]]),"ONWAAR","WAAR")</f>
        <v>ONWAAR</v>
      </c>
      <c r="I181" s="15" t="str">
        <f>IF(ISBLANK(D[[#This Row],[TXT_SS_GRONDSOORT]]),"ONWAAR","WAAR")</f>
        <v>ONWAAR</v>
      </c>
      <c r="J181" s="13" t="s">
        <v>2016</v>
      </c>
      <c r="L181" s="13" t="s">
        <v>1418</v>
      </c>
      <c r="M181" s="13" t="s">
        <v>1419</v>
      </c>
      <c r="P181" s="13" t="s">
        <v>1420</v>
      </c>
      <c r="V181" s="41">
        <v>136310.99</v>
      </c>
      <c r="W181" s="41">
        <v>416214.5</v>
      </c>
      <c r="X181" s="41">
        <v>4.2</v>
      </c>
      <c r="Y181" s="13" t="s">
        <v>2017</v>
      </c>
      <c r="Z181" s="13" t="s">
        <v>1970</v>
      </c>
      <c r="AA181" s="39">
        <v>45154</v>
      </c>
      <c r="AB181" s="13" t="s">
        <v>2018</v>
      </c>
      <c r="AC181" s="13" t="s">
        <v>2019</v>
      </c>
      <c r="AD181" s="13" t="s">
        <v>1425</v>
      </c>
      <c r="AE181" s="13" t="s">
        <v>1973</v>
      </c>
      <c r="AF181" s="13" t="s">
        <v>1427</v>
      </c>
      <c r="AG181" s="41"/>
      <c r="AI181" s="13">
        <v>1</v>
      </c>
      <c r="AJ181" s="13" t="s">
        <v>1646</v>
      </c>
      <c r="AK181" s="13" t="s">
        <v>1647</v>
      </c>
      <c r="AL181" s="41">
        <v>4.2</v>
      </c>
      <c r="AM181" s="41">
        <v>3.7</v>
      </c>
      <c r="AN181" s="41">
        <v>0</v>
      </c>
      <c r="AO181" s="41">
        <v>0.5</v>
      </c>
      <c r="AQ181" s="13" t="s">
        <v>1964</v>
      </c>
      <c r="AR181" s="13" t="s">
        <v>1431</v>
      </c>
      <c r="AS181" s="13" t="s">
        <v>2016</v>
      </c>
      <c r="AT181" s="13" t="s">
        <v>1425</v>
      </c>
      <c r="AU181" s="13" t="s">
        <v>1432</v>
      </c>
      <c r="AV181" s="39">
        <v>45279</v>
      </c>
      <c r="AW181" s="13" t="s">
        <v>1732</v>
      </c>
      <c r="AY181" s="41">
        <v>3.59</v>
      </c>
      <c r="AZ181" s="41">
        <v>18.399999999999999</v>
      </c>
      <c r="BA181" s="41">
        <v>14</v>
      </c>
      <c r="BB181" s="41">
        <v>31.2</v>
      </c>
    </row>
    <row r="182" spans="1:116">
      <c r="A182" s="14">
        <v>170</v>
      </c>
      <c r="B182" s="15" t="str">
        <f>IF(ISBLANK(D[[#This Row],[CLAS_GRONDSOORT]]),"ONWAAR","WAAR")</f>
        <v>ONWAAR</v>
      </c>
      <c r="C182" s="15" t="str">
        <f>IF(ISBLANK(D[[#This Row],[CLAS_VN_HOOFDNAAM]]),"ONWAAR","WAAR")</f>
        <v>ONWAAR</v>
      </c>
      <c r="D182" s="15" t="str">
        <f>IF(ISBLANK(D[[#This Row],[KV_GRONDSOORT]]),"ONWAAR","WAAR")</f>
        <v>WAAR</v>
      </c>
      <c r="E182" s="15" t="str">
        <f>IF(ISBLANK(D[[#This Row],[CPT_QNET]]),"ONWAAR","WAAR")</f>
        <v>ONWAAR</v>
      </c>
      <c r="F182" s="15" t="str">
        <f>IF(ISBLANK(D[[#This Row],[CRS_GRONDSOORT]]),"ONWAAR","WAAR")</f>
        <v>ONWAAR</v>
      </c>
      <c r="G182" s="15" t="str">
        <f>IF(ISBLANK(D[[#This Row],[SD_GRONDSOORT]]),"ONWAAR","WAAR")</f>
        <v>ONWAAR</v>
      </c>
      <c r="H182" s="15" t="str">
        <f>IF(ISBLANK(D[[#This Row],[DSS_GRONDSOORT]]),"ONWAAR","WAAR")</f>
        <v>ONWAAR</v>
      </c>
      <c r="I182" s="15" t="str">
        <f>IF(ISBLANK(D[[#This Row],[TXT_SS_GRONDSOORT]]),"ONWAAR","WAAR")</f>
        <v>ONWAAR</v>
      </c>
      <c r="J182" s="13" t="s">
        <v>2020</v>
      </c>
      <c r="L182" s="13" t="s">
        <v>1418</v>
      </c>
      <c r="M182" s="13" t="s">
        <v>1419</v>
      </c>
      <c r="P182" s="13" t="s">
        <v>1420</v>
      </c>
      <c r="V182" s="41">
        <v>136236.79</v>
      </c>
      <c r="W182" s="41">
        <v>416129.03</v>
      </c>
      <c r="X182" s="41">
        <v>1.77</v>
      </c>
      <c r="Y182" s="13" t="s">
        <v>2021</v>
      </c>
      <c r="Z182" s="13" t="s">
        <v>1737</v>
      </c>
      <c r="AA182" s="39">
        <v>45160</v>
      </c>
      <c r="AB182" s="13" t="s">
        <v>2022</v>
      </c>
      <c r="AC182" s="13" t="s">
        <v>2023</v>
      </c>
      <c r="AD182" s="13" t="s">
        <v>1425</v>
      </c>
      <c r="AE182" s="13" t="s">
        <v>1962</v>
      </c>
      <c r="AF182" s="13" t="s">
        <v>1427</v>
      </c>
      <c r="AG182" s="41">
        <v>0.47</v>
      </c>
      <c r="AI182" s="13">
        <v>100</v>
      </c>
      <c r="AJ182" s="13" t="s">
        <v>1646</v>
      </c>
      <c r="AK182" s="13" t="s">
        <v>1647</v>
      </c>
      <c r="AL182" s="41">
        <v>0.56999999999999995</v>
      </c>
      <c r="AM182" s="41">
        <v>0.37</v>
      </c>
      <c r="AN182" s="41">
        <v>1.2</v>
      </c>
      <c r="AO182" s="41">
        <v>1.4</v>
      </c>
      <c r="AY182" s="41"/>
      <c r="AZ182" s="41"/>
      <c r="BA182" s="41"/>
      <c r="BB182" s="41"/>
      <c r="CE182" s="13" t="s">
        <v>2024</v>
      </c>
      <c r="CF182" s="13" t="s">
        <v>1431</v>
      </c>
      <c r="CG182" s="13" t="s">
        <v>2020</v>
      </c>
      <c r="CH182" s="13" t="s">
        <v>1425</v>
      </c>
      <c r="CI182" s="13" t="s">
        <v>1524</v>
      </c>
      <c r="CJ182" s="39">
        <v>45212</v>
      </c>
      <c r="CK182" s="13" t="s">
        <v>2025</v>
      </c>
      <c r="CM182" s="13">
        <v>147</v>
      </c>
      <c r="CN182" s="13">
        <v>136</v>
      </c>
      <c r="CO182" s="41">
        <v>0.01</v>
      </c>
      <c r="CP182" s="41">
        <v>82.07</v>
      </c>
      <c r="CQ182" s="41">
        <v>14.02</v>
      </c>
      <c r="CR182" s="41">
        <v>100</v>
      </c>
      <c r="CS182" s="41">
        <v>100</v>
      </c>
      <c r="CT182" s="41">
        <v>100</v>
      </c>
      <c r="CU182" s="41">
        <v>100</v>
      </c>
      <c r="CV182" s="41">
        <v>100</v>
      </c>
      <c r="CW182" s="41">
        <v>99.99</v>
      </c>
      <c r="CX182" s="41">
        <v>99.16</v>
      </c>
      <c r="CY182" s="41">
        <v>98.44</v>
      </c>
      <c r="CZ182" s="41">
        <v>97</v>
      </c>
      <c r="DA182" s="41">
        <v>86.32</v>
      </c>
      <c r="DB182" s="41">
        <v>40.479999999999997</v>
      </c>
      <c r="DC182" s="41">
        <v>17.920000000000002</v>
      </c>
      <c r="DD182" s="41">
        <v>7.1</v>
      </c>
      <c r="DE182" s="41">
        <v>6.35</v>
      </c>
      <c r="DF182" s="41">
        <v>6</v>
      </c>
      <c r="DG182" s="41">
        <v>3.9</v>
      </c>
      <c r="DH182" s="13">
        <v>167</v>
      </c>
      <c r="DI182" s="13">
        <v>157</v>
      </c>
      <c r="DJ182" s="13">
        <v>147</v>
      </c>
      <c r="DK182" s="13">
        <v>95</v>
      </c>
      <c r="DL182" s="13">
        <v>1.65</v>
      </c>
    </row>
    <row r="183" spans="1:116">
      <c r="A183" s="14">
        <v>171</v>
      </c>
      <c r="B183" s="15" t="str">
        <f>IF(ISBLANK(D[[#This Row],[CLAS_GRONDSOORT]]),"ONWAAR","WAAR")</f>
        <v>WAAR</v>
      </c>
      <c r="C183" s="15" t="str">
        <f>IF(ISBLANK(D[[#This Row],[CLAS_VN_HOOFDNAAM]]),"ONWAAR","WAAR")</f>
        <v>ONWAAR</v>
      </c>
      <c r="D183" s="15" t="str">
        <f>IF(ISBLANK(D[[#This Row],[KV_GRONDSOORT]]),"ONWAAR","WAAR")</f>
        <v>ONWAAR</v>
      </c>
      <c r="E183" s="15" t="str">
        <f>IF(ISBLANK(D[[#This Row],[CPT_QNET]]),"ONWAAR","WAAR")</f>
        <v>ONWAAR</v>
      </c>
      <c r="F183" s="15" t="str">
        <f>IF(ISBLANK(D[[#This Row],[CRS_GRONDSOORT]]),"ONWAAR","WAAR")</f>
        <v>ONWAAR</v>
      </c>
      <c r="G183" s="15" t="str">
        <f>IF(ISBLANK(D[[#This Row],[SD_GRONDSOORT]]),"ONWAAR","WAAR")</f>
        <v>ONWAAR</v>
      </c>
      <c r="H183" s="15" t="str">
        <f>IF(ISBLANK(D[[#This Row],[DSS_GRONDSOORT]]),"ONWAAR","WAAR")</f>
        <v>ONWAAR</v>
      </c>
      <c r="I183" s="15" t="str">
        <f>IF(ISBLANK(D[[#This Row],[TXT_SS_GRONDSOORT]]),"ONWAAR","WAAR")</f>
        <v>ONWAAR</v>
      </c>
      <c r="J183" s="13" t="s">
        <v>2026</v>
      </c>
      <c r="L183" s="13" t="s">
        <v>1418</v>
      </c>
      <c r="M183" s="13" t="s">
        <v>1419</v>
      </c>
      <c r="P183" s="13" t="s">
        <v>1420</v>
      </c>
      <c r="V183" s="41">
        <v>136122.31</v>
      </c>
      <c r="W183" s="41">
        <v>416145.4</v>
      </c>
      <c r="X183" s="41">
        <v>4.29</v>
      </c>
      <c r="Y183" s="13" t="s">
        <v>2027</v>
      </c>
      <c r="Z183" s="13" t="s">
        <v>1970</v>
      </c>
      <c r="AA183" s="39">
        <v>45154</v>
      </c>
      <c r="AB183" s="13" t="s">
        <v>2028</v>
      </c>
      <c r="AC183" s="13" t="s">
        <v>2029</v>
      </c>
      <c r="AD183" s="13" t="s">
        <v>1425</v>
      </c>
      <c r="AE183" s="13" t="s">
        <v>1973</v>
      </c>
      <c r="AF183" s="13" t="s">
        <v>1427</v>
      </c>
      <c r="AG183" s="41"/>
      <c r="AI183" s="13">
        <v>1</v>
      </c>
      <c r="AJ183" s="13" t="s">
        <v>1646</v>
      </c>
      <c r="AK183" s="13" t="s">
        <v>1647</v>
      </c>
      <c r="AL183" s="41">
        <v>4.29</v>
      </c>
      <c r="AM183" s="41">
        <v>3.89</v>
      </c>
      <c r="AN183" s="41">
        <v>0</v>
      </c>
      <c r="AO183" s="41">
        <v>0.4</v>
      </c>
      <c r="AQ183" s="13" t="s">
        <v>1964</v>
      </c>
      <c r="AR183" s="13" t="s">
        <v>1431</v>
      </c>
      <c r="AS183" s="13" t="s">
        <v>2026</v>
      </c>
      <c r="AT183" s="13" t="s">
        <v>1425</v>
      </c>
      <c r="AU183" s="13" t="s">
        <v>1432</v>
      </c>
      <c r="AV183" s="39">
        <v>45279</v>
      </c>
      <c r="AW183" s="13" t="s">
        <v>2030</v>
      </c>
      <c r="AY183" s="41">
        <v>3.67</v>
      </c>
      <c r="AZ183" s="41">
        <v>18.2</v>
      </c>
      <c r="BA183" s="41">
        <v>14</v>
      </c>
      <c r="BB183" s="41">
        <v>30.1</v>
      </c>
    </row>
    <row r="184" spans="1:116">
      <c r="A184" s="14">
        <v>172</v>
      </c>
      <c r="B184" s="15" t="str">
        <f>IF(ISBLANK(D[[#This Row],[CLAS_GRONDSOORT]]),"ONWAAR","WAAR")</f>
        <v>ONWAAR</v>
      </c>
      <c r="C184" s="15" t="str">
        <f>IF(ISBLANK(D[[#This Row],[CLAS_VN_HOOFDNAAM]]),"ONWAAR","WAAR")</f>
        <v>ONWAAR</v>
      </c>
      <c r="D184" s="15" t="str">
        <f>IF(ISBLANK(D[[#This Row],[KV_GRONDSOORT]]),"ONWAAR","WAAR")</f>
        <v>WAAR</v>
      </c>
      <c r="E184" s="15" t="str">
        <f>IF(ISBLANK(D[[#This Row],[CPT_QNET]]),"ONWAAR","WAAR")</f>
        <v>ONWAAR</v>
      </c>
      <c r="F184" s="15" t="str">
        <f>IF(ISBLANK(D[[#This Row],[CRS_GRONDSOORT]]),"ONWAAR","WAAR")</f>
        <v>ONWAAR</v>
      </c>
      <c r="G184" s="15" t="str">
        <f>IF(ISBLANK(D[[#This Row],[SD_GRONDSOORT]]),"ONWAAR","WAAR")</f>
        <v>ONWAAR</v>
      </c>
      <c r="H184" s="15" t="str">
        <f>IF(ISBLANK(D[[#This Row],[DSS_GRONDSOORT]]),"ONWAAR","WAAR")</f>
        <v>ONWAAR</v>
      </c>
      <c r="I184" s="15" t="str">
        <f>IF(ISBLANK(D[[#This Row],[TXT_SS_GRONDSOORT]]),"ONWAAR","WAAR")</f>
        <v>ONWAAR</v>
      </c>
      <c r="J184" s="13" t="s">
        <v>2031</v>
      </c>
      <c r="L184" s="13" t="s">
        <v>1418</v>
      </c>
      <c r="M184" s="13" t="s">
        <v>1419</v>
      </c>
      <c r="P184" s="13" t="s">
        <v>1420</v>
      </c>
      <c r="V184" s="41">
        <v>136142.6</v>
      </c>
      <c r="W184" s="41">
        <v>416094.43</v>
      </c>
      <c r="X184" s="41">
        <v>1.51</v>
      </c>
      <c r="Y184" s="13" t="s">
        <v>2032</v>
      </c>
      <c r="Z184" s="13" t="s">
        <v>1737</v>
      </c>
      <c r="AA184" s="39">
        <v>45160</v>
      </c>
      <c r="AB184" s="13" t="s">
        <v>2033</v>
      </c>
      <c r="AC184" s="13" t="s">
        <v>2034</v>
      </c>
      <c r="AD184" s="13" t="s">
        <v>1425</v>
      </c>
      <c r="AE184" s="13" t="s">
        <v>1962</v>
      </c>
      <c r="AF184" s="13" t="s">
        <v>1427</v>
      </c>
      <c r="AG184" s="41">
        <v>0.21</v>
      </c>
      <c r="AI184" s="13">
        <v>3</v>
      </c>
      <c r="AJ184" s="13" t="s">
        <v>1646</v>
      </c>
      <c r="AK184" s="13" t="s">
        <v>1647</v>
      </c>
      <c r="AL184" s="41">
        <v>0.71</v>
      </c>
      <c r="AM184" s="41">
        <v>0.21</v>
      </c>
      <c r="AN184" s="41">
        <v>0.8</v>
      </c>
      <c r="AO184" s="41">
        <v>1.3</v>
      </c>
      <c r="AY184" s="41"/>
      <c r="AZ184" s="41"/>
      <c r="BA184" s="41"/>
      <c r="BB184" s="41"/>
      <c r="CE184" s="13" t="s">
        <v>2035</v>
      </c>
      <c r="CF184" s="13" t="s">
        <v>1431</v>
      </c>
      <c r="CG184" s="13" t="s">
        <v>2031</v>
      </c>
      <c r="CH184" s="13" t="s">
        <v>1425</v>
      </c>
      <c r="CI184" s="13" t="s">
        <v>1524</v>
      </c>
      <c r="CJ184" s="39">
        <v>45212</v>
      </c>
      <c r="CK184" s="13" t="s">
        <v>1807</v>
      </c>
      <c r="CM184" s="13">
        <v>156</v>
      </c>
      <c r="CN184" s="13">
        <v>150</v>
      </c>
      <c r="CO184" s="41">
        <v>0</v>
      </c>
      <c r="CP184" s="41">
        <v>88.98</v>
      </c>
      <c r="CQ184" s="41">
        <v>5.62</v>
      </c>
      <c r="CR184" s="41">
        <v>100</v>
      </c>
      <c r="CS184" s="41">
        <v>100</v>
      </c>
      <c r="CT184" s="41">
        <v>100</v>
      </c>
      <c r="CU184" s="41">
        <v>100</v>
      </c>
      <c r="CV184" s="41">
        <v>100</v>
      </c>
      <c r="CW184" s="41">
        <v>100</v>
      </c>
      <c r="CX184" s="41">
        <v>99.88</v>
      </c>
      <c r="CY184" s="41">
        <v>99.28</v>
      </c>
      <c r="CZ184" s="41">
        <v>96.78</v>
      </c>
      <c r="DA184" s="41">
        <v>75.400000000000006</v>
      </c>
      <c r="DB184" s="41">
        <v>28.94</v>
      </c>
      <c r="DC184" s="41">
        <v>11.02</v>
      </c>
      <c r="DD184" s="41">
        <v>10</v>
      </c>
      <c r="DE184" s="41">
        <v>8.58</v>
      </c>
      <c r="DF184" s="41">
        <v>7.9</v>
      </c>
      <c r="DG184" s="41">
        <v>5.4</v>
      </c>
      <c r="DH184" s="13">
        <v>178</v>
      </c>
      <c r="DI184" s="13">
        <v>167</v>
      </c>
      <c r="DJ184" s="13">
        <v>156</v>
      </c>
      <c r="DK184" s="13">
        <v>102</v>
      </c>
      <c r="DL184" s="13">
        <v>1.63</v>
      </c>
    </row>
    <row r="185" spans="1:116">
      <c r="A185" s="14">
        <v>173</v>
      </c>
      <c r="B185" s="15" t="str">
        <f>IF(ISBLANK(D[[#This Row],[CLAS_GRONDSOORT]]),"ONWAAR","WAAR")</f>
        <v>WAAR</v>
      </c>
      <c r="C185" s="15" t="str">
        <f>IF(ISBLANK(D[[#This Row],[CLAS_VN_HOOFDNAAM]]),"ONWAAR","WAAR")</f>
        <v>ONWAAR</v>
      </c>
      <c r="D185" s="15" t="str">
        <f>IF(ISBLANK(D[[#This Row],[KV_GRONDSOORT]]),"ONWAAR","WAAR")</f>
        <v>ONWAAR</v>
      </c>
      <c r="E185" s="15" t="str">
        <f>IF(ISBLANK(D[[#This Row],[CPT_QNET]]),"ONWAAR","WAAR")</f>
        <v>ONWAAR</v>
      </c>
      <c r="F185" s="15" t="str">
        <f>IF(ISBLANK(D[[#This Row],[CRS_GRONDSOORT]]),"ONWAAR","WAAR")</f>
        <v>ONWAAR</v>
      </c>
      <c r="G185" s="15" t="str">
        <f>IF(ISBLANK(D[[#This Row],[SD_GRONDSOORT]]),"ONWAAR","WAAR")</f>
        <v>ONWAAR</v>
      </c>
      <c r="H185" s="15" t="str">
        <f>IF(ISBLANK(D[[#This Row],[DSS_GRONDSOORT]]),"ONWAAR","WAAR")</f>
        <v>ONWAAR</v>
      </c>
      <c r="I185" s="15" t="str">
        <f>IF(ISBLANK(D[[#This Row],[TXT_SS_GRONDSOORT]]),"ONWAAR","WAAR")</f>
        <v>ONWAAR</v>
      </c>
      <c r="J185" s="13" t="s">
        <v>2036</v>
      </c>
      <c r="L185" s="13" t="s">
        <v>1418</v>
      </c>
      <c r="M185" s="13" t="s">
        <v>1419</v>
      </c>
      <c r="P185" s="13" t="s">
        <v>1420</v>
      </c>
      <c r="V185" s="41">
        <v>135940.03</v>
      </c>
      <c r="W185" s="41">
        <v>416063.51</v>
      </c>
      <c r="X185" s="41">
        <v>4.32</v>
      </c>
      <c r="Y185" s="13" t="s">
        <v>2037</v>
      </c>
      <c r="Z185" s="13" t="s">
        <v>1970</v>
      </c>
      <c r="AA185" s="39">
        <v>45155</v>
      </c>
      <c r="AB185" s="13" t="s">
        <v>2038</v>
      </c>
      <c r="AC185" s="13" t="s">
        <v>2039</v>
      </c>
      <c r="AD185" s="13" t="s">
        <v>1425</v>
      </c>
      <c r="AE185" s="13" t="s">
        <v>1973</v>
      </c>
      <c r="AF185" s="13" t="s">
        <v>1427</v>
      </c>
      <c r="AG185" s="41">
        <v>2.12</v>
      </c>
      <c r="AI185" s="13">
        <v>100</v>
      </c>
      <c r="AJ185" s="13" t="s">
        <v>1963</v>
      </c>
      <c r="AK185" s="13" t="s">
        <v>1429</v>
      </c>
      <c r="AL185" s="41">
        <v>3.82</v>
      </c>
      <c r="AM185" s="41">
        <v>3.62</v>
      </c>
      <c r="AN185" s="41">
        <v>0.5</v>
      </c>
      <c r="AO185" s="41">
        <v>0.7</v>
      </c>
      <c r="AQ185" s="13" t="s">
        <v>1964</v>
      </c>
      <c r="AR185" s="13" t="s">
        <v>1431</v>
      </c>
      <c r="AS185" s="13" t="s">
        <v>2036</v>
      </c>
      <c r="AT185" s="13" t="s">
        <v>1425</v>
      </c>
      <c r="AU185" s="13" t="s">
        <v>1432</v>
      </c>
      <c r="AV185" s="39">
        <v>45279</v>
      </c>
      <c r="AW185" s="13" t="s">
        <v>2040</v>
      </c>
      <c r="AY185" s="41">
        <v>3.69</v>
      </c>
      <c r="AZ185" s="41">
        <v>18.5</v>
      </c>
      <c r="BA185" s="41">
        <v>13.6</v>
      </c>
      <c r="BB185" s="41">
        <v>35.799999999999997</v>
      </c>
    </row>
    <row r="186" spans="1:116">
      <c r="A186" s="14">
        <v>174</v>
      </c>
      <c r="B186" s="15" t="str">
        <f>IF(ISBLANK(D[[#This Row],[CLAS_GRONDSOORT]]),"ONWAAR","WAAR")</f>
        <v>WAAR</v>
      </c>
      <c r="C186" s="15" t="str">
        <f>IF(ISBLANK(D[[#This Row],[CLAS_VN_HOOFDNAAM]]),"ONWAAR","WAAR")</f>
        <v>ONWAAR</v>
      </c>
      <c r="D186" s="15" t="str">
        <f>IF(ISBLANK(D[[#This Row],[KV_GRONDSOORT]]),"ONWAAR","WAAR")</f>
        <v>ONWAAR</v>
      </c>
      <c r="E186" s="15" t="str">
        <f>IF(ISBLANK(D[[#This Row],[CPT_QNET]]),"ONWAAR","WAAR")</f>
        <v>ONWAAR</v>
      </c>
      <c r="F186" s="15" t="str">
        <f>IF(ISBLANK(D[[#This Row],[CRS_GRONDSOORT]]),"ONWAAR","WAAR")</f>
        <v>ONWAAR</v>
      </c>
      <c r="G186" s="15" t="str">
        <f>IF(ISBLANK(D[[#This Row],[SD_GRONDSOORT]]),"ONWAAR","WAAR")</f>
        <v>ONWAAR</v>
      </c>
      <c r="H186" s="15" t="str">
        <f>IF(ISBLANK(D[[#This Row],[DSS_GRONDSOORT]]),"ONWAAR","WAAR")</f>
        <v>ONWAAR</v>
      </c>
      <c r="I186" s="15" t="str">
        <f>IF(ISBLANK(D[[#This Row],[TXT_SS_GRONDSOORT]]),"ONWAAR","WAAR")</f>
        <v>ONWAAR</v>
      </c>
      <c r="J186" s="13" t="s">
        <v>2041</v>
      </c>
      <c r="L186" s="13" t="s">
        <v>1418</v>
      </c>
      <c r="M186" s="13" t="s">
        <v>1419</v>
      </c>
      <c r="P186" s="13" t="s">
        <v>1420</v>
      </c>
      <c r="V186" s="41">
        <v>135853.13</v>
      </c>
      <c r="W186" s="41">
        <v>416026.95</v>
      </c>
      <c r="X186" s="41">
        <v>4.68</v>
      </c>
      <c r="Y186" s="13" t="s">
        <v>2042</v>
      </c>
      <c r="Z186" s="13" t="s">
        <v>1970</v>
      </c>
      <c r="AA186" s="39">
        <v>45154</v>
      </c>
      <c r="AB186" s="13" t="s">
        <v>2043</v>
      </c>
      <c r="AC186" s="13" t="s">
        <v>2044</v>
      </c>
      <c r="AD186" s="13" t="s">
        <v>1425</v>
      </c>
      <c r="AE186" s="13" t="s">
        <v>1973</v>
      </c>
      <c r="AF186" s="13" t="s">
        <v>1427</v>
      </c>
      <c r="AG186" s="41">
        <v>1.78</v>
      </c>
      <c r="AI186" s="13">
        <v>1</v>
      </c>
      <c r="AJ186" s="13" t="s">
        <v>1646</v>
      </c>
      <c r="AK186" s="13" t="s">
        <v>1647</v>
      </c>
      <c r="AL186" s="41">
        <v>4.68</v>
      </c>
      <c r="AM186" s="41">
        <v>4.18</v>
      </c>
      <c r="AN186" s="41">
        <v>0</v>
      </c>
      <c r="AO186" s="41">
        <v>0.5</v>
      </c>
      <c r="AQ186" s="13" t="s">
        <v>1964</v>
      </c>
      <c r="AR186" s="13" t="s">
        <v>1431</v>
      </c>
      <c r="AS186" s="13" t="s">
        <v>2041</v>
      </c>
      <c r="AT186" s="13" t="s">
        <v>1425</v>
      </c>
      <c r="AU186" s="13" t="s">
        <v>1432</v>
      </c>
      <c r="AV186" s="39">
        <v>45279</v>
      </c>
      <c r="AW186" s="13" t="s">
        <v>2045</v>
      </c>
      <c r="AY186" s="41">
        <v>4.0599999999999996</v>
      </c>
      <c r="AZ186" s="41">
        <v>19.2</v>
      </c>
      <c r="BA186" s="41">
        <v>15.1</v>
      </c>
      <c r="BB186" s="41">
        <v>27.2</v>
      </c>
    </row>
    <row r="187" spans="1:116">
      <c r="A187" s="14">
        <v>175</v>
      </c>
      <c r="B187" s="15" t="str">
        <f>IF(ISBLANK(D[[#This Row],[CLAS_GRONDSOORT]]),"ONWAAR","WAAR")</f>
        <v>WAAR</v>
      </c>
      <c r="C187" s="15" t="str">
        <f>IF(ISBLANK(D[[#This Row],[CLAS_VN_HOOFDNAAM]]),"ONWAAR","WAAR")</f>
        <v>ONWAAR</v>
      </c>
      <c r="D187" s="15" t="str">
        <f>IF(ISBLANK(D[[#This Row],[KV_GRONDSOORT]]),"ONWAAR","WAAR")</f>
        <v>ONWAAR</v>
      </c>
      <c r="E187" s="15" t="str">
        <f>IF(ISBLANK(D[[#This Row],[CPT_QNET]]),"ONWAAR","WAAR")</f>
        <v>ONWAAR</v>
      </c>
      <c r="F187" s="15" t="str">
        <f>IF(ISBLANK(D[[#This Row],[CRS_GRONDSOORT]]),"ONWAAR","WAAR")</f>
        <v>ONWAAR</v>
      </c>
      <c r="G187" s="15" t="str">
        <f>IF(ISBLANK(D[[#This Row],[SD_GRONDSOORT]]),"ONWAAR","WAAR")</f>
        <v>ONWAAR</v>
      </c>
      <c r="H187" s="15" t="str">
        <f>IF(ISBLANK(D[[#This Row],[DSS_GRONDSOORT]]),"ONWAAR","WAAR")</f>
        <v>ONWAAR</v>
      </c>
      <c r="I187" s="15" t="str">
        <f>IF(ISBLANK(D[[#This Row],[TXT_SS_GRONDSOORT]]),"ONWAAR","WAAR")</f>
        <v>ONWAAR</v>
      </c>
      <c r="J187" s="13" t="s">
        <v>2046</v>
      </c>
      <c r="L187" s="13" t="s">
        <v>1418</v>
      </c>
      <c r="M187" s="13" t="s">
        <v>1419</v>
      </c>
      <c r="P187" s="13" t="s">
        <v>1420</v>
      </c>
      <c r="V187" s="41">
        <v>135764.26</v>
      </c>
      <c r="W187" s="41">
        <v>415985.58</v>
      </c>
      <c r="X187" s="41">
        <v>4.4000000000000004</v>
      </c>
      <c r="Y187" s="13" t="s">
        <v>2047</v>
      </c>
      <c r="Z187" s="13" t="s">
        <v>1970</v>
      </c>
      <c r="AA187" s="39">
        <v>45155</v>
      </c>
      <c r="AB187" s="13" t="s">
        <v>2048</v>
      </c>
      <c r="AC187" s="13" t="s">
        <v>2049</v>
      </c>
      <c r="AD187" s="13" t="s">
        <v>1425</v>
      </c>
      <c r="AE187" s="13" t="s">
        <v>1973</v>
      </c>
      <c r="AF187" s="13" t="s">
        <v>1427</v>
      </c>
      <c r="AG187" s="41"/>
      <c r="AI187" s="13">
        <v>100</v>
      </c>
      <c r="AJ187" s="13" t="s">
        <v>1963</v>
      </c>
      <c r="AK187" s="13" t="s">
        <v>1429</v>
      </c>
      <c r="AL187" s="41">
        <v>3.9</v>
      </c>
      <c r="AM187" s="41">
        <v>3.7</v>
      </c>
      <c r="AN187" s="41">
        <v>0.5</v>
      </c>
      <c r="AO187" s="41">
        <v>0.7</v>
      </c>
      <c r="AQ187" s="13" t="s">
        <v>1964</v>
      </c>
      <c r="AR187" s="13" t="s">
        <v>1431</v>
      </c>
      <c r="AS187" s="13" t="s">
        <v>2046</v>
      </c>
      <c r="AT187" s="13" t="s">
        <v>1425</v>
      </c>
      <c r="AU187" s="13" t="s">
        <v>1432</v>
      </c>
      <c r="AV187" s="39">
        <v>45279</v>
      </c>
      <c r="AW187" s="13" t="s">
        <v>2040</v>
      </c>
      <c r="AY187" s="41">
        <v>3.78</v>
      </c>
      <c r="AZ187" s="41">
        <v>17.399999999999999</v>
      </c>
      <c r="BA187" s="41">
        <v>12.5</v>
      </c>
      <c r="BB187" s="41">
        <v>38.799999999999997</v>
      </c>
    </row>
    <row r="188" spans="1:116">
      <c r="A188" s="14">
        <v>176</v>
      </c>
      <c r="B188" s="15" t="str">
        <f>IF(ISBLANK(D[[#This Row],[CLAS_GRONDSOORT]]),"ONWAAR","WAAR")</f>
        <v>WAAR</v>
      </c>
      <c r="C188" s="15" t="str">
        <f>IF(ISBLANK(D[[#This Row],[CLAS_VN_HOOFDNAAM]]),"ONWAAR","WAAR")</f>
        <v>ONWAAR</v>
      </c>
      <c r="D188" s="15" t="str">
        <f>IF(ISBLANK(D[[#This Row],[KV_GRONDSOORT]]),"ONWAAR","WAAR")</f>
        <v>ONWAAR</v>
      </c>
      <c r="E188" s="15" t="str">
        <f>IF(ISBLANK(D[[#This Row],[CPT_QNET]]),"ONWAAR","WAAR")</f>
        <v>ONWAAR</v>
      </c>
      <c r="F188" s="15" t="str">
        <f>IF(ISBLANK(D[[#This Row],[CRS_GRONDSOORT]]),"ONWAAR","WAAR")</f>
        <v>ONWAAR</v>
      </c>
      <c r="G188" s="15" t="str">
        <f>IF(ISBLANK(D[[#This Row],[SD_GRONDSOORT]]),"ONWAAR","WAAR")</f>
        <v>ONWAAR</v>
      </c>
      <c r="H188" s="15" t="str">
        <f>IF(ISBLANK(D[[#This Row],[DSS_GRONDSOORT]]),"ONWAAR","WAAR")</f>
        <v>ONWAAR</v>
      </c>
      <c r="I188" s="15" t="str">
        <f>IF(ISBLANK(D[[#This Row],[TXT_SS_GRONDSOORT]]),"ONWAAR","WAAR")</f>
        <v>ONWAAR</v>
      </c>
      <c r="J188" s="13" t="s">
        <v>2050</v>
      </c>
      <c r="L188" s="13" t="s">
        <v>1418</v>
      </c>
      <c r="M188" s="13" t="s">
        <v>1419</v>
      </c>
      <c r="P188" s="13" t="s">
        <v>1420</v>
      </c>
      <c r="V188" s="41">
        <v>135679.99</v>
      </c>
      <c r="W188" s="41">
        <v>415943.69</v>
      </c>
      <c r="X188" s="41">
        <v>4.7300000000000004</v>
      </c>
      <c r="Y188" s="13" t="s">
        <v>2051</v>
      </c>
      <c r="Z188" s="13" t="s">
        <v>1970</v>
      </c>
      <c r="AA188" s="39">
        <v>45155</v>
      </c>
      <c r="AB188" s="13" t="s">
        <v>2052</v>
      </c>
      <c r="AC188" s="13" t="s">
        <v>2053</v>
      </c>
      <c r="AD188" s="13" t="s">
        <v>1425</v>
      </c>
      <c r="AE188" s="13" t="s">
        <v>1973</v>
      </c>
      <c r="AF188" s="13" t="s">
        <v>1427</v>
      </c>
      <c r="AG188" s="41"/>
      <c r="AI188" s="13">
        <v>100</v>
      </c>
      <c r="AJ188" s="13" t="s">
        <v>1963</v>
      </c>
      <c r="AK188" s="13" t="s">
        <v>1429</v>
      </c>
      <c r="AL188" s="41">
        <v>4.2300000000000004</v>
      </c>
      <c r="AM188" s="41">
        <v>4.03</v>
      </c>
      <c r="AN188" s="41">
        <v>0.5</v>
      </c>
      <c r="AO188" s="41">
        <v>0.7</v>
      </c>
      <c r="AQ188" s="13" t="s">
        <v>1964</v>
      </c>
      <c r="AR188" s="13" t="s">
        <v>1431</v>
      </c>
      <c r="AS188" s="13" t="s">
        <v>2050</v>
      </c>
      <c r="AT188" s="13" t="s">
        <v>1425</v>
      </c>
      <c r="AU188" s="13" t="s">
        <v>1432</v>
      </c>
      <c r="AV188" s="39">
        <v>45279</v>
      </c>
      <c r="AW188" s="13" t="s">
        <v>2054</v>
      </c>
      <c r="AY188" s="41">
        <v>4.1100000000000003</v>
      </c>
      <c r="AZ188" s="41">
        <v>16.899999999999999</v>
      </c>
      <c r="BA188" s="41">
        <v>11.7</v>
      </c>
      <c r="BB188" s="41">
        <v>44.9</v>
      </c>
    </row>
    <row r="189" spans="1:116">
      <c r="A189" s="14">
        <v>177</v>
      </c>
      <c r="B189" s="15" t="str">
        <f>IF(ISBLANK(D[[#This Row],[CLAS_GRONDSOORT]]),"ONWAAR","WAAR")</f>
        <v>WAAR</v>
      </c>
      <c r="C189" s="15" t="str">
        <f>IF(ISBLANK(D[[#This Row],[CLAS_VN_HOOFDNAAM]]),"ONWAAR","WAAR")</f>
        <v>ONWAAR</v>
      </c>
      <c r="D189" s="15" t="str">
        <f>IF(ISBLANK(D[[#This Row],[KV_GRONDSOORT]]),"ONWAAR","WAAR")</f>
        <v>ONWAAR</v>
      </c>
      <c r="E189" s="15" t="str">
        <f>IF(ISBLANK(D[[#This Row],[CPT_QNET]]),"ONWAAR","WAAR")</f>
        <v>ONWAAR</v>
      </c>
      <c r="F189" s="15" t="str">
        <f>IF(ISBLANK(D[[#This Row],[CRS_GRONDSOORT]]),"ONWAAR","WAAR")</f>
        <v>ONWAAR</v>
      </c>
      <c r="G189" s="15" t="str">
        <f>IF(ISBLANK(D[[#This Row],[SD_GRONDSOORT]]),"ONWAAR","WAAR")</f>
        <v>ONWAAR</v>
      </c>
      <c r="H189" s="15" t="str">
        <f>IF(ISBLANK(D[[#This Row],[DSS_GRONDSOORT]]),"ONWAAR","WAAR")</f>
        <v>ONWAAR</v>
      </c>
      <c r="I189" s="15" t="str">
        <f>IF(ISBLANK(D[[#This Row],[TXT_SS_GRONDSOORT]]),"ONWAAR","WAAR")</f>
        <v>ONWAAR</v>
      </c>
      <c r="J189" s="13" t="s">
        <v>2055</v>
      </c>
      <c r="L189" s="13" t="s">
        <v>1418</v>
      </c>
      <c r="M189" s="13" t="s">
        <v>1419</v>
      </c>
      <c r="P189" s="13" t="s">
        <v>1420</v>
      </c>
      <c r="V189" s="41">
        <v>135685.35999999999</v>
      </c>
      <c r="W189" s="41">
        <v>415923.18</v>
      </c>
      <c r="X189" s="41">
        <v>5.36</v>
      </c>
      <c r="Y189" s="13" t="s">
        <v>2056</v>
      </c>
      <c r="Z189" s="13" t="s">
        <v>2057</v>
      </c>
      <c r="AA189" s="39">
        <v>45159</v>
      </c>
      <c r="AB189" s="13" t="s">
        <v>2058</v>
      </c>
      <c r="AC189" s="13" t="s">
        <v>2059</v>
      </c>
      <c r="AD189" s="13" t="s">
        <v>1425</v>
      </c>
      <c r="AE189" s="13" t="s">
        <v>1962</v>
      </c>
      <c r="AF189" s="13" t="s">
        <v>1427</v>
      </c>
      <c r="AG189" s="41"/>
      <c r="AI189" s="13">
        <v>100</v>
      </c>
      <c r="AJ189" s="13" t="s">
        <v>1963</v>
      </c>
      <c r="AK189" s="13" t="s">
        <v>1429</v>
      </c>
      <c r="AL189" s="41">
        <v>4.8600000000000003</v>
      </c>
      <c r="AM189" s="41">
        <v>4.66</v>
      </c>
      <c r="AN189" s="41">
        <v>0.5</v>
      </c>
      <c r="AO189" s="41">
        <v>0.7</v>
      </c>
      <c r="AQ189" s="13" t="s">
        <v>1964</v>
      </c>
      <c r="AR189" s="13" t="s">
        <v>1431</v>
      </c>
      <c r="AS189" s="13" t="s">
        <v>2055</v>
      </c>
      <c r="AT189" s="13" t="s">
        <v>1425</v>
      </c>
      <c r="AU189" s="13" t="s">
        <v>1432</v>
      </c>
      <c r="AV189" s="39">
        <v>45279</v>
      </c>
      <c r="AW189" s="13" t="s">
        <v>2060</v>
      </c>
      <c r="AY189" s="41">
        <v>4.76</v>
      </c>
      <c r="AZ189" s="41"/>
      <c r="BA189" s="41"/>
      <c r="BB189" s="41"/>
    </row>
    <row r="190" spans="1:116">
      <c r="A190" s="14">
        <v>178</v>
      </c>
      <c r="B190" s="15" t="str">
        <f>IF(ISBLANK(D[[#This Row],[CLAS_GRONDSOORT]]),"ONWAAR","WAAR")</f>
        <v>WAAR</v>
      </c>
      <c r="C190" s="15" t="str">
        <f>IF(ISBLANK(D[[#This Row],[CLAS_VN_HOOFDNAAM]]),"ONWAAR","WAAR")</f>
        <v>ONWAAR</v>
      </c>
      <c r="D190" s="15" t="str">
        <f>IF(ISBLANK(D[[#This Row],[KV_GRONDSOORT]]),"ONWAAR","WAAR")</f>
        <v>ONWAAR</v>
      </c>
      <c r="E190" s="15" t="str">
        <f>IF(ISBLANK(D[[#This Row],[CPT_QNET]]),"ONWAAR","WAAR")</f>
        <v>ONWAAR</v>
      </c>
      <c r="F190" s="15" t="str">
        <f>IF(ISBLANK(D[[#This Row],[CRS_GRONDSOORT]]),"ONWAAR","WAAR")</f>
        <v>ONWAAR</v>
      </c>
      <c r="G190" s="15" t="str">
        <f>IF(ISBLANK(D[[#This Row],[SD_GRONDSOORT]]),"ONWAAR","WAAR")</f>
        <v>ONWAAR</v>
      </c>
      <c r="H190" s="15" t="str">
        <f>IF(ISBLANK(D[[#This Row],[DSS_GRONDSOORT]]),"ONWAAR","WAAR")</f>
        <v>ONWAAR</v>
      </c>
      <c r="I190" s="15" t="str">
        <f>IF(ISBLANK(D[[#This Row],[TXT_SS_GRONDSOORT]]),"ONWAAR","WAAR")</f>
        <v>ONWAAR</v>
      </c>
      <c r="J190" s="13" t="s">
        <v>2061</v>
      </c>
      <c r="L190" s="13" t="s">
        <v>1418</v>
      </c>
      <c r="M190" s="13" t="s">
        <v>1419</v>
      </c>
      <c r="P190" s="13" t="s">
        <v>1420</v>
      </c>
      <c r="V190" s="41">
        <v>135691.91</v>
      </c>
      <c r="W190" s="41">
        <v>415908.35</v>
      </c>
      <c r="X190" s="41">
        <v>1.3</v>
      </c>
      <c r="Y190" s="13" t="s">
        <v>2062</v>
      </c>
      <c r="Z190" s="13" t="s">
        <v>1737</v>
      </c>
      <c r="AA190" s="39">
        <v>45161</v>
      </c>
      <c r="AB190" s="13" t="s">
        <v>2063</v>
      </c>
      <c r="AC190" s="13" t="s">
        <v>2064</v>
      </c>
      <c r="AD190" s="13" t="s">
        <v>1425</v>
      </c>
      <c r="AE190" s="13" t="s">
        <v>1962</v>
      </c>
      <c r="AF190" s="13" t="s">
        <v>1427</v>
      </c>
      <c r="AG190" s="41">
        <v>-0.3</v>
      </c>
      <c r="AI190" s="13">
        <v>100</v>
      </c>
      <c r="AJ190" s="13" t="s">
        <v>1963</v>
      </c>
      <c r="AK190" s="13" t="s">
        <v>1429</v>
      </c>
      <c r="AL190" s="41">
        <v>0.6</v>
      </c>
      <c r="AM190" s="41">
        <v>0.4</v>
      </c>
      <c r="AN190" s="41">
        <v>0.7</v>
      </c>
      <c r="AO190" s="41">
        <v>0.9</v>
      </c>
      <c r="AQ190" s="13" t="s">
        <v>1964</v>
      </c>
      <c r="AR190" s="13" t="s">
        <v>1431</v>
      </c>
      <c r="AS190" s="13" t="s">
        <v>2061</v>
      </c>
      <c r="AT190" s="13" t="s">
        <v>1425</v>
      </c>
      <c r="AU190" s="13" t="s">
        <v>1432</v>
      </c>
      <c r="AV190" s="39">
        <v>45279</v>
      </c>
      <c r="AW190" s="13" t="s">
        <v>2065</v>
      </c>
      <c r="AY190" s="41">
        <v>0.45</v>
      </c>
      <c r="AZ190" s="41">
        <v>18.899999999999999</v>
      </c>
      <c r="BA190" s="41">
        <v>15</v>
      </c>
      <c r="BB190" s="41">
        <v>26.3</v>
      </c>
    </row>
    <row r="191" spans="1:116">
      <c r="A191" s="14">
        <v>179</v>
      </c>
      <c r="B191" s="15" t="str">
        <f>IF(ISBLANK(D[[#This Row],[CLAS_GRONDSOORT]]),"ONWAAR","WAAR")</f>
        <v>WAAR</v>
      </c>
      <c r="C191" s="15" t="str">
        <f>IF(ISBLANK(D[[#This Row],[CLAS_VN_HOOFDNAAM]]),"ONWAAR","WAAR")</f>
        <v>ONWAAR</v>
      </c>
      <c r="D191" s="15" t="str">
        <f>IF(ISBLANK(D[[#This Row],[KV_GRONDSOORT]]),"ONWAAR","WAAR")</f>
        <v>ONWAAR</v>
      </c>
      <c r="E191" s="15" t="str">
        <f>IF(ISBLANK(D[[#This Row],[CPT_QNET]]),"ONWAAR","WAAR")</f>
        <v>ONWAAR</v>
      </c>
      <c r="F191" s="15" t="str">
        <f>IF(ISBLANK(D[[#This Row],[CRS_GRONDSOORT]]),"ONWAAR","WAAR")</f>
        <v>ONWAAR</v>
      </c>
      <c r="G191" s="15" t="str">
        <f>IF(ISBLANK(D[[#This Row],[SD_GRONDSOORT]]),"ONWAAR","WAAR")</f>
        <v>ONWAAR</v>
      </c>
      <c r="H191" s="15" t="str">
        <f>IF(ISBLANK(D[[#This Row],[DSS_GRONDSOORT]]),"ONWAAR","WAAR")</f>
        <v>ONWAAR</v>
      </c>
      <c r="I191" s="15" t="str">
        <f>IF(ISBLANK(D[[#This Row],[TXT_SS_GRONDSOORT]]),"ONWAAR","WAAR")</f>
        <v>ONWAAR</v>
      </c>
      <c r="J191" s="13" t="s">
        <v>2066</v>
      </c>
      <c r="L191" s="13" t="s">
        <v>1418</v>
      </c>
      <c r="M191" s="13" t="s">
        <v>1419</v>
      </c>
      <c r="P191" s="13" t="s">
        <v>1420</v>
      </c>
      <c r="V191" s="41">
        <v>135584.26</v>
      </c>
      <c r="W191" s="41">
        <v>415896.74</v>
      </c>
      <c r="X191" s="41">
        <v>4.4800000000000004</v>
      </c>
      <c r="Y191" s="13" t="s">
        <v>2067</v>
      </c>
      <c r="Z191" s="13" t="s">
        <v>1970</v>
      </c>
      <c r="AA191" s="39">
        <v>45153</v>
      </c>
      <c r="AB191" s="13" t="s">
        <v>2068</v>
      </c>
      <c r="AC191" s="13" t="s">
        <v>2069</v>
      </c>
      <c r="AD191" s="13" t="s">
        <v>1425</v>
      </c>
      <c r="AE191" s="13" t="s">
        <v>1973</v>
      </c>
      <c r="AF191" s="13" t="s">
        <v>1427</v>
      </c>
      <c r="AG191" s="41"/>
      <c r="AI191" s="13">
        <v>1</v>
      </c>
      <c r="AJ191" s="13" t="s">
        <v>1646</v>
      </c>
      <c r="AK191" s="13" t="s">
        <v>1647</v>
      </c>
      <c r="AL191" s="41">
        <v>4.4800000000000004</v>
      </c>
      <c r="AM191" s="41">
        <v>3.48</v>
      </c>
      <c r="AN191" s="41">
        <v>0</v>
      </c>
      <c r="AO191" s="41">
        <v>1</v>
      </c>
      <c r="AQ191" s="13" t="s">
        <v>1964</v>
      </c>
      <c r="AR191" s="13" t="s">
        <v>1431</v>
      </c>
      <c r="AS191" s="13" t="s">
        <v>2066</v>
      </c>
      <c r="AT191" s="13" t="s">
        <v>1425</v>
      </c>
      <c r="AU191" s="13" t="s">
        <v>1432</v>
      </c>
      <c r="AV191" s="39">
        <v>45279</v>
      </c>
      <c r="AW191" s="13" t="s">
        <v>2070</v>
      </c>
      <c r="AY191" s="41">
        <v>3.9</v>
      </c>
      <c r="AZ191" s="41">
        <v>17.2</v>
      </c>
      <c r="BA191" s="41">
        <v>12.1</v>
      </c>
      <c r="BB191" s="41">
        <v>41.9</v>
      </c>
    </row>
    <row r="192" spans="1:116">
      <c r="A192" s="14">
        <v>180</v>
      </c>
      <c r="B192" s="15" t="str">
        <f>IF(ISBLANK(D[[#This Row],[CLAS_GRONDSOORT]]),"ONWAAR","WAAR")</f>
        <v>WAAR</v>
      </c>
      <c r="C192" s="15" t="str">
        <f>IF(ISBLANK(D[[#This Row],[CLAS_VN_HOOFDNAAM]]),"ONWAAR","WAAR")</f>
        <v>ONWAAR</v>
      </c>
      <c r="D192" s="15" t="str">
        <f>IF(ISBLANK(D[[#This Row],[KV_GRONDSOORT]]),"ONWAAR","WAAR")</f>
        <v>ONWAAR</v>
      </c>
      <c r="E192" s="15" t="str">
        <f>IF(ISBLANK(D[[#This Row],[CPT_QNET]]),"ONWAAR","WAAR")</f>
        <v>ONWAAR</v>
      </c>
      <c r="F192" s="15" t="str">
        <f>IF(ISBLANK(D[[#This Row],[CRS_GRONDSOORT]]),"ONWAAR","WAAR")</f>
        <v>ONWAAR</v>
      </c>
      <c r="G192" s="15" t="str">
        <f>IF(ISBLANK(D[[#This Row],[SD_GRONDSOORT]]),"ONWAAR","WAAR")</f>
        <v>ONWAAR</v>
      </c>
      <c r="H192" s="15" t="str">
        <f>IF(ISBLANK(D[[#This Row],[DSS_GRONDSOORT]]),"ONWAAR","WAAR")</f>
        <v>ONWAAR</v>
      </c>
      <c r="I192" s="15" t="str">
        <f>IF(ISBLANK(D[[#This Row],[TXT_SS_GRONDSOORT]]),"ONWAAR","WAAR")</f>
        <v>ONWAAR</v>
      </c>
      <c r="J192" s="13" t="s">
        <v>2071</v>
      </c>
      <c r="L192" s="13" t="s">
        <v>1418</v>
      </c>
      <c r="M192" s="13" t="s">
        <v>1419</v>
      </c>
      <c r="P192" s="13" t="s">
        <v>1420</v>
      </c>
      <c r="V192" s="41">
        <v>135507.04999999999</v>
      </c>
      <c r="W192" s="41">
        <v>415831.8</v>
      </c>
      <c r="X192" s="41">
        <v>4.47</v>
      </c>
      <c r="Y192" s="13" t="s">
        <v>2072</v>
      </c>
      <c r="Z192" s="13" t="s">
        <v>2057</v>
      </c>
      <c r="AA192" s="39">
        <v>45166</v>
      </c>
      <c r="AB192" s="13" t="s">
        <v>2073</v>
      </c>
      <c r="AC192" s="13" t="s">
        <v>2074</v>
      </c>
      <c r="AD192" s="13" t="s">
        <v>1425</v>
      </c>
      <c r="AE192" s="13" t="s">
        <v>1962</v>
      </c>
      <c r="AF192" s="13" t="s">
        <v>1427</v>
      </c>
      <c r="AG192" s="41"/>
      <c r="AI192" s="13">
        <v>5</v>
      </c>
      <c r="AJ192" s="13" t="s">
        <v>1963</v>
      </c>
      <c r="AK192" s="13" t="s">
        <v>1429</v>
      </c>
      <c r="AL192" s="41">
        <v>3.97</v>
      </c>
      <c r="AM192" s="41">
        <v>3.77</v>
      </c>
      <c r="AN192" s="41">
        <v>0.5</v>
      </c>
      <c r="AO192" s="41">
        <v>0.7</v>
      </c>
      <c r="AQ192" s="13" t="s">
        <v>1964</v>
      </c>
      <c r="AR192" s="13" t="s">
        <v>1431</v>
      </c>
      <c r="AS192" s="13" t="s">
        <v>2071</v>
      </c>
      <c r="AT192" s="13" t="s">
        <v>1425</v>
      </c>
      <c r="AU192" s="13" t="s">
        <v>1432</v>
      </c>
      <c r="AV192" s="39">
        <v>45279</v>
      </c>
      <c r="AW192" s="13" t="s">
        <v>2075</v>
      </c>
      <c r="AY192" s="41">
        <v>3.87</v>
      </c>
      <c r="AZ192" s="41">
        <v>17.100000000000001</v>
      </c>
      <c r="BA192" s="41">
        <v>13.9</v>
      </c>
      <c r="BB192" s="41">
        <v>23.4</v>
      </c>
    </row>
    <row r="193" spans="1:116">
      <c r="A193" s="14">
        <v>181</v>
      </c>
      <c r="B193" s="15" t="str">
        <f>IF(ISBLANK(D[[#This Row],[CLAS_GRONDSOORT]]),"ONWAAR","WAAR")</f>
        <v>WAAR</v>
      </c>
      <c r="C193" s="15" t="str">
        <f>IF(ISBLANK(D[[#This Row],[CLAS_VN_HOOFDNAAM]]),"ONWAAR","WAAR")</f>
        <v>ONWAAR</v>
      </c>
      <c r="D193" s="15" t="str">
        <f>IF(ISBLANK(D[[#This Row],[KV_GRONDSOORT]]),"ONWAAR","WAAR")</f>
        <v>ONWAAR</v>
      </c>
      <c r="E193" s="15" t="str">
        <f>IF(ISBLANK(D[[#This Row],[CPT_QNET]]),"ONWAAR","WAAR")</f>
        <v>ONWAAR</v>
      </c>
      <c r="F193" s="15" t="str">
        <f>IF(ISBLANK(D[[#This Row],[CRS_GRONDSOORT]]),"ONWAAR","WAAR")</f>
        <v>ONWAAR</v>
      </c>
      <c r="G193" s="15" t="str">
        <f>IF(ISBLANK(D[[#This Row],[SD_GRONDSOORT]]),"ONWAAR","WAAR")</f>
        <v>ONWAAR</v>
      </c>
      <c r="H193" s="15" t="str">
        <f>IF(ISBLANK(D[[#This Row],[DSS_GRONDSOORT]]),"ONWAAR","WAAR")</f>
        <v>ONWAAR</v>
      </c>
      <c r="I193" s="15" t="str">
        <f>IF(ISBLANK(D[[#This Row],[TXT_SS_GRONDSOORT]]),"ONWAAR","WAAR")</f>
        <v>ONWAAR</v>
      </c>
      <c r="J193" s="13" t="s">
        <v>2076</v>
      </c>
      <c r="L193" s="13" t="s">
        <v>1418</v>
      </c>
      <c r="M193" s="13" t="s">
        <v>1419</v>
      </c>
      <c r="P193" s="13" t="s">
        <v>1420</v>
      </c>
      <c r="V193" s="41">
        <v>135494.92000000001</v>
      </c>
      <c r="W193" s="41">
        <v>415850.53</v>
      </c>
      <c r="X193" s="41">
        <v>4.6500000000000004</v>
      </c>
      <c r="Y193" s="13" t="s">
        <v>2077</v>
      </c>
      <c r="Z193" s="13" t="s">
        <v>1970</v>
      </c>
      <c r="AA193" s="39">
        <v>45153</v>
      </c>
      <c r="AB193" s="13" t="s">
        <v>2078</v>
      </c>
      <c r="AC193" s="13" t="s">
        <v>2079</v>
      </c>
      <c r="AD193" s="13" t="s">
        <v>1425</v>
      </c>
      <c r="AE193" s="13" t="s">
        <v>1973</v>
      </c>
      <c r="AF193" s="13" t="s">
        <v>1427</v>
      </c>
      <c r="AG193" s="41">
        <v>1.75</v>
      </c>
      <c r="AH193" s="13">
        <v>1.75</v>
      </c>
      <c r="AI193" s="13">
        <v>1</v>
      </c>
      <c r="AJ193" s="13" t="s">
        <v>1646</v>
      </c>
      <c r="AK193" s="13" t="s">
        <v>1647</v>
      </c>
      <c r="AL193" s="41">
        <v>4.6500000000000004</v>
      </c>
      <c r="AM193" s="41">
        <v>3.65</v>
      </c>
      <c r="AN193" s="41">
        <v>0</v>
      </c>
      <c r="AO193" s="41">
        <v>1</v>
      </c>
      <c r="AQ193" s="13" t="s">
        <v>1964</v>
      </c>
      <c r="AR193" s="13" t="s">
        <v>1431</v>
      </c>
      <c r="AS193" s="13" t="s">
        <v>2076</v>
      </c>
      <c r="AT193" s="13" t="s">
        <v>1425</v>
      </c>
      <c r="AU193" s="13" t="s">
        <v>1432</v>
      </c>
      <c r="AV193" s="39">
        <v>45279</v>
      </c>
      <c r="AW193" s="13" t="s">
        <v>2080</v>
      </c>
      <c r="AY193" s="41">
        <v>4.05</v>
      </c>
      <c r="AZ193" s="41">
        <v>18.8</v>
      </c>
      <c r="BA193" s="41">
        <v>14.1</v>
      </c>
      <c r="BB193" s="41">
        <v>32.799999999999997</v>
      </c>
    </row>
    <row r="194" spans="1:116">
      <c r="A194" s="14">
        <v>182</v>
      </c>
      <c r="B194" s="15" t="str">
        <f>IF(ISBLANK(D[[#This Row],[CLAS_GRONDSOORT]]),"ONWAAR","WAAR")</f>
        <v>WAAR</v>
      </c>
      <c r="C194" s="15" t="str">
        <f>IF(ISBLANK(D[[#This Row],[CLAS_VN_HOOFDNAAM]]),"ONWAAR","WAAR")</f>
        <v>ONWAAR</v>
      </c>
      <c r="D194" s="15" t="str">
        <f>IF(ISBLANK(D[[#This Row],[KV_GRONDSOORT]]),"ONWAAR","WAAR")</f>
        <v>ONWAAR</v>
      </c>
      <c r="E194" s="15" t="str">
        <f>IF(ISBLANK(D[[#This Row],[CPT_QNET]]),"ONWAAR","WAAR")</f>
        <v>ONWAAR</v>
      </c>
      <c r="F194" s="15" t="str">
        <f>IF(ISBLANK(D[[#This Row],[CRS_GRONDSOORT]]),"ONWAAR","WAAR")</f>
        <v>ONWAAR</v>
      </c>
      <c r="G194" s="15" t="str">
        <f>IF(ISBLANK(D[[#This Row],[SD_GRONDSOORT]]),"ONWAAR","WAAR")</f>
        <v>ONWAAR</v>
      </c>
      <c r="H194" s="15" t="str">
        <f>IF(ISBLANK(D[[#This Row],[DSS_GRONDSOORT]]),"ONWAAR","WAAR")</f>
        <v>ONWAAR</v>
      </c>
      <c r="I194" s="15" t="str">
        <f>IF(ISBLANK(D[[#This Row],[TXT_SS_GRONDSOORT]]),"ONWAAR","WAAR")</f>
        <v>ONWAAR</v>
      </c>
      <c r="J194" s="13" t="s">
        <v>2081</v>
      </c>
      <c r="L194" s="13" t="s">
        <v>1418</v>
      </c>
      <c r="M194" s="13" t="s">
        <v>1419</v>
      </c>
      <c r="P194" s="13" t="s">
        <v>1420</v>
      </c>
      <c r="V194" s="41">
        <v>135404.35999999999</v>
      </c>
      <c r="W194" s="41">
        <v>415803.78</v>
      </c>
      <c r="X194" s="41">
        <v>4.29</v>
      </c>
      <c r="Y194" s="13" t="s">
        <v>2082</v>
      </c>
      <c r="Z194" s="13" t="s">
        <v>1970</v>
      </c>
      <c r="AA194" s="39">
        <v>45155</v>
      </c>
      <c r="AB194" s="13" t="s">
        <v>2083</v>
      </c>
      <c r="AC194" s="13" t="s">
        <v>2084</v>
      </c>
      <c r="AD194" s="13" t="s">
        <v>1425</v>
      </c>
      <c r="AE194" s="13" t="s">
        <v>1973</v>
      </c>
      <c r="AF194" s="13" t="s">
        <v>1427</v>
      </c>
      <c r="AG194" s="41">
        <v>2.29</v>
      </c>
      <c r="AI194" s="13">
        <v>100</v>
      </c>
      <c r="AJ194" s="13" t="s">
        <v>1963</v>
      </c>
      <c r="AK194" s="13" t="s">
        <v>1429</v>
      </c>
      <c r="AL194" s="41">
        <v>3.79</v>
      </c>
      <c r="AM194" s="41">
        <v>3.59</v>
      </c>
      <c r="AN194" s="41">
        <v>0.5</v>
      </c>
      <c r="AO194" s="41">
        <v>0.7</v>
      </c>
      <c r="AQ194" s="13" t="s">
        <v>1964</v>
      </c>
      <c r="AR194" s="13" t="s">
        <v>1431</v>
      </c>
      <c r="AS194" s="13" t="s">
        <v>2081</v>
      </c>
      <c r="AT194" s="13" t="s">
        <v>1425</v>
      </c>
      <c r="AU194" s="13" t="s">
        <v>1432</v>
      </c>
      <c r="AV194" s="39">
        <v>45279</v>
      </c>
      <c r="AW194" s="13" t="s">
        <v>1730</v>
      </c>
      <c r="AY194" s="41">
        <v>3.66</v>
      </c>
      <c r="AZ194" s="41">
        <v>18.600000000000001</v>
      </c>
      <c r="BA194" s="41">
        <v>14.2</v>
      </c>
      <c r="BB194" s="41">
        <v>30.5</v>
      </c>
    </row>
    <row r="195" spans="1:116">
      <c r="A195" s="14">
        <v>183</v>
      </c>
      <c r="B195" s="15" t="str">
        <f>IF(ISBLANK(D[[#This Row],[CLAS_GRONDSOORT]]),"ONWAAR","WAAR")</f>
        <v>ONWAAR</v>
      </c>
      <c r="C195" s="15" t="str">
        <f>IF(ISBLANK(D[[#This Row],[CLAS_VN_HOOFDNAAM]]),"ONWAAR","WAAR")</f>
        <v>ONWAAR</v>
      </c>
      <c r="D195" s="15" t="str">
        <f>IF(ISBLANK(D[[#This Row],[KV_GRONDSOORT]]),"ONWAAR","WAAR")</f>
        <v>WAAR</v>
      </c>
      <c r="E195" s="15" t="str">
        <f>IF(ISBLANK(D[[#This Row],[CPT_QNET]]),"ONWAAR","WAAR")</f>
        <v>ONWAAR</v>
      </c>
      <c r="F195" s="15" t="str">
        <f>IF(ISBLANK(D[[#This Row],[CRS_GRONDSOORT]]),"ONWAAR","WAAR")</f>
        <v>ONWAAR</v>
      </c>
      <c r="G195" s="15" t="str">
        <f>IF(ISBLANK(D[[#This Row],[SD_GRONDSOORT]]),"ONWAAR","WAAR")</f>
        <v>ONWAAR</v>
      </c>
      <c r="H195" s="15" t="str">
        <f>IF(ISBLANK(D[[#This Row],[DSS_GRONDSOORT]]),"ONWAAR","WAAR")</f>
        <v>ONWAAR</v>
      </c>
      <c r="I195" s="15" t="str">
        <f>IF(ISBLANK(D[[#This Row],[TXT_SS_GRONDSOORT]]),"ONWAAR","WAAR")</f>
        <v>ONWAAR</v>
      </c>
      <c r="J195" s="13" t="s">
        <v>2085</v>
      </c>
      <c r="L195" s="13" t="s">
        <v>1418</v>
      </c>
      <c r="M195" s="13" t="s">
        <v>1419</v>
      </c>
      <c r="P195" s="13" t="s">
        <v>1420</v>
      </c>
      <c r="V195" s="41">
        <v>135338.22</v>
      </c>
      <c r="W195" s="41">
        <v>415724.68</v>
      </c>
      <c r="X195" s="41">
        <v>1.66</v>
      </c>
      <c r="Y195" s="13" t="s">
        <v>2086</v>
      </c>
      <c r="Z195" s="13" t="s">
        <v>1737</v>
      </c>
      <c r="AA195" s="39">
        <v>45162</v>
      </c>
      <c r="AB195" s="13" t="s">
        <v>2087</v>
      </c>
      <c r="AC195" s="13" t="s">
        <v>2088</v>
      </c>
      <c r="AD195" s="13" t="s">
        <v>1425</v>
      </c>
      <c r="AE195" s="13" t="s">
        <v>1962</v>
      </c>
      <c r="AF195" s="13" t="s">
        <v>1427</v>
      </c>
      <c r="AG195" s="41">
        <v>-0.94</v>
      </c>
      <c r="AI195" s="13">
        <v>100</v>
      </c>
      <c r="AJ195" s="13" t="s">
        <v>1646</v>
      </c>
      <c r="AK195" s="13" t="s">
        <v>1647</v>
      </c>
      <c r="AL195" s="41">
        <v>-1.84</v>
      </c>
      <c r="AM195" s="41">
        <v>-2.04</v>
      </c>
      <c r="AN195" s="41">
        <v>3.5</v>
      </c>
      <c r="AO195" s="41">
        <v>3.7</v>
      </c>
      <c r="AY195" s="41"/>
      <c r="AZ195" s="41"/>
      <c r="BA195" s="41"/>
      <c r="BB195" s="41"/>
      <c r="CE195" s="13" t="s">
        <v>2089</v>
      </c>
      <c r="CF195" s="13" t="s">
        <v>1431</v>
      </c>
      <c r="CG195" s="13" t="s">
        <v>2085</v>
      </c>
      <c r="CH195" s="13" t="s">
        <v>1425</v>
      </c>
      <c r="CI195" s="13" t="s">
        <v>1524</v>
      </c>
      <c r="CJ195" s="39">
        <v>45212</v>
      </c>
      <c r="CK195" s="13" t="s">
        <v>1807</v>
      </c>
      <c r="CM195" s="13">
        <v>151</v>
      </c>
      <c r="CN195" s="13">
        <v>140</v>
      </c>
      <c r="CO195" s="41">
        <v>0.6</v>
      </c>
      <c r="CP195" s="41">
        <v>86.06</v>
      </c>
      <c r="CQ195" s="41">
        <v>11.34</v>
      </c>
      <c r="CR195" s="41">
        <v>100</v>
      </c>
      <c r="CS195" s="41">
        <v>100</v>
      </c>
      <c r="CT195" s="41">
        <v>100</v>
      </c>
      <c r="CU195" s="41">
        <v>99.99</v>
      </c>
      <c r="CV195" s="41">
        <v>99.7</v>
      </c>
      <c r="CW195" s="41">
        <v>99.4</v>
      </c>
      <c r="CX195" s="41">
        <v>98.2</v>
      </c>
      <c r="CY195" s="41">
        <v>96.09</v>
      </c>
      <c r="CZ195" s="41">
        <v>88.98</v>
      </c>
      <c r="DA195" s="41">
        <v>73.75</v>
      </c>
      <c r="DB195" s="41">
        <v>41.19</v>
      </c>
      <c r="DC195" s="41">
        <v>13.34</v>
      </c>
      <c r="DD195" s="41">
        <v>5</v>
      </c>
      <c r="DE195" s="41">
        <v>3.64</v>
      </c>
      <c r="DF195" s="41">
        <v>3</v>
      </c>
      <c r="DG195" s="41">
        <v>2</v>
      </c>
      <c r="DH195" s="13">
        <v>180</v>
      </c>
      <c r="DI195" s="13">
        <v>165</v>
      </c>
      <c r="DJ195" s="13">
        <v>151</v>
      </c>
      <c r="DK195" s="13">
        <v>85</v>
      </c>
      <c r="DL195" s="13">
        <v>1.94</v>
      </c>
    </row>
    <row r="196" spans="1:116">
      <c r="A196" s="14">
        <v>184</v>
      </c>
      <c r="B196" s="15" t="str">
        <f>IF(ISBLANK(D[[#This Row],[CLAS_GRONDSOORT]]),"ONWAAR","WAAR")</f>
        <v>WAAR</v>
      </c>
      <c r="C196" s="15" t="str">
        <f>IF(ISBLANK(D[[#This Row],[CLAS_VN_HOOFDNAAM]]),"ONWAAR","WAAR")</f>
        <v>ONWAAR</v>
      </c>
      <c r="D196" s="15" t="str">
        <f>IF(ISBLANK(D[[#This Row],[KV_GRONDSOORT]]),"ONWAAR","WAAR")</f>
        <v>ONWAAR</v>
      </c>
      <c r="E196" s="15" t="str">
        <f>IF(ISBLANK(D[[#This Row],[CPT_QNET]]),"ONWAAR","WAAR")</f>
        <v>ONWAAR</v>
      </c>
      <c r="F196" s="15" t="str">
        <f>IF(ISBLANK(D[[#This Row],[CRS_GRONDSOORT]]),"ONWAAR","WAAR")</f>
        <v>ONWAAR</v>
      </c>
      <c r="G196" s="15" t="str">
        <f>IF(ISBLANK(D[[#This Row],[SD_GRONDSOORT]]),"ONWAAR","WAAR")</f>
        <v>ONWAAR</v>
      </c>
      <c r="H196" s="15" t="str">
        <f>IF(ISBLANK(D[[#This Row],[DSS_GRONDSOORT]]),"ONWAAR","WAAR")</f>
        <v>ONWAAR</v>
      </c>
      <c r="I196" s="15" t="str">
        <f>IF(ISBLANK(D[[#This Row],[TXT_SS_GRONDSOORT]]),"ONWAAR","WAAR")</f>
        <v>ONWAAR</v>
      </c>
      <c r="J196" s="13" t="s">
        <v>2090</v>
      </c>
      <c r="L196" s="13" t="s">
        <v>1418</v>
      </c>
      <c r="M196" s="13" t="s">
        <v>1419</v>
      </c>
      <c r="P196" s="13" t="s">
        <v>1420</v>
      </c>
      <c r="V196" s="41">
        <v>135230.41</v>
      </c>
      <c r="W196" s="41">
        <v>415710.05</v>
      </c>
      <c r="X196" s="41">
        <v>3.71</v>
      </c>
      <c r="Y196" s="13" t="s">
        <v>2091</v>
      </c>
      <c r="Z196" s="13" t="s">
        <v>1970</v>
      </c>
      <c r="AA196" s="39">
        <v>45155</v>
      </c>
      <c r="AB196" s="13" t="s">
        <v>2092</v>
      </c>
      <c r="AC196" s="13" t="s">
        <v>2093</v>
      </c>
      <c r="AD196" s="13" t="s">
        <v>1425</v>
      </c>
      <c r="AE196" s="13" t="s">
        <v>1973</v>
      </c>
      <c r="AF196" s="13" t="s">
        <v>1427</v>
      </c>
      <c r="AG196" s="41">
        <v>2.11</v>
      </c>
      <c r="AH196" s="13">
        <v>2.0099999999999998</v>
      </c>
      <c r="AI196" s="13">
        <v>100</v>
      </c>
      <c r="AJ196" s="13" t="s">
        <v>1963</v>
      </c>
      <c r="AK196" s="13" t="s">
        <v>1429</v>
      </c>
      <c r="AL196" s="41">
        <v>3.21</v>
      </c>
      <c r="AM196" s="41">
        <v>3.01</v>
      </c>
      <c r="AN196" s="41">
        <v>0.5</v>
      </c>
      <c r="AO196" s="41">
        <v>0.7</v>
      </c>
      <c r="AQ196" s="13" t="s">
        <v>1964</v>
      </c>
      <c r="AR196" s="13" t="s">
        <v>1431</v>
      </c>
      <c r="AS196" s="13" t="s">
        <v>2090</v>
      </c>
      <c r="AT196" s="13" t="s">
        <v>1425</v>
      </c>
      <c r="AU196" s="13" t="s">
        <v>1432</v>
      </c>
      <c r="AV196" s="39">
        <v>45279</v>
      </c>
      <c r="AW196" s="13" t="s">
        <v>2080</v>
      </c>
      <c r="AY196" s="41">
        <v>3.1</v>
      </c>
      <c r="AZ196" s="41">
        <v>17.7</v>
      </c>
      <c r="BA196" s="41">
        <v>12.8</v>
      </c>
      <c r="BB196" s="41">
        <v>37.9</v>
      </c>
    </row>
    <row r="197" spans="1:116">
      <c r="A197" s="14">
        <v>185</v>
      </c>
      <c r="B197" s="15" t="str">
        <f>IF(ISBLANK(D[[#This Row],[CLAS_GRONDSOORT]]),"ONWAAR","WAAR")</f>
        <v>WAAR</v>
      </c>
      <c r="C197" s="15" t="str">
        <f>IF(ISBLANK(D[[#This Row],[CLAS_VN_HOOFDNAAM]]),"ONWAAR","WAAR")</f>
        <v>ONWAAR</v>
      </c>
      <c r="D197" s="15" t="str">
        <f>IF(ISBLANK(D[[#This Row],[KV_GRONDSOORT]]),"ONWAAR","WAAR")</f>
        <v>ONWAAR</v>
      </c>
      <c r="E197" s="15" t="str">
        <f>IF(ISBLANK(D[[#This Row],[CPT_QNET]]),"ONWAAR","WAAR")</f>
        <v>ONWAAR</v>
      </c>
      <c r="F197" s="15" t="str">
        <f>IF(ISBLANK(D[[#This Row],[CRS_GRONDSOORT]]),"ONWAAR","WAAR")</f>
        <v>ONWAAR</v>
      </c>
      <c r="G197" s="15" t="str">
        <f>IF(ISBLANK(D[[#This Row],[SD_GRONDSOORT]]),"ONWAAR","WAAR")</f>
        <v>ONWAAR</v>
      </c>
      <c r="H197" s="15" t="str">
        <f>IF(ISBLANK(D[[#This Row],[DSS_GRONDSOORT]]),"ONWAAR","WAAR")</f>
        <v>ONWAAR</v>
      </c>
      <c r="I197" s="15" t="str">
        <f>IF(ISBLANK(D[[#This Row],[TXT_SS_GRONDSOORT]]),"ONWAAR","WAAR")</f>
        <v>ONWAAR</v>
      </c>
      <c r="J197" s="13" t="s">
        <v>2094</v>
      </c>
      <c r="L197" s="13" t="s">
        <v>1418</v>
      </c>
      <c r="M197" s="13" t="s">
        <v>1419</v>
      </c>
      <c r="P197" s="13" t="s">
        <v>1420</v>
      </c>
      <c r="V197" s="41">
        <v>135144.04</v>
      </c>
      <c r="W197" s="41">
        <v>415659.98</v>
      </c>
      <c r="X197" s="41">
        <v>3.83</v>
      </c>
      <c r="Y197" s="13" t="s">
        <v>2095</v>
      </c>
      <c r="Z197" s="13" t="s">
        <v>1970</v>
      </c>
      <c r="AA197" s="39">
        <v>45155</v>
      </c>
      <c r="AB197" s="13" t="s">
        <v>2096</v>
      </c>
      <c r="AC197" s="13" t="s">
        <v>2097</v>
      </c>
      <c r="AD197" s="13" t="s">
        <v>1425</v>
      </c>
      <c r="AE197" s="13" t="s">
        <v>1973</v>
      </c>
      <c r="AF197" s="13" t="s">
        <v>1427</v>
      </c>
      <c r="AG197" s="41">
        <v>2.13</v>
      </c>
      <c r="AH197" s="13">
        <v>2.0299999999999998</v>
      </c>
      <c r="AI197" s="13">
        <v>100</v>
      </c>
      <c r="AJ197" s="13" t="s">
        <v>1963</v>
      </c>
      <c r="AK197" s="13" t="s">
        <v>1429</v>
      </c>
      <c r="AL197" s="41">
        <v>3.33</v>
      </c>
      <c r="AM197" s="41">
        <v>3.13</v>
      </c>
      <c r="AN197" s="41">
        <v>0.5</v>
      </c>
      <c r="AO197" s="41">
        <v>0.7</v>
      </c>
      <c r="AQ197" s="13" t="s">
        <v>1964</v>
      </c>
      <c r="AR197" s="13" t="s">
        <v>1431</v>
      </c>
      <c r="AS197" s="13" t="s">
        <v>2094</v>
      </c>
      <c r="AT197" s="13" t="s">
        <v>1425</v>
      </c>
      <c r="AU197" s="13" t="s">
        <v>1432</v>
      </c>
      <c r="AV197" s="39">
        <v>45279</v>
      </c>
      <c r="AW197" s="13" t="s">
        <v>2098</v>
      </c>
      <c r="AY197" s="41">
        <v>3.24</v>
      </c>
      <c r="AZ197" s="41">
        <v>18.3</v>
      </c>
      <c r="BA197" s="41">
        <v>13.6</v>
      </c>
      <c r="BB197" s="41">
        <v>35.1</v>
      </c>
    </row>
    <row r="198" spans="1:116">
      <c r="A198" s="14">
        <v>186</v>
      </c>
      <c r="B198" s="15" t="str">
        <f>IF(ISBLANK(D[[#This Row],[CLAS_GRONDSOORT]]),"ONWAAR","WAAR")</f>
        <v>WAAR</v>
      </c>
      <c r="C198" s="15" t="str">
        <f>IF(ISBLANK(D[[#This Row],[CLAS_VN_HOOFDNAAM]]),"ONWAAR","WAAR")</f>
        <v>ONWAAR</v>
      </c>
      <c r="D198" s="15" t="str">
        <f>IF(ISBLANK(D[[#This Row],[KV_GRONDSOORT]]),"ONWAAR","WAAR")</f>
        <v>ONWAAR</v>
      </c>
      <c r="E198" s="15" t="str">
        <f>IF(ISBLANK(D[[#This Row],[CPT_QNET]]),"ONWAAR","WAAR")</f>
        <v>ONWAAR</v>
      </c>
      <c r="F198" s="15" t="str">
        <f>IF(ISBLANK(D[[#This Row],[CRS_GRONDSOORT]]),"ONWAAR","WAAR")</f>
        <v>ONWAAR</v>
      </c>
      <c r="G198" s="15" t="str">
        <f>IF(ISBLANK(D[[#This Row],[SD_GRONDSOORT]]),"ONWAAR","WAAR")</f>
        <v>ONWAAR</v>
      </c>
      <c r="H198" s="15" t="str">
        <f>IF(ISBLANK(D[[#This Row],[DSS_GRONDSOORT]]),"ONWAAR","WAAR")</f>
        <v>ONWAAR</v>
      </c>
      <c r="I198" s="15" t="str">
        <f>IF(ISBLANK(D[[#This Row],[TXT_SS_GRONDSOORT]]),"ONWAAR","WAAR")</f>
        <v>ONWAAR</v>
      </c>
      <c r="J198" s="13" t="s">
        <v>2099</v>
      </c>
      <c r="L198" s="13" t="s">
        <v>1418</v>
      </c>
      <c r="M198" s="13" t="s">
        <v>1419</v>
      </c>
      <c r="P198" s="13" t="s">
        <v>1420</v>
      </c>
      <c r="V198" s="41">
        <v>135051.95000000001</v>
      </c>
      <c r="W198" s="41">
        <v>415601.02</v>
      </c>
      <c r="X198" s="41">
        <v>3.76</v>
      </c>
      <c r="Y198" s="13" t="s">
        <v>2100</v>
      </c>
      <c r="Z198" s="13" t="s">
        <v>1970</v>
      </c>
      <c r="AA198" s="39">
        <v>45153</v>
      </c>
      <c r="AB198" s="13" t="s">
        <v>2101</v>
      </c>
      <c r="AC198" s="13" t="s">
        <v>2102</v>
      </c>
      <c r="AD198" s="13" t="s">
        <v>1425</v>
      </c>
      <c r="AE198" s="13" t="s">
        <v>1973</v>
      </c>
      <c r="AF198" s="13" t="s">
        <v>1427</v>
      </c>
      <c r="AG198" s="41">
        <v>2.56</v>
      </c>
      <c r="AH198" s="13">
        <v>2.56</v>
      </c>
      <c r="AI198" s="13">
        <v>1</v>
      </c>
      <c r="AJ198" s="13" t="s">
        <v>1646</v>
      </c>
      <c r="AK198" s="13" t="s">
        <v>1647</v>
      </c>
      <c r="AL198" s="41">
        <v>3.76</v>
      </c>
      <c r="AM198" s="41">
        <v>2.96</v>
      </c>
      <c r="AN198" s="41">
        <v>0</v>
      </c>
      <c r="AO198" s="41">
        <v>0.8</v>
      </c>
      <c r="AQ198" s="13" t="s">
        <v>1964</v>
      </c>
      <c r="AR198" s="13" t="s">
        <v>1431</v>
      </c>
      <c r="AS198" s="13" t="s">
        <v>2099</v>
      </c>
      <c r="AT198" s="13" t="s">
        <v>1425</v>
      </c>
      <c r="AU198" s="13" t="s">
        <v>1432</v>
      </c>
      <c r="AV198" s="39">
        <v>45279</v>
      </c>
      <c r="AW198" s="13" t="s">
        <v>2103</v>
      </c>
      <c r="AY198" s="41">
        <v>3.16</v>
      </c>
      <c r="AZ198" s="41">
        <v>18.8</v>
      </c>
      <c r="BA198" s="41">
        <v>14.8</v>
      </c>
      <c r="BB198" s="41">
        <v>27.4</v>
      </c>
    </row>
    <row r="199" spans="1:116">
      <c r="A199" s="14">
        <v>187</v>
      </c>
      <c r="B199" s="15" t="str">
        <f>IF(ISBLANK(D[[#This Row],[CLAS_GRONDSOORT]]),"ONWAAR","WAAR")</f>
        <v>ONWAAR</v>
      </c>
      <c r="C199" s="15" t="str">
        <f>IF(ISBLANK(D[[#This Row],[CLAS_VN_HOOFDNAAM]]),"ONWAAR","WAAR")</f>
        <v>ONWAAR</v>
      </c>
      <c r="D199" s="15" t="str">
        <f>IF(ISBLANK(D[[#This Row],[KV_GRONDSOORT]]),"ONWAAR","WAAR")</f>
        <v>WAAR</v>
      </c>
      <c r="E199" s="15" t="str">
        <f>IF(ISBLANK(D[[#This Row],[CPT_QNET]]),"ONWAAR","WAAR")</f>
        <v>ONWAAR</v>
      </c>
      <c r="F199" s="15" t="str">
        <f>IF(ISBLANK(D[[#This Row],[CRS_GRONDSOORT]]),"ONWAAR","WAAR")</f>
        <v>ONWAAR</v>
      </c>
      <c r="G199" s="15" t="str">
        <f>IF(ISBLANK(D[[#This Row],[SD_GRONDSOORT]]),"ONWAAR","WAAR")</f>
        <v>ONWAAR</v>
      </c>
      <c r="H199" s="15" t="str">
        <f>IF(ISBLANK(D[[#This Row],[DSS_GRONDSOORT]]),"ONWAAR","WAAR")</f>
        <v>ONWAAR</v>
      </c>
      <c r="I199" s="15" t="str">
        <f>IF(ISBLANK(D[[#This Row],[TXT_SS_GRONDSOORT]]),"ONWAAR","WAAR")</f>
        <v>ONWAAR</v>
      </c>
      <c r="J199" s="13" t="s">
        <v>2104</v>
      </c>
      <c r="L199" s="13" t="s">
        <v>1418</v>
      </c>
      <c r="M199" s="13" t="s">
        <v>1419</v>
      </c>
      <c r="P199" s="13" t="s">
        <v>1420</v>
      </c>
      <c r="V199" s="41">
        <v>135003.63</v>
      </c>
      <c r="W199" s="41">
        <v>415511.23</v>
      </c>
      <c r="X199" s="41">
        <v>1.02</v>
      </c>
      <c r="Y199" s="13" t="s">
        <v>2105</v>
      </c>
      <c r="Z199" s="13" t="s">
        <v>1737</v>
      </c>
      <c r="AA199" s="39">
        <v>45169</v>
      </c>
      <c r="AB199" s="13" t="s">
        <v>2106</v>
      </c>
      <c r="AC199" s="13" t="s">
        <v>2107</v>
      </c>
      <c r="AD199" s="13" t="s">
        <v>1425</v>
      </c>
      <c r="AE199" s="13" t="s">
        <v>1973</v>
      </c>
      <c r="AF199" s="13" t="s">
        <v>1427</v>
      </c>
      <c r="AG199" s="41">
        <v>-0.08</v>
      </c>
      <c r="AI199" s="13">
        <v>7</v>
      </c>
      <c r="AJ199" s="13" t="s">
        <v>1646</v>
      </c>
      <c r="AK199" s="13" t="s">
        <v>1647</v>
      </c>
      <c r="AL199" s="41">
        <v>-1.98</v>
      </c>
      <c r="AM199" s="41">
        <v>-2.98</v>
      </c>
      <c r="AN199" s="41">
        <v>3</v>
      </c>
      <c r="AO199" s="41">
        <v>4</v>
      </c>
      <c r="AY199" s="41"/>
      <c r="AZ199" s="41"/>
      <c r="BA199" s="41"/>
      <c r="BB199" s="41"/>
      <c r="CE199" s="13" t="s">
        <v>2108</v>
      </c>
      <c r="CF199" s="13" t="s">
        <v>1431</v>
      </c>
      <c r="CG199" s="13" t="s">
        <v>2104</v>
      </c>
      <c r="CH199" s="13" t="s">
        <v>1425</v>
      </c>
      <c r="CI199" s="13" t="s">
        <v>1524</v>
      </c>
      <c r="CJ199" s="39">
        <v>45212</v>
      </c>
      <c r="CK199" s="13" t="s">
        <v>1807</v>
      </c>
      <c r="CM199" s="13">
        <v>166</v>
      </c>
      <c r="CN199" s="13">
        <v>159</v>
      </c>
      <c r="CO199" s="41">
        <v>0.01</v>
      </c>
      <c r="CP199" s="41">
        <v>91.52</v>
      </c>
      <c r="CQ199" s="41">
        <v>6.47</v>
      </c>
      <c r="CR199" s="41">
        <v>100</v>
      </c>
      <c r="CS199" s="41">
        <v>100</v>
      </c>
      <c r="CT199" s="41">
        <v>100</v>
      </c>
      <c r="CU199" s="41">
        <v>100</v>
      </c>
      <c r="CV199" s="41">
        <v>100</v>
      </c>
      <c r="CW199" s="41">
        <v>99.99</v>
      </c>
      <c r="CX199" s="41">
        <v>99.31</v>
      </c>
      <c r="CY199" s="41">
        <v>97.45</v>
      </c>
      <c r="CZ199" s="41">
        <v>85.38</v>
      </c>
      <c r="DA199" s="41">
        <v>63.11</v>
      </c>
      <c r="DB199" s="41">
        <v>28.58</v>
      </c>
      <c r="DC199" s="41">
        <v>8.4700000000000006</v>
      </c>
      <c r="DD199" s="41">
        <v>5</v>
      </c>
      <c r="DE199" s="41">
        <v>3.64</v>
      </c>
      <c r="DF199" s="41">
        <v>3</v>
      </c>
      <c r="DG199" s="41">
        <v>2</v>
      </c>
      <c r="DH199" s="13">
        <v>210</v>
      </c>
      <c r="DI199" s="13">
        <v>181</v>
      </c>
      <c r="DJ199" s="13">
        <v>166</v>
      </c>
      <c r="DK199" s="13">
        <v>97</v>
      </c>
      <c r="DL199" s="13">
        <v>1.86</v>
      </c>
    </row>
    <row r="200" spans="1:116">
      <c r="A200" s="14">
        <v>188</v>
      </c>
      <c r="B200" s="15" t="str">
        <f>IF(ISBLANK(D[[#This Row],[CLAS_GRONDSOORT]]),"ONWAAR","WAAR")</f>
        <v>WAAR</v>
      </c>
      <c r="C200" s="15" t="str">
        <f>IF(ISBLANK(D[[#This Row],[CLAS_VN_HOOFDNAAM]]),"ONWAAR","WAAR")</f>
        <v>ONWAAR</v>
      </c>
      <c r="D200" s="15" t="str">
        <f>IF(ISBLANK(D[[#This Row],[KV_GRONDSOORT]]),"ONWAAR","WAAR")</f>
        <v>ONWAAR</v>
      </c>
      <c r="E200" s="15" t="str">
        <f>IF(ISBLANK(D[[#This Row],[CPT_QNET]]),"ONWAAR","WAAR")</f>
        <v>ONWAAR</v>
      </c>
      <c r="F200" s="15" t="str">
        <f>IF(ISBLANK(D[[#This Row],[CRS_GRONDSOORT]]),"ONWAAR","WAAR")</f>
        <v>ONWAAR</v>
      </c>
      <c r="G200" s="15" t="str">
        <f>IF(ISBLANK(D[[#This Row],[SD_GRONDSOORT]]),"ONWAAR","WAAR")</f>
        <v>ONWAAR</v>
      </c>
      <c r="H200" s="15" t="str">
        <f>IF(ISBLANK(D[[#This Row],[DSS_GRONDSOORT]]),"ONWAAR","WAAR")</f>
        <v>ONWAAR</v>
      </c>
      <c r="I200" s="15" t="str">
        <f>IF(ISBLANK(D[[#This Row],[TXT_SS_GRONDSOORT]]),"ONWAAR","WAAR")</f>
        <v>ONWAAR</v>
      </c>
      <c r="J200" s="13" t="s">
        <v>2109</v>
      </c>
      <c r="L200" s="13" t="s">
        <v>1418</v>
      </c>
      <c r="M200" s="13" t="s">
        <v>1419</v>
      </c>
      <c r="P200" s="13" t="s">
        <v>1420</v>
      </c>
      <c r="V200" s="41">
        <v>134973.99</v>
      </c>
      <c r="W200" s="41">
        <v>415559.81</v>
      </c>
      <c r="X200" s="41">
        <v>3.53</v>
      </c>
      <c r="Y200" s="13" t="s">
        <v>2110</v>
      </c>
      <c r="Z200" s="13" t="s">
        <v>1970</v>
      </c>
      <c r="AA200" s="39">
        <v>45156</v>
      </c>
      <c r="AB200" s="13" t="s">
        <v>2111</v>
      </c>
      <c r="AC200" s="13" t="s">
        <v>2112</v>
      </c>
      <c r="AD200" s="13" t="s">
        <v>1425</v>
      </c>
      <c r="AE200" s="13" t="s">
        <v>1973</v>
      </c>
      <c r="AF200" s="13" t="s">
        <v>1427</v>
      </c>
      <c r="AG200" s="41"/>
      <c r="AI200" s="13">
        <v>100</v>
      </c>
      <c r="AJ200" s="13" t="s">
        <v>1963</v>
      </c>
      <c r="AK200" s="13" t="s">
        <v>1429</v>
      </c>
      <c r="AL200" s="41">
        <v>3.03</v>
      </c>
      <c r="AM200" s="41">
        <v>2.83</v>
      </c>
      <c r="AN200" s="41">
        <v>0.5</v>
      </c>
      <c r="AO200" s="41">
        <v>0.7</v>
      </c>
      <c r="AQ200" s="13" t="s">
        <v>1964</v>
      </c>
      <c r="AR200" s="13" t="s">
        <v>1431</v>
      </c>
      <c r="AS200" s="13" t="s">
        <v>2109</v>
      </c>
      <c r="AT200" s="13" t="s">
        <v>1425</v>
      </c>
      <c r="AU200" s="13" t="s">
        <v>1432</v>
      </c>
      <c r="AV200" s="39">
        <v>45279</v>
      </c>
      <c r="AW200" s="13" t="s">
        <v>2113</v>
      </c>
      <c r="AY200" s="41">
        <v>2.96</v>
      </c>
      <c r="AZ200" s="41">
        <v>18</v>
      </c>
      <c r="BA200" s="41">
        <v>13</v>
      </c>
      <c r="BB200" s="41">
        <v>38</v>
      </c>
    </row>
    <row r="201" spans="1:116">
      <c r="A201" s="14">
        <v>189</v>
      </c>
      <c r="B201" s="15" t="str">
        <f>IF(ISBLANK(D[[#This Row],[CLAS_GRONDSOORT]]),"ONWAAR","WAAR")</f>
        <v>ONWAAR</v>
      </c>
      <c r="C201" s="15" t="str">
        <f>IF(ISBLANK(D[[#This Row],[CLAS_VN_HOOFDNAAM]]),"ONWAAR","WAAR")</f>
        <v>ONWAAR</v>
      </c>
      <c r="D201" s="15" t="str">
        <f>IF(ISBLANK(D[[#This Row],[KV_GRONDSOORT]]),"ONWAAR","WAAR")</f>
        <v>WAAR</v>
      </c>
      <c r="E201" s="15" t="str">
        <f>IF(ISBLANK(D[[#This Row],[CPT_QNET]]),"ONWAAR","WAAR")</f>
        <v>ONWAAR</v>
      </c>
      <c r="F201" s="15" t="str">
        <f>IF(ISBLANK(D[[#This Row],[CRS_GRONDSOORT]]),"ONWAAR","WAAR")</f>
        <v>ONWAAR</v>
      </c>
      <c r="G201" s="15" t="str">
        <f>IF(ISBLANK(D[[#This Row],[SD_GRONDSOORT]]),"ONWAAR","WAAR")</f>
        <v>ONWAAR</v>
      </c>
      <c r="H201" s="15" t="str">
        <f>IF(ISBLANK(D[[#This Row],[DSS_GRONDSOORT]]),"ONWAAR","WAAR")</f>
        <v>ONWAAR</v>
      </c>
      <c r="I201" s="15" t="str">
        <f>IF(ISBLANK(D[[#This Row],[TXT_SS_GRONDSOORT]]),"ONWAAR","WAAR")</f>
        <v>ONWAAR</v>
      </c>
      <c r="J201" s="13" t="s">
        <v>2114</v>
      </c>
      <c r="L201" s="13" t="s">
        <v>1418</v>
      </c>
      <c r="M201" s="13" t="s">
        <v>1419</v>
      </c>
      <c r="P201" s="13" t="s">
        <v>1420</v>
      </c>
      <c r="V201" s="41">
        <v>134923.41</v>
      </c>
      <c r="W201" s="41">
        <v>415459.62</v>
      </c>
      <c r="X201" s="41">
        <v>0.95</v>
      </c>
      <c r="Y201" s="13" t="s">
        <v>2115</v>
      </c>
      <c r="Z201" s="13" t="s">
        <v>1737</v>
      </c>
      <c r="AA201" s="39">
        <v>45166</v>
      </c>
      <c r="AB201" s="13" t="s">
        <v>2116</v>
      </c>
      <c r="AC201" s="13" t="s">
        <v>2117</v>
      </c>
      <c r="AD201" s="13" t="s">
        <v>1425</v>
      </c>
      <c r="AE201" s="13" t="s">
        <v>1973</v>
      </c>
      <c r="AF201" s="13" t="s">
        <v>1427</v>
      </c>
      <c r="AG201" s="41">
        <v>-1.6</v>
      </c>
      <c r="AI201" s="13">
        <v>6</v>
      </c>
      <c r="AJ201" s="13" t="s">
        <v>1963</v>
      </c>
      <c r="AK201" s="13" t="s">
        <v>1647</v>
      </c>
      <c r="AL201" s="41">
        <v>-2.75</v>
      </c>
      <c r="AM201" s="41">
        <v>-3.55</v>
      </c>
      <c r="AN201" s="41">
        <v>3.7</v>
      </c>
      <c r="AO201" s="41">
        <v>4.5</v>
      </c>
      <c r="AY201" s="41"/>
      <c r="AZ201" s="41"/>
      <c r="BA201" s="41"/>
      <c r="BB201" s="41"/>
      <c r="CE201" s="13" t="s">
        <v>2118</v>
      </c>
      <c r="CF201" s="13" t="s">
        <v>1431</v>
      </c>
      <c r="CG201" s="13" t="s">
        <v>2114</v>
      </c>
      <c r="CH201" s="13" t="s">
        <v>1425</v>
      </c>
      <c r="CI201" s="13" t="s">
        <v>1524</v>
      </c>
      <c r="CJ201" s="39">
        <v>45212</v>
      </c>
      <c r="CK201" s="13" t="s">
        <v>1807</v>
      </c>
      <c r="CM201" s="13">
        <v>165</v>
      </c>
      <c r="CN201" s="13">
        <v>159</v>
      </c>
      <c r="CO201" s="41">
        <v>0.01</v>
      </c>
      <c r="CP201" s="41">
        <v>92.86</v>
      </c>
      <c r="CQ201" s="41">
        <v>5.13</v>
      </c>
      <c r="CR201" s="41">
        <v>100</v>
      </c>
      <c r="CS201" s="41">
        <v>100</v>
      </c>
      <c r="CT201" s="41">
        <v>100</v>
      </c>
      <c r="CU201" s="41">
        <v>100</v>
      </c>
      <c r="CV201" s="41">
        <v>100</v>
      </c>
      <c r="CW201" s="41">
        <v>99.99</v>
      </c>
      <c r="CX201" s="41">
        <v>99.21</v>
      </c>
      <c r="CY201" s="41">
        <v>97.93</v>
      </c>
      <c r="CZ201" s="41">
        <v>54.75</v>
      </c>
      <c r="DA201" s="41">
        <v>63.15</v>
      </c>
      <c r="DB201" s="41">
        <v>28.67</v>
      </c>
      <c r="DC201" s="41">
        <v>7.13</v>
      </c>
      <c r="DD201" s="41">
        <v>2.2999999999999998</v>
      </c>
      <c r="DE201" s="41">
        <v>2.16</v>
      </c>
      <c r="DF201" s="41">
        <v>2.1</v>
      </c>
      <c r="DG201" s="41">
        <v>2</v>
      </c>
      <c r="DH201" s="13">
        <v>295</v>
      </c>
      <c r="DI201" s="13">
        <v>180</v>
      </c>
      <c r="DJ201" s="13">
        <v>165</v>
      </c>
      <c r="DK201" s="13">
        <v>95</v>
      </c>
      <c r="DL201" s="13">
        <v>1.89</v>
      </c>
    </row>
    <row r="202" spans="1:116">
      <c r="A202" s="14">
        <v>190</v>
      </c>
      <c r="B202" s="15" t="str">
        <f>IF(ISBLANK(D[[#This Row],[CLAS_GRONDSOORT]]),"ONWAAR","WAAR")</f>
        <v>WAAR</v>
      </c>
      <c r="C202" s="15" t="str">
        <f>IF(ISBLANK(D[[#This Row],[CLAS_VN_HOOFDNAAM]]),"ONWAAR","WAAR")</f>
        <v>ONWAAR</v>
      </c>
      <c r="D202" s="15" t="str">
        <f>IF(ISBLANK(D[[#This Row],[KV_GRONDSOORT]]),"ONWAAR","WAAR")</f>
        <v>ONWAAR</v>
      </c>
      <c r="E202" s="15" t="str">
        <f>IF(ISBLANK(D[[#This Row],[CPT_QNET]]),"ONWAAR","WAAR")</f>
        <v>ONWAAR</v>
      </c>
      <c r="F202" s="15" t="str">
        <f>IF(ISBLANK(D[[#This Row],[CRS_GRONDSOORT]]),"ONWAAR","WAAR")</f>
        <v>ONWAAR</v>
      </c>
      <c r="G202" s="15" t="str">
        <f>IF(ISBLANK(D[[#This Row],[SD_GRONDSOORT]]),"ONWAAR","WAAR")</f>
        <v>ONWAAR</v>
      </c>
      <c r="H202" s="15" t="str">
        <f>IF(ISBLANK(D[[#This Row],[DSS_GRONDSOORT]]),"ONWAAR","WAAR")</f>
        <v>ONWAAR</v>
      </c>
      <c r="I202" s="15" t="str">
        <f>IF(ISBLANK(D[[#This Row],[TXT_SS_GRONDSOORT]]),"ONWAAR","WAAR")</f>
        <v>ONWAAR</v>
      </c>
      <c r="J202" s="13" t="s">
        <v>2119</v>
      </c>
      <c r="L202" s="13" t="s">
        <v>1418</v>
      </c>
      <c r="M202" s="13" t="s">
        <v>1419</v>
      </c>
      <c r="P202" s="13" t="s">
        <v>1420</v>
      </c>
      <c r="V202" s="41">
        <v>134889.98000000001</v>
      </c>
      <c r="W202" s="41">
        <v>415505.71</v>
      </c>
      <c r="X202" s="41">
        <v>3.82</v>
      </c>
      <c r="Y202" s="13" t="s">
        <v>2120</v>
      </c>
      <c r="Z202" s="13" t="s">
        <v>1970</v>
      </c>
      <c r="AA202" s="39">
        <v>45156</v>
      </c>
      <c r="AB202" s="13" t="s">
        <v>2121</v>
      </c>
      <c r="AC202" s="13" t="s">
        <v>2122</v>
      </c>
      <c r="AD202" s="13" t="s">
        <v>1425</v>
      </c>
      <c r="AE202" s="13" t="s">
        <v>1973</v>
      </c>
      <c r="AF202" s="13" t="s">
        <v>1427</v>
      </c>
      <c r="AG202" s="41">
        <v>1.47</v>
      </c>
      <c r="AH202" s="13">
        <v>1.1200000000000001</v>
      </c>
      <c r="AI202" s="13">
        <v>100</v>
      </c>
      <c r="AJ202" s="13" t="s">
        <v>1963</v>
      </c>
      <c r="AK202" s="13" t="s">
        <v>1429</v>
      </c>
      <c r="AL202" s="41">
        <v>3.32</v>
      </c>
      <c r="AM202" s="41">
        <v>3.12</v>
      </c>
      <c r="AN202" s="41">
        <v>0.5</v>
      </c>
      <c r="AO202" s="41">
        <v>0.7</v>
      </c>
      <c r="AQ202" s="13" t="s">
        <v>1964</v>
      </c>
      <c r="AR202" s="13" t="s">
        <v>1431</v>
      </c>
      <c r="AS202" s="13" t="s">
        <v>2119</v>
      </c>
      <c r="AT202" s="13" t="s">
        <v>1425</v>
      </c>
      <c r="AU202" s="13" t="s">
        <v>1432</v>
      </c>
      <c r="AV202" s="39">
        <v>45279</v>
      </c>
      <c r="AW202" s="13" t="s">
        <v>1730</v>
      </c>
      <c r="AY202" s="41">
        <v>3.24</v>
      </c>
      <c r="AZ202" s="41">
        <v>18.399999999999999</v>
      </c>
      <c r="BA202" s="41">
        <v>13.8</v>
      </c>
      <c r="BB202" s="41">
        <v>33.6</v>
      </c>
    </row>
    <row r="203" spans="1:116">
      <c r="A203" s="14">
        <v>191</v>
      </c>
      <c r="B203" s="15" t="str">
        <f>IF(ISBLANK(D[[#This Row],[CLAS_GRONDSOORT]]),"ONWAAR","WAAR")</f>
        <v>WAAR</v>
      </c>
      <c r="C203" s="15" t="str">
        <f>IF(ISBLANK(D[[#This Row],[CLAS_VN_HOOFDNAAM]]),"ONWAAR","WAAR")</f>
        <v>ONWAAR</v>
      </c>
      <c r="D203" s="15" t="str">
        <f>IF(ISBLANK(D[[#This Row],[KV_GRONDSOORT]]),"ONWAAR","WAAR")</f>
        <v>ONWAAR</v>
      </c>
      <c r="E203" s="15" t="str">
        <f>IF(ISBLANK(D[[#This Row],[CPT_QNET]]),"ONWAAR","WAAR")</f>
        <v>ONWAAR</v>
      </c>
      <c r="F203" s="15" t="str">
        <f>IF(ISBLANK(D[[#This Row],[CRS_GRONDSOORT]]),"ONWAAR","WAAR")</f>
        <v>ONWAAR</v>
      </c>
      <c r="G203" s="15" t="str">
        <f>IF(ISBLANK(D[[#This Row],[SD_GRONDSOORT]]),"ONWAAR","WAAR")</f>
        <v>ONWAAR</v>
      </c>
      <c r="H203" s="15" t="str">
        <f>IF(ISBLANK(D[[#This Row],[DSS_GRONDSOORT]]),"ONWAAR","WAAR")</f>
        <v>ONWAAR</v>
      </c>
      <c r="I203" s="15" t="str">
        <f>IF(ISBLANK(D[[#This Row],[TXT_SS_GRONDSOORT]]),"ONWAAR","WAAR")</f>
        <v>ONWAAR</v>
      </c>
      <c r="J203" s="13" t="s">
        <v>2123</v>
      </c>
      <c r="L203" s="13" t="s">
        <v>1418</v>
      </c>
      <c r="M203" s="13" t="s">
        <v>1419</v>
      </c>
      <c r="P203" s="13" t="s">
        <v>1420</v>
      </c>
      <c r="V203" s="41">
        <v>134802.25</v>
      </c>
      <c r="W203" s="41">
        <v>415447.84</v>
      </c>
      <c r="X203" s="41">
        <v>3.87</v>
      </c>
      <c r="Y203" s="13" t="s">
        <v>2124</v>
      </c>
      <c r="Z203" s="13" t="s">
        <v>1970</v>
      </c>
      <c r="AA203" s="39">
        <v>45156</v>
      </c>
      <c r="AB203" s="13" t="s">
        <v>2125</v>
      </c>
      <c r="AC203" s="13" t="s">
        <v>2126</v>
      </c>
      <c r="AD203" s="13" t="s">
        <v>1425</v>
      </c>
      <c r="AE203" s="13" t="s">
        <v>1973</v>
      </c>
      <c r="AF203" s="13" t="s">
        <v>1427</v>
      </c>
      <c r="AG203" s="41">
        <v>1.57</v>
      </c>
      <c r="AH203" s="13">
        <v>0.87</v>
      </c>
      <c r="AI203" s="13">
        <v>100</v>
      </c>
      <c r="AJ203" s="13" t="s">
        <v>1963</v>
      </c>
      <c r="AK203" s="13" t="s">
        <v>1429</v>
      </c>
      <c r="AL203" s="41">
        <v>3.37</v>
      </c>
      <c r="AM203" s="41">
        <v>3.17</v>
      </c>
      <c r="AN203" s="41">
        <v>0.5</v>
      </c>
      <c r="AO203" s="41">
        <v>0.7</v>
      </c>
      <c r="AQ203" s="13" t="s">
        <v>1964</v>
      </c>
      <c r="AR203" s="13" t="s">
        <v>1431</v>
      </c>
      <c r="AS203" s="13" t="s">
        <v>2123</v>
      </c>
      <c r="AT203" s="13" t="s">
        <v>1425</v>
      </c>
      <c r="AU203" s="13" t="s">
        <v>1432</v>
      </c>
      <c r="AV203" s="39">
        <v>45279</v>
      </c>
      <c r="AW203" s="13" t="s">
        <v>2113</v>
      </c>
      <c r="AY203" s="41">
        <v>3.29</v>
      </c>
      <c r="AZ203" s="41">
        <v>18.600000000000001</v>
      </c>
      <c r="BA203" s="41">
        <v>13.7</v>
      </c>
      <c r="BB203" s="41">
        <v>35.9</v>
      </c>
    </row>
    <row r="204" spans="1:116">
      <c r="A204" s="14">
        <v>192</v>
      </c>
      <c r="B204" s="15" t="str">
        <f>IF(ISBLANK(D[[#This Row],[CLAS_GRONDSOORT]]),"ONWAAR","WAAR")</f>
        <v>WAAR</v>
      </c>
      <c r="C204" s="15" t="str">
        <f>IF(ISBLANK(D[[#This Row],[CLAS_VN_HOOFDNAAM]]),"ONWAAR","WAAR")</f>
        <v>ONWAAR</v>
      </c>
      <c r="D204" s="15" t="str">
        <f>IF(ISBLANK(D[[#This Row],[KV_GRONDSOORT]]),"ONWAAR","WAAR")</f>
        <v>ONWAAR</v>
      </c>
      <c r="E204" s="15" t="str">
        <f>IF(ISBLANK(D[[#This Row],[CPT_QNET]]),"ONWAAR","WAAR")</f>
        <v>ONWAAR</v>
      </c>
      <c r="F204" s="15" t="str">
        <f>IF(ISBLANK(D[[#This Row],[CRS_GRONDSOORT]]),"ONWAAR","WAAR")</f>
        <v>ONWAAR</v>
      </c>
      <c r="G204" s="15" t="str">
        <f>IF(ISBLANK(D[[#This Row],[SD_GRONDSOORT]]),"ONWAAR","WAAR")</f>
        <v>ONWAAR</v>
      </c>
      <c r="H204" s="15" t="str">
        <f>IF(ISBLANK(D[[#This Row],[DSS_GRONDSOORT]]),"ONWAAR","WAAR")</f>
        <v>ONWAAR</v>
      </c>
      <c r="I204" s="15" t="str">
        <f>IF(ISBLANK(D[[#This Row],[TXT_SS_GRONDSOORT]]),"ONWAAR","WAAR")</f>
        <v>ONWAAR</v>
      </c>
      <c r="J204" s="13" t="s">
        <v>2127</v>
      </c>
      <c r="L204" s="13" t="s">
        <v>1418</v>
      </c>
      <c r="M204" s="13" t="s">
        <v>1419</v>
      </c>
      <c r="P204" s="13" t="s">
        <v>1420</v>
      </c>
      <c r="V204" s="41">
        <v>134750.39000000001</v>
      </c>
      <c r="W204" s="41">
        <v>415360.7</v>
      </c>
      <c r="X204" s="41">
        <v>1.07</v>
      </c>
      <c r="Y204" s="13" t="s">
        <v>2128</v>
      </c>
      <c r="Z204" s="13" t="s">
        <v>1737</v>
      </c>
      <c r="AA204" s="39">
        <v>45133</v>
      </c>
      <c r="AB204" s="13" t="s">
        <v>2129</v>
      </c>
      <c r="AC204" s="13" t="s">
        <v>2130</v>
      </c>
      <c r="AD204" s="13" t="s">
        <v>1425</v>
      </c>
      <c r="AE204" s="13" t="s">
        <v>2131</v>
      </c>
      <c r="AF204" s="13" t="s">
        <v>1427</v>
      </c>
      <c r="AG204" s="41">
        <v>-0.53</v>
      </c>
      <c r="AI204" s="13">
        <v>1</v>
      </c>
      <c r="AJ204" s="13" t="s">
        <v>2132</v>
      </c>
      <c r="AK204" s="13" t="s">
        <v>1429</v>
      </c>
      <c r="AL204" s="41">
        <v>0.67</v>
      </c>
      <c r="AM204" s="41">
        <v>0.52</v>
      </c>
      <c r="AN204" s="41">
        <v>0.4</v>
      </c>
      <c r="AO204" s="41">
        <v>0.55000000000000004</v>
      </c>
      <c r="AQ204" s="13" t="s">
        <v>1964</v>
      </c>
      <c r="AR204" s="13" t="s">
        <v>1431</v>
      </c>
      <c r="AS204" s="13" t="s">
        <v>2127</v>
      </c>
      <c r="AT204" s="13" t="s">
        <v>1425</v>
      </c>
      <c r="AU204" s="13" t="s">
        <v>1432</v>
      </c>
      <c r="AV204" s="39">
        <v>45279</v>
      </c>
      <c r="AW204" s="13" t="s">
        <v>2133</v>
      </c>
      <c r="AY204" s="41">
        <v>0.6</v>
      </c>
      <c r="AZ204" s="41">
        <v>16</v>
      </c>
      <c r="BA204" s="41">
        <v>12.4</v>
      </c>
      <c r="BB204" s="41">
        <v>29.4</v>
      </c>
    </row>
    <row r="205" spans="1:116">
      <c r="A205" s="14">
        <v>193</v>
      </c>
      <c r="B205" s="15" t="str">
        <f>IF(ISBLANK(D[[#This Row],[CLAS_GRONDSOORT]]),"ONWAAR","WAAR")</f>
        <v>WAAR</v>
      </c>
      <c r="C205" s="15" t="str">
        <f>IF(ISBLANK(D[[#This Row],[CLAS_VN_HOOFDNAAM]]),"ONWAAR","WAAR")</f>
        <v>ONWAAR</v>
      </c>
      <c r="D205" s="15" t="str">
        <f>IF(ISBLANK(D[[#This Row],[KV_GRONDSOORT]]),"ONWAAR","WAAR")</f>
        <v>ONWAAR</v>
      </c>
      <c r="E205" s="15" t="str">
        <f>IF(ISBLANK(D[[#This Row],[CPT_QNET]]),"ONWAAR","WAAR")</f>
        <v>ONWAAR</v>
      </c>
      <c r="F205" s="15" t="str">
        <f>IF(ISBLANK(D[[#This Row],[CRS_GRONDSOORT]]),"ONWAAR","WAAR")</f>
        <v>ONWAAR</v>
      </c>
      <c r="G205" s="15" t="str">
        <f>IF(ISBLANK(D[[#This Row],[SD_GRONDSOORT]]),"ONWAAR","WAAR")</f>
        <v>ONWAAR</v>
      </c>
      <c r="H205" s="15" t="str">
        <f>IF(ISBLANK(D[[#This Row],[DSS_GRONDSOORT]]),"ONWAAR","WAAR")</f>
        <v>ONWAAR</v>
      </c>
      <c r="I205" s="15" t="str">
        <f>IF(ISBLANK(D[[#This Row],[TXT_SS_GRONDSOORT]]),"ONWAAR","WAAR")</f>
        <v>ONWAAR</v>
      </c>
      <c r="J205" s="13" t="s">
        <v>2134</v>
      </c>
      <c r="L205" s="13" t="s">
        <v>1418</v>
      </c>
      <c r="M205" s="13" t="s">
        <v>1419</v>
      </c>
      <c r="P205" s="13" t="s">
        <v>1420</v>
      </c>
      <c r="V205" s="41">
        <v>134750.39000000001</v>
      </c>
      <c r="W205" s="41">
        <v>415360.7</v>
      </c>
      <c r="X205" s="41">
        <v>1.07</v>
      </c>
      <c r="Y205" s="13" t="s">
        <v>2128</v>
      </c>
      <c r="Z205" s="13" t="s">
        <v>1737</v>
      </c>
      <c r="AA205" s="39">
        <v>45133</v>
      </c>
      <c r="AB205" s="13" t="s">
        <v>2129</v>
      </c>
      <c r="AC205" s="13" t="s">
        <v>2130</v>
      </c>
      <c r="AD205" s="13" t="s">
        <v>1425</v>
      </c>
      <c r="AE205" s="13" t="s">
        <v>2131</v>
      </c>
      <c r="AF205" s="13" t="s">
        <v>1427</v>
      </c>
      <c r="AG205" s="41">
        <v>-0.53</v>
      </c>
      <c r="AI205" s="13">
        <v>2</v>
      </c>
      <c r="AJ205" s="13" t="s">
        <v>2132</v>
      </c>
      <c r="AK205" s="13" t="s">
        <v>1429</v>
      </c>
      <c r="AL205" s="41">
        <v>0.27</v>
      </c>
      <c r="AM205" s="41">
        <v>0.09</v>
      </c>
      <c r="AN205" s="41">
        <v>0.8</v>
      </c>
      <c r="AO205" s="41">
        <v>0.98</v>
      </c>
      <c r="AQ205" s="13" t="s">
        <v>1964</v>
      </c>
      <c r="AR205" s="13" t="s">
        <v>1431</v>
      </c>
      <c r="AS205" s="13" t="s">
        <v>2134</v>
      </c>
      <c r="AT205" s="13" t="s">
        <v>1425</v>
      </c>
      <c r="AU205" s="13" t="s">
        <v>1432</v>
      </c>
      <c r="AV205" s="39">
        <v>45279</v>
      </c>
      <c r="AW205" s="13" t="s">
        <v>1732</v>
      </c>
      <c r="AY205" s="41">
        <v>0.15</v>
      </c>
      <c r="AZ205" s="41">
        <v>17.8</v>
      </c>
      <c r="BA205" s="41">
        <v>13</v>
      </c>
      <c r="BB205" s="41">
        <v>37.1</v>
      </c>
    </row>
    <row r="206" spans="1:116">
      <c r="A206" s="14">
        <v>194</v>
      </c>
      <c r="B206" s="15" t="str">
        <f>IF(ISBLANK(D[[#This Row],[CLAS_GRONDSOORT]]),"ONWAAR","WAAR")</f>
        <v>WAAR</v>
      </c>
      <c r="C206" s="15" t="str">
        <f>IF(ISBLANK(D[[#This Row],[CLAS_VN_HOOFDNAAM]]),"ONWAAR","WAAR")</f>
        <v>ONWAAR</v>
      </c>
      <c r="D206" s="15" t="str">
        <f>IF(ISBLANK(D[[#This Row],[KV_GRONDSOORT]]),"ONWAAR","WAAR")</f>
        <v>ONWAAR</v>
      </c>
      <c r="E206" s="15" t="str">
        <f>IF(ISBLANK(D[[#This Row],[CPT_QNET]]),"ONWAAR","WAAR")</f>
        <v>ONWAAR</v>
      </c>
      <c r="F206" s="15" t="str">
        <f>IF(ISBLANK(D[[#This Row],[CRS_GRONDSOORT]]),"ONWAAR","WAAR")</f>
        <v>ONWAAR</v>
      </c>
      <c r="G206" s="15" t="str">
        <f>IF(ISBLANK(D[[#This Row],[SD_GRONDSOORT]]),"ONWAAR","WAAR")</f>
        <v>ONWAAR</v>
      </c>
      <c r="H206" s="15" t="str">
        <f>IF(ISBLANK(D[[#This Row],[DSS_GRONDSOORT]]),"ONWAAR","WAAR")</f>
        <v>ONWAAR</v>
      </c>
      <c r="I206" s="15" t="str">
        <f>IF(ISBLANK(D[[#This Row],[TXT_SS_GRONDSOORT]]),"ONWAAR","WAAR")</f>
        <v>ONWAAR</v>
      </c>
      <c r="J206" s="13" t="s">
        <v>2135</v>
      </c>
      <c r="L206" s="13" t="s">
        <v>1418</v>
      </c>
      <c r="M206" s="13" t="s">
        <v>1419</v>
      </c>
      <c r="P206" s="13" t="s">
        <v>1420</v>
      </c>
      <c r="V206" s="41">
        <v>134750.39000000001</v>
      </c>
      <c r="W206" s="41">
        <v>415360.7</v>
      </c>
      <c r="X206" s="41">
        <v>1.07</v>
      </c>
      <c r="Y206" s="13" t="s">
        <v>2128</v>
      </c>
      <c r="Z206" s="13" t="s">
        <v>1737</v>
      </c>
      <c r="AA206" s="39">
        <v>45133</v>
      </c>
      <c r="AB206" s="13" t="s">
        <v>2129</v>
      </c>
      <c r="AC206" s="13" t="s">
        <v>2130</v>
      </c>
      <c r="AD206" s="13" t="s">
        <v>1425</v>
      </c>
      <c r="AE206" s="13" t="s">
        <v>2131</v>
      </c>
      <c r="AF206" s="13" t="s">
        <v>1427</v>
      </c>
      <c r="AG206" s="41">
        <v>-0.53</v>
      </c>
      <c r="AI206" s="13">
        <v>3</v>
      </c>
      <c r="AJ206" s="13" t="s">
        <v>2132</v>
      </c>
      <c r="AK206" s="13" t="s">
        <v>1429</v>
      </c>
      <c r="AL206" s="41">
        <v>-0.23</v>
      </c>
      <c r="AM206" s="41">
        <v>-0.4</v>
      </c>
      <c r="AN206" s="41">
        <v>1.3</v>
      </c>
      <c r="AO206" s="41">
        <v>1.47</v>
      </c>
      <c r="AQ206" s="13" t="s">
        <v>1964</v>
      </c>
      <c r="AR206" s="13" t="s">
        <v>1431</v>
      </c>
      <c r="AS206" s="13" t="s">
        <v>2135</v>
      </c>
      <c r="AT206" s="13" t="s">
        <v>1425</v>
      </c>
      <c r="AU206" s="13" t="s">
        <v>1432</v>
      </c>
      <c r="AV206" s="39">
        <v>45279</v>
      </c>
      <c r="AW206" s="13" t="s">
        <v>1732</v>
      </c>
      <c r="AY206" s="41">
        <v>-0.32</v>
      </c>
      <c r="AZ206" s="41">
        <v>17.100000000000001</v>
      </c>
      <c r="BA206" s="41">
        <v>12</v>
      </c>
      <c r="BB206" s="41">
        <v>42.5</v>
      </c>
    </row>
    <row r="207" spans="1:116">
      <c r="A207" s="14">
        <v>195</v>
      </c>
      <c r="B207" s="15" t="str">
        <f>IF(ISBLANK(D[[#This Row],[CLAS_GRONDSOORT]]),"ONWAAR","WAAR")</f>
        <v>WAAR</v>
      </c>
      <c r="C207" s="15" t="str">
        <f>IF(ISBLANK(D[[#This Row],[CLAS_VN_HOOFDNAAM]]),"ONWAAR","WAAR")</f>
        <v>ONWAAR</v>
      </c>
      <c r="D207" s="15" t="str">
        <f>IF(ISBLANK(D[[#This Row],[KV_GRONDSOORT]]),"ONWAAR","WAAR")</f>
        <v>ONWAAR</v>
      </c>
      <c r="E207" s="15" t="str">
        <f>IF(ISBLANK(D[[#This Row],[CPT_QNET]]),"ONWAAR","WAAR")</f>
        <v>ONWAAR</v>
      </c>
      <c r="F207" s="15" t="str">
        <f>IF(ISBLANK(D[[#This Row],[CRS_GRONDSOORT]]),"ONWAAR","WAAR")</f>
        <v>ONWAAR</v>
      </c>
      <c r="G207" s="15" t="str">
        <f>IF(ISBLANK(D[[#This Row],[SD_GRONDSOORT]]),"ONWAAR","WAAR")</f>
        <v>ONWAAR</v>
      </c>
      <c r="H207" s="15" t="str">
        <f>IF(ISBLANK(D[[#This Row],[DSS_GRONDSOORT]]),"ONWAAR","WAAR")</f>
        <v>ONWAAR</v>
      </c>
      <c r="I207" s="15" t="str">
        <f>IF(ISBLANK(D[[#This Row],[TXT_SS_GRONDSOORT]]),"ONWAAR","WAAR")</f>
        <v>ONWAAR</v>
      </c>
      <c r="J207" s="13" t="s">
        <v>2136</v>
      </c>
      <c r="L207" s="13" t="s">
        <v>1418</v>
      </c>
      <c r="M207" s="13" t="s">
        <v>1419</v>
      </c>
      <c r="P207" s="13" t="s">
        <v>1420</v>
      </c>
      <c r="V207" s="41">
        <v>134750.39000000001</v>
      </c>
      <c r="W207" s="41">
        <v>415360.7</v>
      </c>
      <c r="X207" s="41">
        <v>1.07</v>
      </c>
      <c r="Y207" s="13" t="s">
        <v>2128</v>
      </c>
      <c r="Z207" s="13" t="s">
        <v>1737</v>
      </c>
      <c r="AA207" s="39">
        <v>45133</v>
      </c>
      <c r="AB207" s="13" t="s">
        <v>2129</v>
      </c>
      <c r="AC207" s="13" t="s">
        <v>2130</v>
      </c>
      <c r="AD207" s="13" t="s">
        <v>1425</v>
      </c>
      <c r="AE207" s="13" t="s">
        <v>2131</v>
      </c>
      <c r="AF207" s="13" t="s">
        <v>1427</v>
      </c>
      <c r="AG207" s="41">
        <v>-0.53</v>
      </c>
      <c r="AI207" s="13">
        <v>4</v>
      </c>
      <c r="AJ207" s="13" t="s">
        <v>2132</v>
      </c>
      <c r="AK207" s="13" t="s">
        <v>1429</v>
      </c>
      <c r="AL207" s="41">
        <v>-0.73</v>
      </c>
      <c r="AM207" s="41">
        <v>-0.87</v>
      </c>
      <c r="AN207" s="41">
        <v>1.8</v>
      </c>
      <c r="AO207" s="41">
        <v>1.94</v>
      </c>
      <c r="AQ207" s="13" t="s">
        <v>1964</v>
      </c>
      <c r="AR207" s="13" t="s">
        <v>1431</v>
      </c>
      <c r="AS207" s="13" t="s">
        <v>2136</v>
      </c>
      <c r="AT207" s="13" t="s">
        <v>1425</v>
      </c>
      <c r="AU207" s="13" t="s">
        <v>1432</v>
      </c>
      <c r="AV207" s="39">
        <v>45279</v>
      </c>
      <c r="AW207" s="13" t="s">
        <v>2137</v>
      </c>
      <c r="AY207" s="41">
        <v>-0.81</v>
      </c>
      <c r="AZ207" s="41">
        <v>11.1</v>
      </c>
      <c r="BA207" s="41">
        <v>3.1</v>
      </c>
      <c r="BB207" s="41">
        <v>256.8</v>
      </c>
    </row>
    <row r="208" spans="1:116">
      <c r="A208" s="14">
        <v>196</v>
      </c>
      <c r="B208" s="15" t="str">
        <f>IF(ISBLANK(D[[#This Row],[CLAS_GRONDSOORT]]),"ONWAAR","WAAR")</f>
        <v>WAAR</v>
      </c>
      <c r="C208" s="15" t="str">
        <f>IF(ISBLANK(D[[#This Row],[CLAS_VN_HOOFDNAAM]]),"ONWAAR","WAAR")</f>
        <v>ONWAAR</v>
      </c>
      <c r="D208" s="15" t="str">
        <f>IF(ISBLANK(D[[#This Row],[KV_GRONDSOORT]]),"ONWAAR","WAAR")</f>
        <v>ONWAAR</v>
      </c>
      <c r="E208" s="15" t="str">
        <f>IF(ISBLANK(D[[#This Row],[CPT_QNET]]),"ONWAAR","WAAR")</f>
        <v>ONWAAR</v>
      </c>
      <c r="F208" s="15" t="str">
        <f>IF(ISBLANK(D[[#This Row],[CRS_GRONDSOORT]]),"ONWAAR","WAAR")</f>
        <v>ONWAAR</v>
      </c>
      <c r="G208" s="15" t="str">
        <f>IF(ISBLANK(D[[#This Row],[SD_GRONDSOORT]]),"ONWAAR","WAAR")</f>
        <v>ONWAAR</v>
      </c>
      <c r="H208" s="15" t="str">
        <f>IF(ISBLANK(D[[#This Row],[DSS_GRONDSOORT]]),"ONWAAR","WAAR")</f>
        <v>ONWAAR</v>
      </c>
      <c r="I208" s="15" t="str">
        <f>IF(ISBLANK(D[[#This Row],[TXT_SS_GRONDSOORT]]),"ONWAAR","WAAR")</f>
        <v>ONWAAR</v>
      </c>
      <c r="J208" s="13" t="s">
        <v>2138</v>
      </c>
      <c r="L208" s="13" t="s">
        <v>1418</v>
      </c>
      <c r="M208" s="13" t="s">
        <v>1419</v>
      </c>
      <c r="P208" s="13" t="s">
        <v>1420</v>
      </c>
      <c r="V208" s="41">
        <v>134750.39000000001</v>
      </c>
      <c r="W208" s="41">
        <v>415360.7</v>
      </c>
      <c r="X208" s="41">
        <v>1.07</v>
      </c>
      <c r="Y208" s="13" t="s">
        <v>2128</v>
      </c>
      <c r="Z208" s="13" t="s">
        <v>1737</v>
      </c>
      <c r="AA208" s="39">
        <v>45133</v>
      </c>
      <c r="AB208" s="13" t="s">
        <v>2129</v>
      </c>
      <c r="AC208" s="13" t="s">
        <v>2130</v>
      </c>
      <c r="AD208" s="13" t="s">
        <v>1425</v>
      </c>
      <c r="AE208" s="13" t="s">
        <v>2131</v>
      </c>
      <c r="AF208" s="13" t="s">
        <v>1427</v>
      </c>
      <c r="AG208" s="41">
        <v>-0.53</v>
      </c>
      <c r="AI208" s="13">
        <v>5</v>
      </c>
      <c r="AJ208" s="13" t="s">
        <v>2132</v>
      </c>
      <c r="AK208" s="13" t="s">
        <v>1429</v>
      </c>
      <c r="AL208" s="41">
        <v>-1.43</v>
      </c>
      <c r="AM208" s="41">
        <v>-1.58</v>
      </c>
      <c r="AN208" s="41">
        <v>2.5</v>
      </c>
      <c r="AO208" s="41">
        <v>2.65</v>
      </c>
      <c r="AQ208" s="13" t="s">
        <v>1964</v>
      </c>
      <c r="AR208" s="13" t="s">
        <v>1431</v>
      </c>
      <c r="AS208" s="13" t="s">
        <v>2138</v>
      </c>
      <c r="AT208" s="13" t="s">
        <v>1425</v>
      </c>
      <c r="AU208" s="13" t="s">
        <v>1432</v>
      </c>
      <c r="AV208" s="39">
        <v>45279</v>
      </c>
      <c r="AW208" s="13" t="s">
        <v>2139</v>
      </c>
      <c r="AY208" s="41">
        <v>-1.21</v>
      </c>
      <c r="AZ208" s="41">
        <v>11</v>
      </c>
      <c r="BA208" s="41">
        <v>3</v>
      </c>
      <c r="BB208" s="41">
        <v>270.3</v>
      </c>
    </row>
    <row r="209" spans="1:116">
      <c r="A209" s="14">
        <v>197</v>
      </c>
      <c r="B209" s="15" t="str">
        <f>IF(ISBLANK(D[[#This Row],[CLAS_GRONDSOORT]]),"ONWAAR","WAAR")</f>
        <v>WAAR</v>
      </c>
      <c r="C209" s="15" t="str">
        <f>IF(ISBLANK(D[[#This Row],[CLAS_VN_HOOFDNAAM]]),"ONWAAR","WAAR")</f>
        <v>ONWAAR</v>
      </c>
      <c r="D209" s="15" t="str">
        <f>IF(ISBLANK(D[[#This Row],[KV_GRONDSOORT]]),"ONWAAR","WAAR")</f>
        <v>ONWAAR</v>
      </c>
      <c r="E209" s="15" t="str">
        <f>IF(ISBLANK(D[[#This Row],[CPT_QNET]]),"ONWAAR","WAAR")</f>
        <v>ONWAAR</v>
      </c>
      <c r="F209" s="15" t="str">
        <f>IF(ISBLANK(D[[#This Row],[CRS_GRONDSOORT]]),"ONWAAR","WAAR")</f>
        <v>ONWAAR</v>
      </c>
      <c r="G209" s="15" t="str">
        <f>IF(ISBLANK(D[[#This Row],[SD_GRONDSOORT]]),"ONWAAR","WAAR")</f>
        <v>ONWAAR</v>
      </c>
      <c r="H209" s="15" t="str">
        <f>IF(ISBLANK(D[[#This Row],[DSS_GRONDSOORT]]),"ONWAAR","WAAR")</f>
        <v>ONWAAR</v>
      </c>
      <c r="I209" s="15" t="str">
        <f>IF(ISBLANK(D[[#This Row],[TXT_SS_GRONDSOORT]]),"ONWAAR","WAAR")</f>
        <v>ONWAAR</v>
      </c>
      <c r="J209" s="13" t="s">
        <v>2140</v>
      </c>
      <c r="L209" s="13" t="s">
        <v>1418</v>
      </c>
      <c r="M209" s="13" t="s">
        <v>1419</v>
      </c>
      <c r="P209" s="13" t="s">
        <v>1420</v>
      </c>
      <c r="V209" s="41">
        <v>134724.84</v>
      </c>
      <c r="W209" s="41">
        <v>415390.67</v>
      </c>
      <c r="X209" s="41">
        <v>4.7</v>
      </c>
      <c r="Y209" s="13" t="s">
        <v>2141</v>
      </c>
      <c r="Z209" s="13" t="s">
        <v>1970</v>
      </c>
      <c r="AA209" s="39">
        <v>45156</v>
      </c>
      <c r="AB209" s="13" t="s">
        <v>2142</v>
      </c>
      <c r="AC209" s="13" t="s">
        <v>2143</v>
      </c>
      <c r="AD209" s="13" t="s">
        <v>1425</v>
      </c>
      <c r="AE209" s="13" t="s">
        <v>1973</v>
      </c>
      <c r="AF209" s="13" t="s">
        <v>1427</v>
      </c>
      <c r="AG209" s="41"/>
      <c r="AI209" s="13">
        <v>100</v>
      </c>
      <c r="AJ209" s="13" t="s">
        <v>1963</v>
      </c>
      <c r="AK209" s="13" t="s">
        <v>1429</v>
      </c>
      <c r="AL209" s="41">
        <v>4.2</v>
      </c>
      <c r="AM209" s="41">
        <v>4</v>
      </c>
      <c r="AN209" s="41">
        <v>0.5</v>
      </c>
      <c r="AO209" s="41">
        <v>0.7</v>
      </c>
      <c r="AQ209" s="13" t="s">
        <v>1964</v>
      </c>
      <c r="AR209" s="13" t="s">
        <v>1431</v>
      </c>
      <c r="AS209" s="13" t="s">
        <v>2140</v>
      </c>
      <c r="AT209" s="13" t="s">
        <v>1425</v>
      </c>
      <c r="AU209" s="13" t="s">
        <v>1432</v>
      </c>
      <c r="AV209" s="39">
        <v>45279</v>
      </c>
      <c r="AW209" s="13" t="s">
        <v>2113</v>
      </c>
      <c r="AY209" s="41">
        <v>4.08</v>
      </c>
      <c r="AZ209" s="41">
        <v>17.7</v>
      </c>
      <c r="BA209" s="41">
        <v>12.5</v>
      </c>
      <c r="BB209" s="41">
        <v>41.1</v>
      </c>
    </row>
    <row r="210" spans="1:116">
      <c r="A210" s="14">
        <v>198</v>
      </c>
      <c r="B210" s="15" t="str">
        <f>IF(ISBLANK(D[[#This Row],[CLAS_GRONDSOORT]]),"ONWAAR","WAAR")</f>
        <v>WAAR</v>
      </c>
      <c r="C210" s="15" t="str">
        <f>IF(ISBLANK(D[[#This Row],[CLAS_VN_HOOFDNAAM]]),"ONWAAR","WAAR")</f>
        <v>ONWAAR</v>
      </c>
      <c r="D210" s="15" t="str">
        <f>IF(ISBLANK(D[[#This Row],[KV_GRONDSOORT]]),"ONWAAR","WAAR")</f>
        <v>ONWAAR</v>
      </c>
      <c r="E210" s="15" t="str">
        <f>IF(ISBLANK(D[[#This Row],[CPT_QNET]]),"ONWAAR","WAAR")</f>
        <v>ONWAAR</v>
      </c>
      <c r="F210" s="15" t="str">
        <f>IF(ISBLANK(D[[#This Row],[CRS_GRONDSOORT]]),"ONWAAR","WAAR")</f>
        <v>ONWAAR</v>
      </c>
      <c r="G210" s="15" t="str">
        <f>IF(ISBLANK(D[[#This Row],[SD_GRONDSOORT]]),"ONWAAR","WAAR")</f>
        <v>ONWAAR</v>
      </c>
      <c r="H210" s="15" t="str">
        <f>IF(ISBLANK(D[[#This Row],[DSS_GRONDSOORT]]),"ONWAAR","WAAR")</f>
        <v>ONWAAR</v>
      </c>
      <c r="I210" s="15" t="str">
        <f>IF(ISBLANK(D[[#This Row],[TXT_SS_GRONDSOORT]]),"ONWAAR","WAAR")</f>
        <v>ONWAAR</v>
      </c>
      <c r="J210" s="13" t="s">
        <v>2144</v>
      </c>
      <c r="L210" s="13" t="s">
        <v>1418</v>
      </c>
      <c r="M210" s="13" t="s">
        <v>1419</v>
      </c>
      <c r="P210" s="13" t="s">
        <v>1420</v>
      </c>
      <c r="V210" s="41">
        <v>134641.85</v>
      </c>
      <c r="W210" s="41">
        <v>415336.92</v>
      </c>
      <c r="X210" s="41">
        <v>3.94</v>
      </c>
      <c r="Y210" s="13" t="s">
        <v>2145</v>
      </c>
      <c r="Z210" s="13" t="s">
        <v>1970</v>
      </c>
      <c r="AA210" s="39">
        <v>45156</v>
      </c>
      <c r="AB210" s="13" t="s">
        <v>2146</v>
      </c>
      <c r="AC210" s="13" t="s">
        <v>2147</v>
      </c>
      <c r="AD210" s="13" t="s">
        <v>1425</v>
      </c>
      <c r="AE210" s="13" t="s">
        <v>1973</v>
      </c>
      <c r="AF210" s="13" t="s">
        <v>1427</v>
      </c>
      <c r="AG210" s="41">
        <v>1.69</v>
      </c>
      <c r="AH210" s="13">
        <v>0.94</v>
      </c>
      <c r="AI210" s="13">
        <v>100</v>
      </c>
      <c r="AJ210" s="13" t="s">
        <v>1963</v>
      </c>
      <c r="AK210" s="13" t="s">
        <v>1429</v>
      </c>
      <c r="AL210" s="41">
        <v>3.44</v>
      </c>
      <c r="AM210" s="41">
        <v>3.24</v>
      </c>
      <c r="AN210" s="41">
        <v>0.5</v>
      </c>
      <c r="AO210" s="41">
        <v>0.7</v>
      </c>
      <c r="AQ210" s="13" t="s">
        <v>1964</v>
      </c>
      <c r="AR210" s="13" t="s">
        <v>1431</v>
      </c>
      <c r="AS210" s="13" t="s">
        <v>2144</v>
      </c>
      <c r="AT210" s="13" t="s">
        <v>1425</v>
      </c>
      <c r="AU210" s="13" t="s">
        <v>1432</v>
      </c>
      <c r="AV210" s="39">
        <v>45279</v>
      </c>
      <c r="AW210" s="13" t="s">
        <v>2113</v>
      </c>
      <c r="AY210" s="41">
        <v>3.33</v>
      </c>
      <c r="AZ210" s="41">
        <v>18.899999999999999</v>
      </c>
      <c r="BA210" s="41">
        <v>14.3</v>
      </c>
      <c r="BB210" s="41">
        <v>32.200000000000003</v>
      </c>
    </row>
    <row r="211" spans="1:116">
      <c r="A211" s="14">
        <v>199</v>
      </c>
      <c r="B211" s="15" t="str">
        <f>IF(ISBLANK(D[[#This Row],[CLAS_GRONDSOORT]]),"ONWAAR","WAAR")</f>
        <v>ONWAAR</v>
      </c>
      <c r="C211" s="15" t="str">
        <f>IF(ISBLANK(D[[#This Row],[CLAS_VN_HOOFDNAAM]]),"ONWAAR","WAAR")</f>
        <v>ONWAAR</v>
      </c>
      <c r="D211" s="15" t="str">
        <f>IF(ISBLANK(D[[#This Row],[KV_GRONDSOORT]]),"ONWAAR","WAAR")</f>
        <v>WAAR</v>
      </c>
      <c r="E211" s="15" t="str">
        <f>IF(ISBLANK(D[[#This Row],[CPT_QNET]]),"ONWAAR","WAAR")</f>
        <v>ONWAAR</v>
      </c>
      <c r="F211" s="15" t="str">
        <f>IF(ISBLANK(D[[#This Row],[CRS_GRONDSOORT]]),"ONWAAR","WAAR")</f>
        <v>ONWAAR</v>
      </c>
      <c r="G211" s="15" t="str">
        <f>IF(ISBLANK(D[[#This Row],[SD_GRONDSOORT]]),"ONWAAR","WAAR")</f>
        <v>ONWAAR</v>
      </c>
      <c r="H211" s="15" t="str">
        <f>IF(ISBLANK(D[[#This Row],[DSS_GRONDSOORT]]),"ONWAAR","WAAR")</f>
        <v>ONWAAR</v>
      </c>
      <c r="I211" s="15" t="str">
        <f>IF(ISBLANK(D[[#This Row],[TXT_SS_GRONDSOORT]]),"ONWAAR","WAAR")</f>
        <v>ONWAAR</v>
      </c>
      <c r="J211" s="13" t="s">
        <v>2148</v>
      </c>
      <c r="L211" s="13" t="s">
        <v>1418</v>
      </c>
      <c r="M211" s="13" t="s">
        <v>1419</v>
      </c>
      <c r="P211" s="13" t="s">
        <v>1420</v>
      </c>
      <c r="V211" s="41">
        <v>134596.14000000001</v>
      </c>
      <c r="W211" s="41">
        <v>415232.6</v>
      </c>
      <c r="X211" s="41">
        <v>1.1200000000000001</v>
      </c>
      <c r="Y211" s="13" t="s">
        <v>2149</v>
      </c>
      <c r="Z211" s="13" t="s">
        <v>1737</v>
      </c>
      <c r="AA211" s="39">
        <v>45160</v>
      </c>
      <c r="AB211" s="13" t="s">
        <v>2150</v>
      </c>
      <c r="AC211" s="13" t="s">
        <v>2151</v>
      </c>
      <c r="AD211" s="13" t="s">
        <v>1425</v>
      </c>
      <c r="AE211" s="13" t="s">
        <v>2152</v>
      </c>
      <c r="AF211" s="13" t="s">
        <v>1427</v>
      </c>
      <c r="AG211" s="41">
        <v>-1.38</v>
      </c>
      <c r="AI211" s="13">
        <v>6</v>
      </c>
      <c r="AJ211" s="13" t="s">
        <v>1963</v>
      </c>
      <c r="AK211" s="13" t="s">
        <v>1647</v>
      </c>
      <c r="AL211" s="41">
        <v>-2.08</v>
      </c>
      <c r="AM211" s="41">
        <v>-2.2799999999999998</v>
      </c>
      <c r="AN211" s="41">
        <v>3.2</v>
      </c>
      <c r="AO211" s="41">
        <v>3.4</v>
      </c>
      <c r="AY211" s="41"/>
      <c r="AZ211" s="41"/>
      <c r="BA211" s="41"/>
      <c r="BB211" s="41"/>
      <c r="CE211" s="13" t="s">
        <v>2153</v>
      </c>
      <c r="CF211" s="13" t="s">
        <v>1431</v>
      </c>
      <c r="CG211" s="13" t="s">
        <v>2148</v>
      </c>
      <c r="CH211" s="13" t="s">
        <v>1425</v>
      </c>
      <c r="CI211" s="13" t="s">
        <v>1524</v>
      </c>
      <c r="CJ211" s="39">
        <v>45212</v>
      </c>
      <c r="CK211" s="13" t="s">
        <v>1986</v>
      </c>
      <c r="CM211" s="13">
        <v>183</v>
      </c>
      <c r="CN211" s="13">
        <v>179</v>
      </c>
      <c r="CO211" s="41">
        <v>0.28999999999999998</v>
      </c>
      <c r="CP211" s="41">
        <v>95.89</v>
      </c>
      <c r="CQ211" s="41">
        <v>1.82</v>
      </c>
      <c r="CR211" s="41">
        <v>100</v>
      </c>
      <c r="CS211" s="41">
        <v>100</v>
      </c>
      <c r="CT211" s="41">
        <v>100</v>
      </c>
      <c r="CU211" s="41">
        <v>99.99</v>
      </c>
      <c r="CV211" s="41">
        <v>99.8</v>
      </c>
      <c r="CW211" s="41">
        <v>99.71</v>
      </c>
      <c r="CX211" s="41">
        <v>99.51</v>
      </c>
      <c r="CY211" s="41">
        <v>98.34</v>
      </c>
      <c r="CZ211" s="41">
        <v>78.569999999999993</v>
      </c>
      <c r="DA211" s="41">
        <v>50.59</v>
      </c>
      <c r="DB211" s="41">
        <v>13.99</v>
      </c>
      <c r="DC211" s="41">
        <v>3.82</v>
      </c>
      <c r="DD211" s="41">
        <v>3</v>
      </c>
      <c r="DE211" s="41">
        <v>2.59</v>
      </c>
      <c r="DF211" s="41">
        <v>2.4</v>
      </c>
      <c r="DG211" s="41">
        <v>2</v>
      </c>
      <c r="DH211" s="13">
        <v>231</v>
      </c>
      <c r="DI211" s="13">
        <v>207</v>
      </c>
      <c r="DJ211" s="13">
        <v>183</v>
      </c>
      <c r="DK211" s="13">
        <v>122</v>
      </c>
      <c r="DL211" s="13">
        <v>1.69</v>
      </c>
    </row>
    <row r="212" spans="1:116">
      <c r="A212" s="14">
        <v>200</v>
      </c>
      <c r="B212" s="15" t="str">
        <f>IF(ISBLANK(D[[#This Row],[CLAS_GRONDSOORT]]),"ONWAAR","WAAR")</f>
        <v>WAAR</v>
      </c>
      <c r="C212" s="15" t="str">
        <f>IF(ISBLANK(D[[#This Row],[CLAS_VN_HOOFDNAAM]]),"ONWAAR","WAAR")</f>
        <v>ONWAAR</v>
      </c>
      <c r="D212" s="15" t="str">
        <f>IF(ISBLANK(D[[#This Row],[KV_GRONDSOORT]]),"ONWAAR","WAAR")</f>
        <v>ONWAAR</v>
      </c>
      <c r="E212" s="15" t="str">
        <f>IF(ISBLANK(D[[#This Row],[CPT_QNET]]),"ONWAAR","WAAR")</f>
        <v>ONWAAR</v>
      </c>
      <c r="F212" s="15" t="str">
        <f>IF(ISBLANK(D[[#This Row],[CRS_GRONDSOORT]]),"ONWAAR","WAAR")</f>
        <v>ONWAAR</v>
      </c>
      <c r="G212" s="15" t="str">
        <f>IF(ISBLANK(D[[#This Row],[SD_GRONDSOORT]]),"ONWAAR","WAAR")</f>
        <v>ONWAAR</v>
      </c>
      <c r="H212" s="15" t="str">
        <f>IF(ISBLANK(D[[#This Row],[DSS_GRONDSOORT]]),"ONWAAR","WAAR")</f>
        <v>ONWAAR</v>
      </c>
      <c r="I212" s="15" t="str">
        <f>IF(ISBLANK(D[[#This Row],[TXT_SS_GRONDSOORT]]),"ONWAAR","WAAR")</f>
        <v>ONWAAR</v>
      </c>
      <c r="J212" s="13" t="s">
        <v>2154</v>
      </c>
      <c r="L212" s="13" t="s">
        <v>1418</v>
      </c>
      <c r="M212" s="13" t="s">
        <v>1419</v>
      </c>
      <c r="P212" s="13" t="s">
        <v>1420</v>
      </c>
      <c r="V212" s="41">
        <v>134587.51999999999</v>
      </c>
      <c r="W212" s="41">
        <v>415242.67</v>
      </c>
      <c r="X212" s="41">
        <v>0.84</v>
      </c>
      <c r="Y212" s="13" t="s">
        <v>2155</v>
      </c>
      <c r="Z212" s="13" t="s">
        <v>1737</v>
      </c>
      <c r="AA212" s="39">
        <v>45168</v>
      </c>
      <c r="AB212" s="13" t="s">
        <v>2156</v>
      </c>
      <c r="AC212" s="13" t="s">
        <v>2157</v>
      </c>
      <c r="AD212" s="13" t="s">
        <v>1425</v>
      </c>
      <c r="AE212" s="13" t="s">
        <v>2158</v>
      </c>
      <c r="AF212" s="13" t="s">
        <v>1427</v>
      </c>
      <c r="AG212" s="41">
        <v>0.14000000000000001</v>
      </c>
      <c r="AI212" s="13">
        <v>1</v>
      </c>
      <c r="AJ212" s="13" t="s">
        <v>1963</v>
      </c>
      <c r="AK212" s="13" t="s">
        <v>1429</v>
      </c>
      <c r="AL212" s="41">
        <v>-1.66</v>
      </c>
      <c r="AM212" s="41">
        <v>-1.86</v>
      </c>
      <c r="AN212" s="41">
        <v>2.5</v>
      </c>
      <c r="AO212" s="41">
        <v>2.7</v>
      </c>
      <c r="AQ212" s="13" t="s">
        <v>1964</v>
      </c>
      <c r="AR212" s="13" t="s">
        <v>1431</v>
      </c>
      <c r="AS212" s="13" t="s">
        <v>2154</v>
      </c>
      <c r="AT212" s="13" t="s">
        <v>1425</v>
      </c>
      <c r="AU212" s="13" t="s">
        <v>1432</v>
      </c>
      <c r="AV212" s="39">
        <v>45279</v>
      </c>
      <c r="AW212" s="13" t="s">
        <v>2159</v>
      </c>
      <c r="AY212" s="41">
        <v>-1.76</v>
      </c>
      <c r="AZ212" s="41"/>
      <c r="BA212" s="41"/>
      <c r="BB212" s="41"/>
    </row>
    <row r="213" spans="1:116">
      <c r="A213" s="14">
        <v>201</v>
      </c>
      <c r="B213" s="15" t="str">
        <f>IF(ISBLANK(D[[#This Row],[CLAS_GRONDSOORT]]),"ONWAAR","WAAR")</f>
        <v>WAAR</v>
      </c>
      <c r="C213" s="15" t="str">
        <f>IF(ISBLANK(D[[#This Row],[CLAS_VN_HOOFDNAAM]]),"ONWAAR","WAAR")</f>
        <v>ONWAAR</v>
      </c>
      <c r="D213" s="15" t="str">
        <f>IF(ISBLANK(D[[#This Row],[KV_GRONDSOORT]]),"ONWAAR","WAAR")</f>
        <v>ONWAAR</v>
      </c>
      <c r="E213" s="15" t="str">
        <f>IF(ISBLANK(D[[#This Row],[CPT_QNET]]),"ONWAAR","WAAR")</f>
        <v>ONWAAR</v>
      </c>
      <c r="F213" s="15" t="str">
        <f>IF(ISBLANK(D[[#This Row],[CRS_GRONDSOORT]]),"ONWAAR","WAAR")</f>
        <v>ONWAAR</v>
      </c>
      <c r="G213" s="15" t="str">
        <f>IF(ISBLANK(D[[#This Row],[SD_GRONDSOORT]]),"ONWAAR","WAAR")</f>
        <v>ONWAAR</v>
      </c>
      <c r="H213" s="15" t="str">
        <f>IF(ISBLANK(D[[#This Row],[DSS_GRONDSOORT]]),"ONWAAR","WAAR")</f>
        <v>ONWAAR</v>
      </c>
      <c r="I213" s="15" t="str">
        <f>IF(ISBLANK(D[[#This Row],[TXT_SS_GRONDSOORT]]),"ONWAAR","WAAR")</f>
        <v>ONWAAR</v>
      </c>
      <c r="J213" s="13" t="s">
        <v>2160</v>
      </c>
      <c r="L213" s="13" t="s">
        <v>1418</v>
      </c>
      <c r="M213" s="13" t="s">
        <v>1419</v>
      </c>
      <c r="P213" s="13" t="s">
        <v>1420</v>
      </c>
      <c r="V213" s="41">
        <v>134554.21</v>
      </c>
      <c r="W213" s="41">
        <v>415273.98</v>
      </c>
      <c r="X213" s="41">
        <v>4.03</v>
      </c>
      <c r="Y213" s="13" t="s">
        <v>2161</v>
      </c>
      <c r="Z213" s="13" t="s">
        <v>1970</v>
      </c>
      <c r="AA213" s="39">
        <v>45156</v>
      </c>
      <c r="AB213" s="13" t="s">
        <v>2162</v>
      </c>
      <c r="AC213" s="13" t="s">
        <v>2163</v>
      </c>
      <c r="AD213" s="13" t="s">
        <v>1425</v>
      </c>
      <c r="AE213" s="13" t="s">
        <v>1973</v>
      </c>
      <c r="AF213" s="13" t="s">
        <v>1427</v>
      </c>
      <c r="AG213" s="41"/>
      <c r="AI213" s="13">
        <v>100</v>
      </c>
      <c r="AJ213" s="13" t="s">
        <v>1963</v>
      </c>
      <c r="AK213" s="13" t="s">
        <v>1429</v>
      </c>
      <c r="AL213" s="41">
        <v>3.53</v>
      </c>
      <c r="AM213" s="41">
        <v>3.33</v>
      </c>
      <c r="AN213" s="41">
        <v>0.5</v>
      </c>
      <c r="AO213" s="41">
        <v>0.7</v>
      </c>
      <c r="AQ213" s="13" t="s">
        <v>1964</v>
      </c>
      <c r="AR213" s="13" t="s">
        <v>1431</v>
      </c>
      <c r="AS213" s="13" t="s">
        <v>2160</v>
      </c>
      <c r="AT213" s="13" t="s">
        <v>1425</v>
      </c>
      <c r="AU213" s="13" t="s">
        <v>1432</v>
      </c>
      <c r="AV213" s="39">
        <v>45279</v>
      </c>
      <c r="AW213" s="13" t="s">
        <v>2040</v>
      </c>
      <c r="AY213" s="41">
        <v>3.41</v>
      </c>
      <c r="AZ213" s="41">
        <v>18</v>
      </c>
      <c r="BA213" s="41">
        <v>12.7</v>
      </c>
      <c r="BB213" s="41">
        <v>41.2</v>
      </c>
    </row>
    <row r="214" spans="1:116">
      <c r="A214" s="14">
        <v>202</v>
      </c>
      <c r="B214" s="15" t="str">
        <f>IF(ISBLANK(D[[#This Row],[CLAS_GRONDSOORT]]),"ONWAAR","WAAR")</f>
        <v>ONWAAR</v>
      </c>
      <c r="C214" s="15" t="str">
        <f>IF(ISBLANK(D[[#This Row],[CLAS_VN_HOOFDNAAM]]),"ONWAAR","WAAR")</f>
        <v>ONWAAR</v>
      </c>
      <c r="D214" s="15" t="str">
        <f>IF(ISBLANK(D[[#This Row],[KV_GRONDSOORT]]),"ONWAAR","WAAR")</f>
        <v>WAAR</v>
      </c>
      <c r="E214" s="15" t="str">
        <f>IF(ISBLANK(D[[#This Row],[CPT_QNET]]),"ONWAAR","WAAR")</f>
        <v>ONWAAR</v>
      </c>
      <c r="F214" s="15" t="str">
        <f>IF(ISBLANK(D[[#This Row],[CRS_GRONDSOORT]]),"ONWAAR","WAAR")</f>
        <v>ONWAAR</v>
      </c>
      <c r="G214" s="15" t="str">
        <f>IF(ISBLANK(D[[#This Row],[SD_GRONDSOORT]]),"ONWAAR","WAAR")</f>
        <v>ONWAAR</v>
      </c>
      <c r="H214" s="15" t="str">
        <f>IF(ISBLANK(D[[#This Row],[DSS_GRONDSOORT]]),"ONWAAR","WAAR")</f>
        <v>ONWAAR</v>
      </c>
      <c r="I214" s="15" t="str">
        <f>IF(ISBLANK(D[[#This Row],[TXT_SS_GRONDSOORT]]),"ONWAAR","WAAR")</f>
        <v>ONWAAR</v>
      </c>
      <c r="J214" s="13" t="s">
        <v>2164</v>
      </c>
      <c r="L214" s="13" t="s">
        <v>1418</v>
      </c>
      <c r="M214" s="13" t="s">
        <v>1419</v>
      </c>
      <c r="P214" s="13" t="s">
        <v>1420</v>
      </c>
      <c r="V214" s="41">
        <v>134517.20000000001</v>
      </c>
      <c r="W214" s="41">
        <v>415173.08</v>
      </c>
      <c r="X214" s="41">
        <v>1.0900000000000001</v>
      </c>
      <c r="Y214" s="13" t="s">
        <v>2165</v>
      </c>
      <c r="Z214" s="13" t="s">
        <v>1737</v>
      </c>
      <c r="AA214" s="39">
        <v>45160</v>
      </c>
      <c r="AB214" s="13" t="s">
        <v>2166</v>
      </c>
      <c r="AC214" s="13" t="s">
        <v>2167</v>
      </c>
      <c r="AD214" s="13" t="s">
        <v>1425</v>
      </c>
      <c r="AE214" s="13" t="s">
        <v>2152</v>
      </c>
      <c r="AF214" s="13" t="s">
        <v>1427</v>
      </c>
      <c r="AG214" s="41">
        <v>-1.41</v>
      </c>
      <c r="AI214" s="13">
        <v>6</v>
      </c>
      <c r="AJ214" s="13" t="s">
        <v>1963</v>
      </c>
      <c r="AK214" s="13" t="s">
        <v>1647</v>
      </c>
      <c r="AL214" s="41">
        <v>-1.91</v>
      </c>
      <c r="AM214" s="41">
        <v>-2.11</v>
      </c>
      <c r="AN214" s="41">
        <v>3</v>
      </c>
      <c r="AO214" s="41">
        <v>3.2</v>
      </c>
      <c r="AY214" s="41"/>
      <c r="AZ214" s="41"/>
      <c r="BA214" s="41"/>
      <c r="BB214" s="41"/>
      <c r="CE214" s="13" t="s">
        <v>2168</v>
      </c>
      <c r="CF214" s="13" t="s">
        <v>1431</v>
      </c>
      <c r="CG214" s="13" t="s">
        <v>2164</v>
      </c>
      <c r="CH214" s="13" t="s">
        <v>1425</v>
      </c>
      <c r="CI214" s="13" t="s">
        <v>1524</v>
      </c>
      <c r="CJ214" s="39">
        <v>45212</v>
      </c>
      <c r="CK214" s="13" t="s">
        <v>1807</v>
      </c>
      <c r="CM214" s="13">
        <v>157</v>
      </c>
      <c r="CN214" s="13">
        <v>152</v>
      </c>
      <c r="CO214" s="41">
        <v>1.1499999999999999</v>
      </c>
      <c r="CP214" s="41">
        <v>91.57</v>
      </c>
      <c r="CQ214" s="41">
        <v>5.68</v>
      </c>
      <c r="CR214" s="41">
        <v>100</v>
      </c>
      <c r="CS214" s="41">
        <v>100</v>
      </c>
      <c r="CT214" s="41">
        <v>100</v>
      </c>
      <c r="CU214" s="41">
        <v>100</v>
      </c>
      <c r="CV214" s="41">
        <v>100</v>
      </c>
      <c r="CW214" s="41">
        <v>98.85</v>
      </c>
      <c r="CX214" s="41">
        <v>99.31</v>
      </c>
      <c r="CY214" s="41">
        <v>97.81</v>
      </c>
      <c r="CZ214" s="41">
        <v>87.79</v>
      </c>
      <c r="DA214" s="41">
        <v>68.44</v>
      </c>
      <c r="DB214" s="41">
        <v>32.270000000000003</v>
      </c>
      <c r="DC214" s="41">
        <v>7.28</v>
      </c>
      <c r="DD214" s="41">
        <v>2.1</v>
      </c>
      <c r="DE214" s="41">
        <v>2.0299999999999998</v>
      </c>
      <c r="DF214" s="41">
        <v>2</v>
      </c>
      <c r="DG214" s="41">
        <v>1.6</v>
      </c>
      <c r="DH214" s="13">
        <v>191</v>
      </c>
      <c r="DI214" s="13">
        <v>171</v>
      </c>
      <c r="DJ214" s="13">
        <v>157</v>
      </c>
      <c r="DK214" s="13">
        <v>92</v>
      </c>
      <c r="DL214" s="13">
        <v>1.85</v>
      </c>
    </row>
    <row r="215" spans="1:116">
      <c r="A215" s="14">
        <v>203</v>
      </c>
      <c r="B215" s="15" t="str">
        <f>IF(ISBLANK(D[[#This Row],[CLAS_GRONDSOORT]]),"ONWAAR","WAAR")</f>
        <v>ONWAAR</v>
      </c>
      <c r="C215" s="15" t="str">
        <f>IF(ISBLANK(D[[#This Row],[CLAS_VN_HOOFDNAAM]]),"ONWAAR","WAAR")</f>
        <v>ONWAAR</v>
      </c>
      <c r="D215" s="15" t="str">
        <f>IF(ISBLANK(D[[#This Row],[KV_GRONDSOORT]]),"ONWAAR","WAAR")</f>
        <v>WAAR</v>
      </c>
      <c r="E215" s="15" t="str">
        <f>IF(ISBLANK(D[[#This Row],[CPT_QNET]]),"ONWAAR","WAAR")</f>
        <v>ONWAAR</v>
      </c>
      <c r="F215" s="15" t="str">
        <f>IF(ISBLANK(D[[#This Row],[CRS_GRONDSOORT]]),"ONWAAR","WAAR")</f>
        <v>ONWAAR</v>
      </c>
      <c r="G215" s="15" t="str">
        <f>IF(ISBLANK(D[[#This Row],[SD_GRONDSOORT]]),"ONWAAR","WAAR")</f>
        <v>ONWAAR</v>
      </c>
      <c r="H215" s="15" t="str">
        <f>IF(ISBLANK(D[[#This Row],[DSS_GRONDSOORT]]),"ONWAAR","WAAR")</f>
        <v>ONWAAR</v>
      </c>
      <c r="I215" s="15" t="str">
        <f>IF(ISBLANK(D[[#This Row],[TXT_SS_GRONDSOORT]]),"ONWAAR","WAAR")</f>
        <v>ONWAAR</v>
      </c>
      <c r="J215" s="13" t="s">
        <v>2169</v>
      </c>
      <c r="L215" s="13" t="s">
        <v>1418</v>
      </c>
      <c r="M215" s="13" t="s">
        <v>1419</v>
      </c>
      <c r="P215" s="13" t="s">
        <v>1420</v>
      </c>
      <c r="V215" s="41">
        <v>134500.10999999999</v>
      </c>
      <c r="W215" s="41">
        <v>415191.66</v>
      </c>
      <c r="X215" s="41">
        <v>2.0299999999999998</v>
      </c>
      <c r="Y215" s="13" t="s">
        <v>2170</v>
      </c>
      <c r="Z215" s="13" t="s">
        <v>1737</v>
      </c>
      <c r="AA215" s="39">
        <v>45167</v>
      </c>
      <c r="AB215" s="13" t="s">
        <v>2171</v>
      </c>
      <c r="AC215" s="13" t="s">
        <v>2172</v>
      </c>
      <c r="AD215" s="13" t="s">
        <v>1425</v>
      </c>
      <c r="AE215" s="13" t="s">
        <v>2173</v>
      </c>
      <c r="AF215" s="13" t="s">
        <v>1427</v>
      </c>
      <c r="AG215" s="41">
        <v>-0.27</v>
      </c>
      <c r="AI215" s="13">
        <v>9</v>
      </c>
      <c r="AJ215" s="13" t="s">
        <v>1646</v>
      </c>
      <c r="AK215" s="13" t="s">
        <v>1647</v>
      </c>
      <c r="AL215" s="41">
        <v>-1.97</v>
      </c>
      <c r="AM215" s="41">
        <v>-2.97</v>
      </c>
      <c r="AN215" s="41">
        <v>4</v>
      </c>
      <c r="AO215" s="41">
        <v>5</v>
      </c>
      <c r="AY215" s="41"/>
      <c r="AZ215" s="41"/>
      <c r="BA215" s="41"/>
      <c r="BB215" s="41"/>
      <c r="CE215" s="13" t="s">
        <v>2174</v>
      </c>
      <c r="CF215" s="13" t="s">
        <v>1431</v>
      </c>
      <c r="CG215" s="13" t="s">
        <v>2169</v>
      </c>
      <c r="CH215" s="13" t="s">
        <v>1425</v>
      </c>
      <c r="CI215" s="13" t="s">
        <v>1524</v>
      </c>
      <c r="CJ215" s="39">
        <v>45212</v>
      </c>
      <c r="CK215" s="13" t="s">
        <v>1807</v>
      </c>
      <c r="CM215" s="13">
        <v>166</v>
      </c>
      <c r="CN215" s="13">
        <v>159</v>
      </c>
      <c r="CO215" s="41">
        <v>0.09</v>
      </c>
      <c r="CP215" s="41">
        <v>91.13</v>
      </c>
      <c r="CQ215" s="41">
        <v>7.28</v>
      </c>
      <c r="CR215" s="41">
        <v>100</v>
      </c>
      <c r="CS215" s="41">
        <v>100</v>
      </c>
      <c r="CT215" s="41">
        <v>100</v>
      </c>
      <c r="CU215" s="41">
        <v>100</v>
      </c>
      <c r="CV215" s="41">
        <v>99.99</v>
      </c>
      <c r="CW215" s="41">
        <v>99.91</v>
      </c>
      <c r="CX215" s="41">
        <v>99.82</v>
      </c>
      <c r="CY215" s="41">
        <v>98.76</v>
      </c>
      <c r="CZ215" s="41">
        <v>86.34</v>
      </c>
      <c r="DA215" s="41">
        <v>62.91</v>
      </c>
      <c r="DB215" s="41">
        <v>29.28</v>
      </c>
      <c r="DC215" s="41">
        <v>8.7799999999999994</v>
      </c>
      <c r="DD215" s="41">
        <v>2.1</v>
      </c>
      <c r="DE215" s="41">
        <v>1.9</v>
      </c>
      <c r="DF215" s="41">
        <v>1.8</v>
      </c>
      <c r="DG215" s="41">
        <v>1.5</v>
      </c>
      <c r="DH215" s="13">
        <v>209</v>
      </c>
      <c r="DI215" s="13">
        <v>182</v>
      </c>
      <c r="DJ215" s="13">
        <v>166</v>
      </c>
      <c r="DK215" s="13">
        <v>96</v>
      </c>
      <c r="DL215" s="13">
        <v>1.88</v>
      </c>
    </row>
    <row r="216" spans="1:116">
      <c r="A216" s="14">
        <v>204</v>
      </c>
      <c r="B216" s="15" t="str">
        <f>IF(ISBLANK(D[[#This Row],[CLAS_GRONDSOORT]]),"ONWAAR","WAAR")</f>
        <v>WAAR</v>
      </c>
      <c r="C216" s="15" t="str">
        <f>IF(ISBLANK(D[[#This Row],[CLAS_VN_HOOFDNAAM]]),"ONWAAR","WAAR")</f>
        <v>ONWAAR</v>
      </c>
      <c r="D216" s="15" t="str">
        <f>IF(ISBLANK(D[[#This Row],[KV_GRONDSOORT]]),"ONWAAR","WAAR")</f>
        <v>ONWAAR</v>
      </c>
      <c r="E216" s="15" t="str">
        <f>IF(ISBLANK(D[[#This Row],[CPT_QNET]]),"ONWAAR","WAAR")</f>
        <v>ONWAAR</v>
      </c>
      <c r="F216" s="15" t="str">
        <f>IF(ISBLANK(D[[#This Row],[CRS_GRONDSOORT]]),"ONWAAR","WAAR")</f>
        <v>ONWAAR</v>
      </c>
      <c r="G216" s="15" t="str">
        <f>IF(ISBLANK(D[[#This Row],[SD_GRONDSOORT]]),"ONWAAR","WAAR")</f>
        <v>ONWAAR</v>
      </c>
      <c r="H216" s="15" t="str">
        <f>IF(ISBLANK(D[[#This Row],[DSS_GRONDSOORT]]),"ONWAAR","WAAR")</f>
        <v>ONWAAR</v>
      </c>
      <c r="I216" s="15" t="str">
        <f>IF(ISBLANK(D[[#This Row],[TXT_SS_GRONDSOORT]]),"ONWAAR","WAAR")</f>
        <v>ONWAAR</v>
      </c>
      <c r="J216" s="13" t="s">
        <v>2175</v>
      </c>
      <c r="L216" s="13" t="s">
        <v>1418</v>
      </c>
      <c r="M216" s="13" t="s">
        <v>1419</v>
      </c>
      <c r="P216" s="13" t="s">
        <v>1420</v>
      </c>
      <c r="V216" s="41">
        <v>134402.68</v>
      </c>
      <c r="W216" s="41">
        <v>415156.79</v>
      </c>
      <c r="X216" s="41">
        <v>4.1900000000000004</v>
      </c>
      <c r="Y216" s="13" t="s">
        <v>2176</v>
      </c>
      <c r="Z216" s="13" t="s">
        <v>1970</v>
      </c>
      <c r="AA216" s="39">
        <v>45155</v>
      </c>
      <c r="AB216" s="13" t="s">
        <v>2177</v>
      </c>
      <c r="AC216" s="13" t="s">
        <v>2178</v>
      </c>
      <c r="AD216" s="13" t="s">
        <v>1425</v>
      </c>
      <c r="AE216" s="13" t="s">
        <v>1962</v>
      </c>
      <c r="AF216" s="13" t="s">
        <v>1427</v>
      </c>
      <c r="AG216" s="41"/>
      <c r="AI216" s="13">
        <v>1</v>
      </c>
      <c r="AJ216" s="13" t="s">
        <v>2179</v>
      </c>
      <c r="AK216" s="13" t="s">
        <v>1429</v>
      </c>
      <c r="AL216" s="41">
        <v>3.69</v>
      </c>
      <c r="AM216" s="41">
        <v>3.49</v>
      </c>
      <c r="AN216" s="41">
        <v>0.5</v>
      </c>
      <c r="AO216" s="41">
        <v>0.7</v>
      </c>
      <c r="AQ216" s="13" t="s">
        <v>1964</v>
      </c>
      <c r="AR216" s="13" t="s">
        <v>1431</v>
      </c>
      <c r="AS216" s="13" t="s">
        <v>2175</v>
      </c>
      <c r="AT216" s="13" t="s">
        <v>1425</v>
      </c>
      <c r="AU216" s="13" t="s">
        <v>1432</v>
      </c>
      <c r="AV216" s="39">
        <v>45279</v>
      </c>
      <c r="AW216" s="13" t="s">
        <v>2180</v>
      </c>
      <c r="AY216" s="41">
        <v>3.56</v>
      </c>
      <c r="AZ216" s="41">
        <v>19.3</v>
      </c>
      <c r="BA216" s="41">
        <v>15.3</v>
      </c>
      <c r="BB216" s="41">
        <v>26.2</v>
      </c>
    </row>
    <row r="217" spans="1:116">
      <c r="A217" s="14">
        <v>205</v>
      </c>
      <c r="B217" s="15" t="str">
        <f>IF(ISBLANK(D[[#This Row],[CLAS_GRONDSOORT]]),"ONWAAR","WAAR")</f>
        <v>ONWAAR</v>
      </c>
      <c r="C217" s="15" t="str">
        <f>IF(ISBLANK(D[[#This Row],[CLAS_VN_HOOFDNAAM]]),"ONWAAR","WAAR")</f>
        <v>ONWAAR</v>
      </c>
      <c r="D217" s="15" t="str">
        <f>IF(ISBLANK(D[[#This Row],[KV_GRONDSOORT]]),"ONWAAR","WAAR")</f>
        <v>WAAR</v>
      </c>
      <c r="E217" s="15" t="str">
        <f>IF(ISBLANK(D[[#This Row],[CPT_QNET]]),"ONWAAR","WAAR")</f>
        <v>ONWAAR</v>
      </c>
      <c r="F217" s="15" t="str">
        <f>IF(ISBLANK(D[[#This Row],[CRS_GRONDSOORT]]),"ONWAAR","WAAR")</f>
        <v>ONWAAR</v>
      </c>
      <c r="G217" s="15" t="str">
        <f>IF(ISBLANK(D[[#This Row],[SD_GRONDSOORT]]),"ONWAAR","WAAR")</f>
        <v>ONWAAR</v>
      </c>
      <c r="H217" s="15" t="str">
        <f>IF(ISBLANK(D[[#This Row],[DSS_GRONDSOORT]]),"ONWAAR","WAAR")</f>
        <v>ONWAAR</v>
      </c>
      <c r="I217" s="15" t="str">
        <f>IF(ISBLANK(D[[#This Row],[TXT_SS_GRONDSOORT]]),"ONWAAR","WAAR")</f>
        <v>ONWAAR</v>
      </c>
      <c r="J217" s="13" t="s">
        <v>2181</v>
      </c>
      <c r="L217" s="13" t="s">
        <v>1418</v>
      </c>
      <c r="M217" s="13" t="s">
        <v>1419</v>
      </c>
      <c r="P217" s="13" t="s">
        <v>1420</v>
      </c>
      <c r="V217" s="41">
        <v>134360.89000000001</v>
      </c>
      <c r="W217" s="41">
        <v>415054.14</v>
      </c>
      <c r="X217" s="41">
        <v>1.06</v>
      </c>
      <c r="Y217" s="13" t="s">
        <v>2182</v>
      </c>
      <c r="Z217" s="13" t="s">
        <v>1737</v>
      </c>
      <c r="AA217" s="39">
        <v>45160</v>
      </c>
      <c r="AB217" s="13" t="s">
        <v>2183</v>
      </c>
      <c r="AC217" s="13" t="s">
        <v>2184</v>
      </c>
      <c r="AD217" s="13" t="s">
        <v>1425</v>
      </c>
      <c r="AE217" s="13" t="s">
        <v>2152</v>
      </c>
      <c r="AF217" s="13" t="s">
        <v>1427</v>
      </c>
      <c r="AG217" s="41">
        <v>-0.74</v>
      </c>
      <c r="AI217" s="13">
        <v>6</v>
      </c>
      <c r="AJ217" s="13" t="s">
        <v>1646</v>
      </c>
      <c r="AK217" s="13" t="s">
        <v>1647</v>
      </c>
      <c r="AL217" s="41">
        <v>-1.94</v>
      </c>
      <c r="AM217" s="41">
        <v>-2.94</v>
      </c>
      <c r="AN217" s="41">
        <v>3</v>
      </c>
      <c r="AO217" s="41">
        <v>4</v>
      </c>
      <c r="AY217" s="41"/>
      <c r="AZ217" s="41"/>
      <c r="BA217" s="41"/>
      <c r="BB217" s="41"/>
      <c r="CE217" s="13" t="s">
        <v>2185</v>
      </c>
      <c r="CF217" s="13" t="s">
        <v>1431</v>
      </c>
      <c r="CG217" s="13" t="s">
        <v>2181</v>
      </c>
      <c r="CH217" s="13" t="s">
        <v>1425</v>
      </c>
      <c r="CI217" s="13" t="s">
        <v>1524</v>
      </c>
      <c r="CJ217" s="39">
        <v>45212</v>
      </c>
      <c r="CK217" s="13" t="s">
        <v>1986</v>
      </c>
      <c r="CM217" s="13">
        <v>176</v>
      </c>
      <c r="CN217" s="13">
        <v>170</v>
      </c>
      <c r="CO217" s="41">
        <v>0.01</v>
      </c>
      <c r="CP217" s="41">
        <v>93.45</v>
      </c>
      <c r="CQ217" s="41">
        <v>4.54</v>
      </c>
      <c r="CR217" s="41">
        <v>100</v>
      </c>
      <c r="CS217" s="41">
        <v>100</v>
      </c>
      <c r="CT217" s="41">
        <v>100</v>
      </c>
      <c r="CU217" s="41">
        <v>100</v>
      </c>
      <c r="CV217" s="41">
        <v>100</v>
      </c>
      <c r="CW217" s="41">
        <v>99.99</v>
      </c>
      <c r="CX217" s="41">
        <v>99.11</v>
      </c>
      <c r="CY217" s="41">
        <v>95.86</v>
      </c>
      <c r="CZ217" s="41">
        <v>79.37</v>
      </c>
      <c r="DA217" s="41">
        <v>55.49</v>
      </c>
      <c r="DB217" s="41">
        <v>23.91</v>
      </c>
      <c r="DC217" s="41">
        <v>6.54</v>
      </c>
      <c r="DD217" s="41">
        <v>5</v>
      </c>
      <c r="DE217" s="41">
        <v>4.32</v>
      </c>
      <c r="DF217" s="41">
        <v>4</v>
      </c>
      <c r="DG217" s="41">
        <v>2</v>
      </c>
      <c r="DH217" s="13">
        <v>228</v>
      </c>
      <c r="DI217" s="13">
        <v>201</v>
      </c>
      <c r="DJ217" s="13">
        <v>176</v>
      </c>
      <c r="DK217" s="13">
        <v>101</v>
      </c>
      <c r="DL217" s="13">
        <v>1.99</v>
      </c>
    </row>
    <row r="218" spans="1:116">
      <c r="A218" s="14">
        <v>206</v>
      </c>
      <c r="B218" s="15" t="str">
        <f>IF(ISBLANK(D[[#This Row],[CLAS_GRONDSOORT]]),"ONWAAR","WAAR")</f>
        <v>WAAR</v>
      </c>
      <c r="C218" s="15" t="str">
        <f>IF(ISBLANK(D[[#This Row],[CLAS_VN_HOOFDNAAM]]),"ONWAAR","WAAR")</f>
        <v>ONWAAR</v>
      </c>
      <c r="D218" s="15" t="str">
        <f>IF(ISBLANK(D[[#This Row],[KV_GRONDSOORT]]),"ONWAAR","WAAR")</f>
        <v>ONWAAR</v>
      </c>
      <c r="E218" s="15" t="str">
        <f>IF(ISBLANK(D[[#This Row],[CPT_QNET]]),"ONWAAR","WAAR")</f>
        <v>ONWAAR</v>
      </c>
      <c r="F218" s="15" t="str">
        <f>IF(ISBLANK(D[[#This Row],[CRS_GRONDSOORT]]),"ONWAAR","WAAR")</f>
        <v>ONWAAR</v>
      </c>
      <c r="G218" s="15" t="str">
        <f>IF(ISBLANK(D[[#This Row],[SD_GRONDSOORT]]),"ONWAAR","WAAR")</f>
        <v>ONWAAR</v>
      </c>
      <c r="H218" s="15" t="str">
        <f>IF(ISBLANK(D[[#This Row],[DSS_GRONDSOORT]]),"ONWAAR","WAAR")</f>
        <v>ONWAAR</v>
      </c>
      <c r="I218" s="15" t="str">
        <f>IF(ISBLANK(D[[#This Row],[TXT_SS_GRONDSOORT]]),"ONWAAR","WAAR")</f>
        <v>ONWAAR</v>
      </c>
      <c r="J218" s="13" t="s">
        <v>2186</v>
      </c>
      <c r="L218" s="13" t="s">
        <v>1418</v>
      </c>
      <c r="M218" s="13" t="s">
        <v>1419</v>
      </c>
      <c r="P218" s="13" t="s">
        <v>1420</v>
      </c>
      <c r="V218" s="41">
        <v>134325.53</v>
      </c>
      <c r="W218" s="41">
        <v>415094.29</v>
      </c>
      <c r="X218" s="41">
        <v>4.29</v>
      </c>
      <c r="Y218" s="13" t="s">
        <v>2187</v>
      </c>
      <c r="Z218" s="13" t="s">
        <v>1970</v>
      </c>
      <c r="AA218" s="39">
        <v>45155</v>
      </c>
      <c r="AB218" s="13" t="s">
        <v>2188</v>
      </c>
      <c r="AC218" s="13" t="s">
        <v>2189</v>
      </c>
      <c r="AD218" s="13" t="s">
        <v>1425</v>
      </c>
      <c r="AE218" s="13" t="s">
        <v>1962</v>
      </c>
      <c r="AF218" s="13" t="s">
        <v>1427</v>
      </c>
      <c r="AG218" s="41"/>
      <c r="AI218" s="13">
        <v>1</v>
      </c>
      <c r="AJ218" s="13" t="s">
        <v>1963</v>
      </c>
      <c r="AK218" s="13" t="s">
        <v>1429</v>
      </c>
      <c r="AL218" s="41">
        <v>3.79</v>
      </c>
      <c r="AM218" s="41">
        <v>3.59</v>
      </c>
      <c r="AN218" s="41">
        <v>0.5</v>
      </c>
      <c r="AO218" s="41">
        <v>0.7</v>
      </c>
      <c r="AQ218" s="13" t="s">
        <v>1964</v>
      </c>
      <c r="AR218" s="13" t="s">
        <v>1431</v>
      </c>
      <c r="AS218" s="13" t="s">
        <v>2186</v>
      </c>
      <c r="AT218" s="13" t="s">
        <v>1425</v>
      </c>
      <c r="AU218" s="13" t="s">
        <v>1432</v>
      </c>
      <c r="AV218" s="39">
        <v>45279</v>
      </c>
      <c r="AW218" s="13" t="s">
        <v>2190</v>
      </c>
      <c r="AY218" s="41">
        <v>3.68</v>
      </c>
      <c r="AZ218" s="41">
        <v>18.600000000000001</v>
      </c>
      <c r="BA218" s="41">
        <v>14.5</v>
      </c>
      <c r="BB218" s="41">
        <v>27.9</v>
      </c>
    </row>
    <row r="219" spans="1:116">
      <c r="A219" s="14">
        <v>207</v>
      </c>
      <c r="B219" s="15" t="str">
        <f>IF(ISBLANK(D[[#This Row],[CLAS_GRONDSOORT]]),"ONWAAR","WAAR")</f>
        <v>ONWAAR</v>
      </c>
      <c r="C219" s="15" t="str">
        <f>IF(ISBLANK(D[[#This Row],[CLAS_VN_HOOFDNAAM]]),"ONWAAR","WAAR")</f>
        <v>ONWAAR</v>
      </c>
      <c r="D219" s="15" t="str">
        <f>IF(ISBLANK(D[[#This Row],[KV_GRONDSOORT]]),"ONWAAR","WAAR")</f>
        <v>WAAR</v>
      </c>
      <c r="E219" s="15" t="str">
        <f>IF(ISBLANK(D[[#This Row],[CPT_QNET]]),"ONWAAR","WAAR")</f>
        <v>ONWAAR</v>
      </c>
      <c r="F219" s="15" t="str">
        <f>IF(ISBLANK(D[[#This Row],[CRS_GRONDSOORT]]),"ONWAAR","WAAR")</f>
        <v>ONWAAR</v>
      </c>
      <c r="G219" s="15" t="str">
        <f>IF(ISBLANK(D[[#This Row],[SD_GRONDSOORT]]),"ONWAAR","WAAR")</f>
        <v>ONWAAR</v>
      </c>
      <c r="H219" s="15" t="str">
        <f>IF(ISBLANK(D[[#This Row],[DSS_GRONDSOORT]]),"ONWAAR","WAAR")</f>
        <v>ONWAAR</v>
      </c>
      <c r="I219" s="15" t="str">
        <f>IF(ISBLANK(D[[#This Row],[TXT_SS_GRONDSOORT]]),"ONWAAR","WAAR")</f>
        <v>ONWAAR</v>
      </c>
      <c r="J219" s="13" t="s">
        <v>2191</v>
      </c>
      <c r="L219" s="13" t="s">
        <v>1418</v>
      </c>
      <c r="M219" s="13" t="s">
        <v>1419</v>
      </c>
      <c r="P219" s="13" t="s">
        <v>1420</v>
      </c>
      <c r="V219" s="41">
        <v>134282.23000000001</v>
      </c>
      <c r="W219" s="41">
        <v>414987.61</v>
      </c>
      <c r="X219" s="41">
        <v>0.72</v>
      </c>
      <c r="Y219" s="13" t="s">
        <v>2192</v>
      </c>
      <c r="Z219" s="13" t="s">
        <v>1737</v>
      </c>
      <c r="AA219" s="39">
        <v>45167</v>
      </c>
      <c r="AB219" s="13" t="s">
        <v>2193</v>
      </c>
      <c r="AC219" s="13" t="s">
        <v>2194</v>
      </c>
      <c r="AD219" s="13" t="s">
        <v>1425</v>
      </c>
      <c r="AE219" s="13" t="s">
        <v>1962</v>
      </c>
      <c r="AF219" s="13" t="s">
        <v>1427</v>
      </c>
      <c r="AG219" s="41">
        <v>-0.38</v>
      </c>
      <c r="AI219" s="13">
        <v>6</v>
      </c>
      <c r="AJ219" s="13" t="s">
        <v>1646</v>
      </c>
      <c r="AK219" s="13" t="s">
        <v>1647</v>
      </c>
      <c r="AL219" s="41">
        <v>-2.78</v>
      </c>
      <c r="AM219" s="41">
        <v>-3.38</v>
      </c>
      <c r="AN219" s="41">
        <v>3.5</v>
      </c>
      <c r="AO219" s="41">
        <v>4.0999999999999996</v>
      </c>
      <c r="AY219" s="41"/>
      <c r="AZ219" s="41"/>
      <c r="BA219" s="41"/>
      <c r="BB219" s="41"/>
      <c r="CE219" s="13" t="s">
        <v>2195</v>
      </c>
      <c r="CF219" s="13" t="s">
        <v>1431</v>
      </c>
      <c r="CG219" s="13" t="s">
        <v>2191</v>
      </c>
      <c r="CH219" s="13" t="s">
        <v>1425</v>
      </c>
      <c r="CI219" s="13" t="s">
        <v>1524</v>
      </c>
      <c r="CJ219" s="39">
        <v>45212</v>
      </c>
      <c r="CK219" s="13" t="s">
        <v>1807</v>
      </c>
      <c r="CM219" s="13">
        <v>155</v>
      </c>
      <c r="CN219" s="13">
        <v>150</v>
      </c>
      <c r="CO219" s="41">
        <v>0.01</v>
      </c>
      <c r="CP219" s="41">
        <v>92.69</v>
      </c>
      <c r="CQ219" s="41">
        <v>5.3</v>
      </c>
      <c r="CR219" s="41">
        <v>100</v>
      </c>
      <c r="CS219" s="41">
        <v>100</v>
      </c>
      <c r="CT219" s="41">
        <v>100</v>
      </c>
      <c r="CU219" s="41">
        <v>100</v>
      </c>
      <c r="CV219" s="41">
        <v>100</v>
      </c>
      <c r="CW219" s="41">
        <v>99.99</v>
      </c>
      <c r="CX219" s="41">
        <v>99.67</v>
      </c>
      <c r="CY219" s="41">
        <v>98.57</v>
      </c>
      <c r="CZ219" s="41">
        <v>90.87</v>
      </c>
      <c r="DA219" s="41">
        <v>71.849999999999994</v>
      </c>
      <c r="DB219" s="41">
        <v>31.49</v>
      </c>
      <c r="DC219" s="41">
        <v>7.3</v>
      </c>
      <c r="DD219" s="41">
        <v>5</v>
      </c>
      <c r="DE219" s="41">
        <v>3.64</v>
      </c>
      <c r="DF219" s="41">
        <v>3</v>
      </c>
      <c r="DG219" s="41">
        <v>2</v>
      </c>
      <c r="DH219" s="13">
        <v>181</v>
      </c>
      <c r="DI219" s="13">
        <v>168</v>
      </c>
      <c r="DJ219" s="13">
        <v>155</v>
      </c>
      <c r="DK219" s="13">
        <v>94</v>
      </c>
      <c r="DL219" s="13">
        <v>1.79</v>
      </c>
    </row>
    <row r="220" spans="1:116">
      <c r="A220" s="14">
        <v>208</v>
      </c>
      <c r="B220" s="15" t="str">
        <f>IF(ISBLANK(D[[#This Row],[CLAS_GRONDSOORT]]),"ONWAAR","WAAR")</f>
        <v>WAAR</v>
      </c>
      <c r="C220" s="15" t="str">
        <f>IF(ISBLANK(D[[#This Row],[CLAS_VN_HOOFDNAAM]]),"ONWAAR","WAAR")</f>
        <v>ONWAAR</v>
      </c>
      <c r="D220" s="15" t="str">
        <f>IF(ISBLANK(D[[#This Row],[KV_GRONDSOORT]]),"ONWAAR","WAAR")</f>
        <v>ONWAAR</v>
      </c>
      <c r="E220" s="15" t="str">
        <f>IF(ISBLANK(D[[#This Row],[CPT_QNET]]),"ONWAAR","WAAR")</f>
        <v>ONWAAR</v>
      </c>
      <c r="F220" s="15" t="str">
        <f>IF(ISBLANK(D[[#This Row],[CRS_GRONDSOORT]]),"ONWAAR","WAAR")</f>
        <v>ONWAAR</v>
      </c>
      <c r="G220" s="15" t="str">
        <f>IF(ISBLANK(D[[#This Row],[SD_GRONDSOORT]]),"ONWAAR","WAAR")</f>
        <v>ONWAAR</v>
      </c>
      <c r="H220" s="15" t="str">
        <f>IF(ISBLANK(D[[#This Row],[DSS_GRONDSOORT]]),"ONWAAR","WAAR")</f>
        <v>ONWAAR</v>
      </c>
      <c r="I220" s="15" t="str">
        <f>IF(ISBLANK(D[[#This Row],[TXT_SS_GRONDSOORT]]),"ONWAAR","WAAR")</f>
        <v>ONWAAR</v>
      </c>
      <c r="J220" s="13" t="s">
        <v>2196</v>
      </c>
      <c r="L220" s="13" t="s">
        <v>1418</v>
      </c>
      <c r="M220" s="13" t="s">
        <v>1419</v>
      </c>
      <c r="P220" s="13" t="s">
        <v>1420</v>
      </c>
      <c r="V220" s="41">
        <v>134245.03</v>
      </c>
      <c r="W220" s="41">
        <v>415024.97</v>
      </c>
      <c r="X220" s="41">
        <v>4.51</v>
      </c>
      <c r="Y220" s="13" t="s">
        <v>2197</v>
      </c>
      <c r="Z220" s="13" t="s">
        <v>1970</v>
      </c>
      <c r="AA220" s="39">
        <v>45154</v>
      </c>
      <c r="AB220" s="13" t="s">
        <v>2198</v>
      </c>
      <c r="AC220" s="13" t="s">
        <v>2199</v>
      </c>
      <c r="AD220" s="13" t="s">
        <v>1425</v>
      </c>
      <c r="AE220" s="13" t="s">
        <v>1962</v>
      </c>
      <c r="AF220" s="13" t="s">
        <v>1427</v>
      </c>
      <c r="AG220" s="41"/>
      <c r="AI220" s="13">
        <v>1</v>
      </c>
      <c r="AJ220" s="13" t="s">
        <v>1963</v>
      </c>
      <c r="AK220" s="13" t="s">
        <v>1429</v>
      </c>
      <c r="AL220" s="41">
        <v>4.01</v>
      </c>
      <c r="AM220" s="41">
        <v>3.81</v>
      </c>
      <c r="AN220" s="41">
        <v>0.5</v>
      </c>
      <c r="AO220" s="41">
        <v>0.7</v>
      </c>
      <c r="AQ220" s="13" t="s">
        <v>1964</v>
      </c>
      <c r="AR220" s="13" t="s">
        <v>1431</v>
      </c>
      <c r="AS220" s="13" t="s">
        <v>2196</v>
      </c>
      <c r="AT220" s="13" t="s">
        <v>1425</v>
      </c>
      <c r="AU220" s="13" t="s">
        <v>1432</v>
      </c>
      <c r="AV220" s="39">
        <v>45279</v>
      </c>
      <c r="AW220" s="13" t="s">
        <v>2190</v>
      </c>
      <c r="AY220" s="41">
        <v>3.87</v>
      </c>
      <c r="AZ220" s="41">
        <v>18.3</v>
      </c>
      <c r="BA220" s="41">
        <v>14.1</v>
      </c>
      <c r="BB220" s="41">
        <v>30</v>
      </c>
    </row>
    <row r="221" spans="1:116">
      <c r="A221" s="14">
        <v>209</v>
      </c>
      <c r="B221" s="15" t="str">
        <f>IF(ISBLANK(D[[#This Row],[CLAS_GRONDSOORT]]),"ONWAAR","WAAR")</f>
        <v>ONWAAR</v>
      </c>
      <c r="C221" s="15" t="str">
        <f>IF(ISBLANK(D[[#This Row],[CLAS_VN_HOOFDNAAM]]),"ONWAAR","WAAR")</f>
        <v>ONWAAR</v>
      </c>
      <c r="D221" s="15" t="str">
        <f>IF(ISBLANK(D[[#This Row],[KV_GRONDSOORT]]),"ONWAAR","WAAR")</f>
        <v>WAAR</v>
      </c>
      <c r="E221" s="15" t="str">
        <f>IF(ISBLANK(D[[#This Row],[CPT_QNET]]),"ONWAAR","WAAR")</f>
        <v>ONWAAR</v>
      </c>
      <c r="F221" s="15" t="str">
        <f>IF(ISBLANK(D[[#This Row],[CRS_GRONDSOORT]]),"ONWAAR","WAAR")</f>
        <v>ONWAAR</v>
      </c>
      <c r="G221" s="15" t="str">
        <f>IF(ISBLANK(D[[#This Row],[SD_GRONDSOORT]]),"ONWAAR","WAAR")</f>
        <v>ONWAAR</v>
      </c>
      <c r="H221" s="15" t="str">
        <f>IF(ISBLANK(D[[#This Row],[DSS_GRONDSOORT]]),"ONWAAR","WAAR")</f>
        <v>ONWAAR</v>
      </c>
      <c r="I221" s="15" t="str">
        <f>IF(ISBLANK(D[[#This Row],[TXT_SS_GRONDSOORT]]),"ONWAAR","WAAR")</f>
        <v>ONWAAR</v>
      </c>
      <c r="J221" s="13" t="s">
        <v>2200</v>
      </c>
      <c r="L221" s="13" t="s">
        <v>1418</v>
      </c>
      <c r="M221" s="13" t="s">
        <v>1419</v>
      </c>
      <c r="P221" s="13" t="s">
        <v>1420</v>
      </c>
      <c r="V221" s="41">
        <v>134198.39999999999</v>
      </c>
      <c r="W221" s="41">
        <v>414938.33</v>
      </c>
      <c r="X221" s="41">
        <v>1.91</v>
      </c>
      <c r="Y221" s="13" t="s">
        <v>2201</v>
      </c>
      <c r="Z221" s="13" t="s">
        <v>1737</v>
      </c>
      <c r="AA221" s="39">
        <v>45167</v>
      </c>
      <c r="AB221" s="13" t="s">
        <v>2202</v>
      </c>
      <c r="AC221" s="13" t="s">
        <v>2203</v>
      </c>
      <c r="AD221" s="13" t="s">
        <v>1425</v>
      </c>
      <c r="AE221" s="13" t="s">
        <v>1962</v>
      </c>
      <c r="AF221" s="13" t="s">
        <v>1427</v>
      </c>
      <c r="AG221" s="41">
        <v>-0.39</v>
      </c>
      <c r="AI221" s="13">
        <v>9</v>
      </c>
      <c r="AJ221" s="13" t="s">
        <v>1646</v>
      </c>
      <c r="AK221" s="13" t="s">
        <v>1647</v>
      </c>
      <c r="AL221" s="41">
        <v>-1.49</v>
      </c>
      <c r="AM221" s="41">
        <v>-2.4900000000000002</v>
      </c>
      <c r="AN221" s="41">
        <v>3.4</v>
      </c>
      <c r="AO221" s="41">
        <v>4.4000000000000004</v>
      </c>
      <c r="AY221" s="41"/>
      <c r="AZ221" s="41"/>
      <c r="BA221" s="41"/>
      <c r="BB221" s="41"/>
      <c r="CE221" s="13" t="s">
        <v>2204</v>
      </c>
      <c r="CF221" s="13" t="s">
        <v>1431</v>
      </c>
      <c r="CG221" s="13" t="s">
        <v>2200</v>
      </c>
      <c r="CH221" s="13" t="s">
        <v>1425</v>
      </c>
      <c r="CI221" s="13" t="s">
        <v>1524</v>
      </c>
      <c r="CJ221" s="39">
        <v>45212</v>
      </c>
      <c r="CK221" s="13" t="s">
        <v>1986</v>
      </c>
      <c r="CM221" s="13">
        <v>179</v>
      </c>
      <c r="CN221" s="13">
        <v>174</v>
      </c>
      <c r="CO221" s="41">
        <v>0.55000000000000004</v>
      </c>
      <c r="CP221" s="41">
        <v>93.98</v>
      </c>
      <c r="CQ221" s="41">
        <v>3.48</v>
      </c>
      <c r="CR221" s="41">
        <v>100</v>
      </c>
      <c r="CS221" s="41">
        <v>100</v>
      </c>
      <c r="CT221" s="41">
        <v>100</v>
      </c>
      <c r="CU221" s="41">
        <v>99.99</v>
      </c>
      <c r="CV221" s="41">
        <v>99.64</v>
      </c>
      <c r="CW221" s="41">
        <v>99.45</v>
      </c>
      <c r="CX221" s="41">
        <v>97.73</v>
      </c>
      <c r="CY221" s="41">
        <v>95.45</v>
      </c>
      <c r="CZ221" s="41">
        <v>77.44</v>
      </c>
      <c r="DA221" s="41">
        <v>53.24</v>
      </c>
      <c r="DB221" s="41">
        <v>24.67</v>
      </c>
      <c r="DC221" s="41">
        <v>5.48</v>
      </c>
      <c r="DD221" s="41">
        <v>4</v>
      </c>
      <c r="DE221" s="41">
        <v>3.32</v>
      </c>
      <c r="DF221" s="41">
        <v>3</v>
      </c>
      <c r="DG221" s="41">
        <v>2</v>
      </c>
      <c r="DH221" s="13">
        <v>232</v>
      </c>
      <c r="DI221" s="13">
        <v>205</v>
      </c>
      <c r="DJ221" s="13">
        <v>179</v>
      </c>
      <c r="DK221" s="13">
        <v>97</v>
      </c>
      <c r="DL221" s="13">
        <v>2.1</v>
      </c>
    </row>
    <row r="222" spans="1:116">
      <c r="A222" s="14">
        <v>210</v>
      </c>
      <c r="B222" s="15" t="str">
        <f>IF(ISBLANK(D[[#This Row],[CLAS_GRONDSOORT]]),"ONWAAR","WAAR")</f>
        <v>WAAR</v>
      </c>
      <c r="C222" s="15" t="str">
        <f>IF(ISBLANK(D[[#This Row],[CLAS_VN_HOOFDNAAM]]),"ONWAAR","WAAR")</f>
        <v>ONWAAR</v>
      </c>
      <c r="D222" s="15" t="str">
        <f>IF(ISBLANK(D[[#This Row],[KV_GRONDSOORT]]),"ONWAAR","WAAR")</f>
        <v>ONWAAR</v>
      </c>
      <c r="E222" s="15" t="str">
        <f>IF(ISBLANK(D[[#This Row],[CPT_QNET]]),"ONWAAR","WAAR")</f>
        <v>ONWAAR</v>
      </c>
      <c r="F222" s="15" t="str">
        <f>IF(ISBLANK(D[[#This Row],[CRS_GRONDSOORT]]),"ONWAAR","WAAR")</f>
        <v>ONWAAR</v>
      </c>
      <c r="G222" s="15" t="str">
        <f>IF(ISBLANK(D[[#This Row],[SD_GRONDSOORT]]),"ONWAAR","WAAR")</f>
        <v>ONWAAR</v>
      </c>
      <c r="H222" s="15" t="str">
        <f>IF(ISBLANK(D[[#This Row],[DSS_GRONDSOORT]]),"ONWAAR","WAAR")</f>
        <v>ONWAAR</v>
      </c>
      <c r="I222" s="15" t="str">
        <f>IF(ISBLANK(D[[#This Row],[TXT_SS_GRONDSOORT]]),"ONWAAR","WAAR")</f>
        <v>ONWAAR</v>
      </c>
      <c r="J222" s="13" t="s">
        <v>2205</v>
      </c>
      <c r="L222" s="13" t="s">
        <v>1418</v>
      </c>
      <c r="M222" s="13" t="s">
        <v>1419</v>
      </c>
      <c r="P222" s="13" t="s">
        <v>1420</v>
      </c>
      <c r="V222" s="41">
        <v>134185.73000000001</v>
      </c>
      <c r="W222" s="41">
        <v>414950.84</v>
      </c>
      <c r="X222" s="41">
        <v>4.58</v>
      </c>
      <c r="Y222" s="13" t="s">
        <v>2206</v>
      </c>
      <c r="Z222" s="13" t="s">
        <v>2057</v>
      </c>
      <c r="AA222" s="39">
        <v>45159</v>
      </c>
      <c r="AB222" s="13" t="s">
        <v>2207</v>
      </c>
      <c r="AC222" s="13" t="s">
        <v>2208</v>
      </c>
      <c r="AD222" s="13" t="s">
        <v>1425</v>
      </c>
      <c r="AE222" s="13" t="s">
        <v>1962</v>
      </c>
      <c r="AF222" s="13" t="s">
        <v>1427</v>
      </c>
      <c r="AG222" s="41"/>
      <c r="AI222" s="13">
        <v>100</v>
      </c>
      <c r="AJ222" s="13" t="s">
        <v>1963</v>
      </c>
      <c r="AK222" s="13" t="s">
        <v>1429</v>
      </c>
      <c r="AL222" s="41">
        <v>4.08</v>
      </c>
      <c r="AM222" s="41">
        <v>3.88</v>
      </c>
      <c r="AN222" s="41">
        <v>0.5</v>
      </c>
      <c r="AO222" s="41">
        <v>0.7</v>
      </c>
      <c r="AQ222" s="13" t="s">
        <v>1964</v>
      </c>
      <c r="AR222" s="13" t="s">
        <v>1431</v>
      </c>
      <c r="AS222" s="13" t="s">
        <v>2205</v>
      </c>
      <c r="AT222" s="13" t="s">
        <v>1425</v>
      </c>
      <c r="AU222" s="13" t="s">
        <v>1432</v>
      </c>
      <c r="AV222" s="39">
        <v>45279</v>
      </c>
      <c r="AW222" s="13" t="s">
        <v>2209</v>
      </c>
      <c r="AY222" s="41">
        <v>3.98</v>
      </c>
      <c r="AZ222" s="41"/>
      <c r="BA222" s="41"/>
      <c r="BB222" s="41"/>
    </row>
    <row r="223" spans="1:116">
      <c r="A223" s="14">
        <v>211</v>
      </c>
      <c r="B223" s="15" t="str">
        <f>IF(ISBLANK(D[[#This Row],[CLAS_GRONDSOORT]]),"ONWAAR","WAAR")</f>
        <v>WAAR</v>
      </c>
      <c r="C223" s="15" t="str">
        <f>IF(ISBLANK(D[[#This Row],[CLAS_VN_HOOFDNAAM]]),"ONWAAR","WAAR")</f>
        <v>ONWAAR</v>
      </c>
      <c r="D223" s="15" t="str">
        <f>IF(ISBLANK(D[[#This Row],[KV_GRONDSOORT]]),"ONWAAR","WAAR")</f>
        <v>ONWAAR</v>
      </c>
      <c r="E223" s="15" t="str">
        <f>IF(ISBLANK(D[[#This Row],[CPT_QNET]]),"ONWAAR","WAAR")</f>
        <v>ONWAAR</v>
      </c>
      <c r="F223" s="15" t="str">
        <f>IF(ISBLANK(D[[#This Row],[CRS_GRONDSOORT]]),"ONWAAR","WAAR")</f>
        <v>ONWAAR</v>
      </c>
      <c r="G223" s="15" t="str">
        <f>IF(ISBLANK(D[[#This Row],[SD_GRONDSOORT]]),"ONWAAR","WAAR")</f>
        <v>ONWAAR</v>
      </c>
      <c r="H223" s="15" t="str">
        <f>IF(ISBLANK(D[[#This Row],[DSS_GRONDSOORT]]),"ONWAAR","WAAR")</f>
        <v>ONWAAR</v>
      </c>
      <c r="I223" s="15" t="str">
        <f>IF(ISBLANK(D[[#This Row],[TXT_SS_GRONDSOORT]]),"ONWAAR","WAAR")</f>
        <v>ONWAAR</v>
      </c>
      <c r="J223" s="13" t="s">
        <v>2210</v>
      </c>
      <c r="L223" s="13" t="s">
        <v>1418</v>
      </c>
      <c r="M223" s="13" t="s">
        <v>1419</v>
      </c>
      <c r="P223" s="13" t="s">
        <v>1420</v>
      </c>
      <c r="V223" s="41">
        <v>134175.03</v>
      </c>
      <c r="W223" s="41">
        <v>414962.59</v>
      </c>
      <c r="X223" s="41">
        <v>4.62</v>
      </c>
      <c r="Y223" s="13" t="s">
        <v>2211</v>
      </c>
      <c r="Z223" s="13" t="s">
        <v>1970</v>
      </c>
      <c r="AA223" s="39">
        <v>45154</v>
      </c>
      <c r="AB223" s="13" t="s">
        <v>2212</v>
      </c>
      <c r="AC223" s="13" t="s">
        <v>2213</v>
      </c>
      <c r="AD223" s="13" t="s">
        <v>1425</v>
      </c>
      <c r="AE223" s="13" t="s">
        <v>1962</v>
      </c>
      <c r="AF223" s="13" t="s">
        <v>1427</v>
      </c>
      <c r="AG223" s="41"/>
      <c r="AI223" s="13">
        <v>1</v>
      </c>
      <c r="AJ223" s="13" t="s">
        <v>1963</v>
      </c>
      <c r="AK223" s="13" t="s">
        <v>1429</v>
      </c>
      <c r="AL223" s="41">
        <v>4.12</v>
      </c>
      <c r="AM223" s="41">
        <v>3.92</v>
      </c>
      <c r="AN223" s="41">
        <v>0.5</v>
      </c>
      <c r="AO223" s="41">
        <v>0.7</v>
      </c>
      <c r="AQ223" s="13" t="s">
        <v>1964</v>
      </c>
      <c r="AR223" s="13" t="s">
        <v>1431</v>
      </c>
      <c r="AS223" s="13" t="s">
        <v>2210</v>
      </c>
      <c r="AT223" s="13" t="s">
        <v>1425</v>
      </c>
      <c r="AU223" s="13" t="s">
        <v>1432</v>
      </c>
      <c r="AV223" s="39">
        <v>45279</v>
      </c>
      <c r="AW223" s="13" t="s">
        <v>2214</v>
      </c>
      <c r="AY223" s="41">
        <v>3.98</v>
      </c>
      <c r="AZ223" s="41">
        <v>17.5</v>
      </c>
      <c r="BA223" s="41">
        <v>14.1</v>
      </c>
      <c r="BB223" s="41">
        <v>24.2</v>
      </c>
    </row>
    <row r="224" spans="1:116">
      <c r="A224" s="14">
        <v>212</v>
      </c>
      <c r="B224" s="15" t="str">
        <f>IF(ISBLANK(D[[#This Row],[CLAS_GRONDSOORT]]),"ONWAAR","WAAR")</f>
        <v>ONWAAR</v>
      </c>
      <c r="C224" s="15" t="str">
        <f>IF(ISBLANK(D[[#This Row],[CLAS_VN_HOOFDNAAM]]),"ONWAAR","WAAR")</f>
        <v>ONWAAR</v>
      </c>
      <c r="D224" s="15" t="str">
        <f>IF(ISBLANK(D[[#This Row],[KV_GRONDSOORT]]),"ONWAAR","WAAR")</f>
        <v>WAAR</v>
      </c>
      <c r="E224" s="15" t="str">
        <f>IF(ISBLANK(D[[#This Row],[CPT_QNET]]),"ONWAAR","WAAR")</f>
        <v>ONWAAR</v>
      </c>
      <c r="F224" s="15" t="str">
        <f>IF(ISBLANK(D[[#This Row],[CRS_GRONDSOORT]]),"ONWAAR","WAAR")</f>
        <v>ONWAAR</v>
      </c>
      <c r="G224" s="15" t="str">
        <f>IF(ISBLANK(D[[#This Row],[SD_GRONDSOORT]]),"ONWAAR","WAAR")</f>
        <v>ONWAAR</v>
      </c>
      <c r="H224" s="15" t="str">
        <f>IF(ISBLANK(D[[#This Row],[DSS_GRONDSOORT]]),"ONWAAR","WAAR")</f>
        <v>ONWAAR</v>
      </c>
      <c r="I224" s="15" t="str">
        <f>IF(ISBLANK(D[[#This Row],[TXT_SS_GRONDSOORT]]),"ONWAAR","WAAR")</f>
        <v>ONWAAR</v>
      </c>
      <c r="J224" s="13" t="s">
        <v>2215</v>
      </c>
      <c r="L224" s="13" t="s">
        <v>1418</v>
      </c>
      <c r="M224" s="13" t="s">
        <v>1419</v>
      </c>
      <c r="P224" s="13" t="s">
        <v>1420</v>
      </c>
      <c r="V224" s="41">
        <v>134132.04</v>
      </c>
      <c r="W224" s="41">
        <v>414867.1</v>
      </c>
      <c r="X224" s="41">
        <v>1.65</v>
      </c>
      <c r="Y224" s="13" t="s">
        <v>2216</v>
      </c>
      <c r="Z224" s="13" t="s">
        <v>1737</v>
      </c>
      <c r="AA224" s="39">
        <v>45159</v>
      </c>
      <c r="AB224" s="13" t="s">
        <v>2217</v>
      </c>
      <c r="AC224" s="13" t="s">
        <v>2218</v>
      </c>
      <c r="AD224" s="13" t="s">
        <v>1425</v>
      </c>
      <c r="AE224" s="13" t="s">
        <v>2152</v>
      </c>
      <c r="AF224" s="13" t="s">
        <v>1427</v>
      </c>
      <c r="AG224" s="41">
        <v>-0.35</v>
      </c>
      <c r="AI224" s="13">
        <v>2</v>
      </c>
      <c r="AJ224" s="13" t="s">
        <v>1646</v>
      </c>
      <c r="AK224" s="13" t="s">
        <v>1647</v>
      </c>
      <c r="AL224" s="41">
        <v>0.65</v>
      </c>
      <c r="AM224" s="41">
        <v>0.45</v>
      </c>
      <c r="AN224" s="41">
        <v>1</v>
      </c>
      <c r="AO224" s="41">
        <v>1.2</v>
      </c>
      <c r="AY224" s="41"/>
      <c r="AZ224" s="41"/>
      <c r="BA224" s="41"/>
      <c r="BB224" s="41"/>
      <c r="CE224" s="13" t="s">
        <v>2219</v>
      </c>
      <c r="CF224" s="13" t="s">
        <v>1431</v>
      </c>
      <c r="CG224" s="13" t="s">
        <v>2215</v>
      </c>
      <c r="CH224" s="13" t="s">
        <v>1425</v>
      </c>
      <c r="CI224" s="13" t="s">
        <v>1524</v>
      </c>
      <c r="CJ224" s="39">
        <v>45212</v>
      </c>
      <c r="CK224" s="13" t="s">
        <v>1533</v>
      </c>
      <c r="CM224" s="13">
        <v>206</v>
      </c>
      <c r="CN224" s="13">
        <v>180</v>
      </c>
      <c r="CO224" s="41">
        <v>0.12</v>
      </c>
      <c r="CP224" s="41">
        <v>83.82</v>
      </c>
      <c r="CQ224" s="41">
        <v>10.46</v>
      </c>
      <c r="CR224" s="41">
        <v>100</v>
      </c>
      <c r="CS224" s="41">
        <v>100</v>
      </c>
      <c r="CT224" s="41">
        <v>100</v>
      </c>
      <c r="CU224" s="41">
        <v>100</v>
      </c>
      <c r="CV224" s="41">
        <v>99.99</v>
      </c>
      <c r="CW224" s="41">
        <v>99.88</v>
      </c>
      <c r="CX224" s="41">
        <v>98.96</v>
      </c>
      <c r="CY224" s="41">
        <v>96.89</v>
      </c>
      <c r="CZ224" s="41">
        <v>70.94</v>
      </c>
      <c r="DA224" s="41">
        <v>50.07</v>
      </c>
      <c r="DB224" s="41">
        <v>26.78</v>
      </c>
      <c r="DC224" s="41">
        <v>16.059999999999999</v>
      </c>
      <c r="DD224" s="41">
        <v>8.3000000000000007</v>
      </c>
      <c r="DE224" s="41">
        <v>7.49</v>
      </c>
      <c r="DF224" s="41">
        <v>7.1</v>
      </c>
      <c r="DG224" s="41">
        <v>5.6</v>
      </c>
      <c r="DH224" s="13">
        <v>270</v>
      </c>
      <c r="DI224" s="13">
        <v>235</v>
      </c>
      <c r="DJ224" s="13">
        <v>206</v>
      </c>
      <c r="DK224" s="13">
        <v>114</v>
      </c>
      <c r="DL224" s="13">
        <v>2.06</v>
      </c>
    </row>
    <row r="225" spans="1:116">
      <c r="A225" s="14">
        <v>213</v>
      </c>
      <c r="B225" s="15" t="str">
        <f>IF(ISBLANK(D[[#This Row],[CLAS_GRONDSOORT]]),"ONWAAR","WAAR")</f>
        <v>WAAR</v>
      </c>
      <c r="C225" s="15" t="str">
        <f>IF(ISBLANK(D[[#This Row],[CLAS_VN_HOOFDNAAM]]),"ONWAAR","WAAR")</f>
        <v>ONWAAR</v>
      </c>
      <c r="D225" s="15" t="str">
        <f>IF(ISBLANK(D[[#This Row],[KV_GRONDSOORT]]),"ONWAAR","WAAR")</f>
        <v>ONWAAR</v>
      </c>
      <c r="E225" s="15" t="str">
        <f>IF(ISBLANK(D[[#This Row],[CPT_QNET]]),"ONWAAR","WAAR")</f>
        <v>ONWAAR</v>
      </c>
      <c r="F225" s="15" t="str">
        <f>IF(ISBLANK(D[[#This Row],[CRS_GRONDSOORT]]),"ONWAAR","WAAR")</f>
        <v>ONWAAR</v>
      </c>
      <c r="G225" s="15" t="str">
        <f>IF(ISBLANK(D[[#This Row],[SD_GRONDSOORT]]),"ONWAAR","WAAR")</f>
        <v>ONWAAR</v>
      </c>
      <c r="H225" s="15" t="str">
        <f>IF(ISBLANK(D[[#This Row],[DSS_GRONDSOORT]]),"ONWAAR","WAAR")</f>
        <v>ONWAAR</v>
      </c>
      <c r="I225" s="15" t="str">
        <f>IF(ISBLANK(D[[#This Row],[TXT_SS_GRONDSOORT]]),"ONWAAR","WAAR")</f>
        <v>ONWAAR</v>
      </c>
      <c r="J225" s="13" t="s">
        <v>2220</v>
      </c>
      <c r="L225" s="13" t="s">
        <v>1418</v>
      </c>
      <c r="M225" s="13" t="s">
        <v>1419</v>
      </c>
      <c r="P225" s="13" t="s">
        <v>1420</v>
      </c>
      <c r="V225" s="41">
        <v>134101.38</v>
      </c>
      <c r="W225" s="41">
        <v>414895.53</v>
      </c>
      <c r="X225" s="41">
        <v>4.32</v>
      </c>
      <c r="Y225" s="13" t="s">
        <v>2221</v>
      </c>
      <c r="Z225" s="13" t="s">
        <v>1970</v>
      </c>
      <c r="AA225" s="39">
        <v>45154</v>
      </c>
      <c r="AB225" s="13" t="s">
        <v>2222</v>
      </c>
      <c r="AC225" s="13" t="s">
        <v>2223</v>
      </c>
      <c r="AD225" s="13" t="s">
        <v>1425</v>
      </c>
      <c r="AE225" s="13" t="s">
        <v>1962</v>
      </c>
      <c r="AF225" s="13" t="s">
        <v>1427</v>
      </c>
      <c r="AG225" s="41"/>
      <c r="AI225" s="13">
        <v>1</v>
      </c>
      <c r="AJ225" s="13" t="s">
        <v>1963</v>
      </c>
      <c r="AK225" s="13" t="s">
        <v>1429</v>
      </c>
      <c r="AL225" s="41">
        <v>3.82</v>
      </c>
      <c r="AM225" s="41">
        <v>3.62</v>
      </c>
      <c r="AN225" s="41">
        <v>0.5</v>
      </c>
      <c r="AO225" s="41">
        <v>0.7</v>
      </c>
      <c r="AQ225" s="13" t="s">
        <v>1964</v>
      </c>
      <c r="AR225" s="13" t="s">
        <v>1431</v>
      </c>
      <c r="AS225" s="13" t="s">
        <v>2220</v>
      </c>
      <c r="AT225" s="13" t="s">
        <v>1425</v>
      </c>
      <c r="AU225" s="13" t="s">
        <v>1432</v>
      </c>
      <c r="AV225" s="39">
        <v>45279</v>
      </c>
      <c r="AW225" s="13" t="s">
        <v>2224</v>
      </c>
      <c r="AY225" s="41">
        <v>3.69</v>
      </c>
      <c r="AZ225" s="41">
        <v>18.100000000000001</v>
      </c>
      <c r="BA225" s="41">
        <v>15.9</v>
      </c>
      <c r="BB225" s="41">
        <v>14.2</v>
      </c>
    </row>
    <row r="226" spans="1:116">
      <c r="A226" s="14">
        <v>214</v>
      </c>
      <c r="B226" s="15" t="str">
        <f>IF(ISBLANK(D[[#This Row],[CLAS_GRONDSOORT]]),"ONWAAR","WAAR")</f>
        <v>WAAR</v>
      </c>
      <c r="C226" s="15" t="str">
        <f>IF(ISBLANK(D[[#This Row],[CLAS_VN_HOOFDNAAM]]),"ONWAAR","WAAR")</f>
        <v>ONWAAR</v>
      </c>
      <c r="D226" s="15" t="str">
        <f>IF(ISBLANK(D[[#This Row],[KV_GRONDSOORT]]),"ONWAAR","WAAR")</f>
        <v>ONWAAR</v>
      </c>
      <c r="E226" s="15" t="str">
        <f>IF(ISBLANK(D[[#This Row],[CPT_QNET]]),"ONWAAR","WAAR")</f>
        <v>ONWAAR</v>
      </c>
      <c r="F226" s="15" t="str">
        <f>IF(ISBLANK(D[[#This Row],[CRS_GRONDSOORT]]),"ONWAAR","WAAR")</f>
        <v>ONWAAR</v>
      </c>
      <c r="G226" s="15" t="str">
        <f>IF(ISBLANK(D[[#This Row],[SD_GRONDSOORT]]),"ONWAAR","WAAR")</f>
        <v>ONWAAR</v>
      </c>
      <c r="H226" s="15" t="str">
        <f>IF(ISBLANK(D[[#This Row],[DSS_GRONDSOORT]]),"ONWAAR","WAAR")</f>
        <v>ONWAAR</v>
      </c>
      <c r="I226" s="15" t="str">
        <f>IF(ISBLANK(D[[#This Row],[TXT_SS_GRONDSOORT]]),"ONWAAR","WAAR")</f>
        <v>ONWAAR</v>
      </c>
      <c r="J226" s="13" t="s">
        <v>2225</v>
      </c>
      <c r="L226" s="13" t="s">
        <v>1418</v>
      </c>
      <c r="M226" s="13" t="s">
        <v>1419</v>
      </c>
      <c r="P226" s="13" t="s">
        <v>1420</v>
      </c>
      <c r="V226" s="41">
        <v>134035.12</v>
      </c>
      <c r="W226" s="41">
        <v>414826.15</v>
      </c>
      <c r="X226" s="41">
        <v>4.54</v>
      </c>
      <c r="Y226" s="13" t="s">
        <v>2226</v>
      </c>
      <c r="Z226" s="13" t="s">
        <v>1970</v>
      </c>
      <c r="AA226" s="39">
        <v>45154</v>
      </c>
      <c r="AB226" s="13" t="s">
        <v>2227</v>
      </c>
      <c r="AC226" s="13" t="s">
        <v>2228</v>
      </c>
      <c r="AD226" s="13" t="s">
        <v>1425</v>
      </c>
      <c r="AE226" s="13" t="s">
        <v>1962</v>
      </c>
      <c r="AF226" s="13" t="s">
        <v>1427</v>
      </c>
      <c r="AG226" s="41"/>
      <c r="AI226" s="13">
        <v>1</v>
      </c>
      <c r="AJ226" s="13" t="s">
        <v>1963</v>
      </c>
      <c r="AK226" s="13" t="s">
        <v>1429</v>
      </c>
      <c r="AL226" s="41">
        <v>4.04</v>
      </c>
      <c r="AM226" s="41">
        <v>3.84</v>
      </c>
      <c r="AN226" s="41">
        <v>0.5</v>
      </c>
      <c r="AO226" s="41">
        <v>0.7</v>
      </c>
      <c r="AQ226" s="13" t="s">
        <v>1964</v>
      </c>
      <c r="AR226" s="13" t="s">
        <v>1431</v>
      </c>
      <c r="AS226" s="13" t="s">
        <v>2225</v>
      </c>
      <c r="AT226" s="13" t="s">
        <v>1425</v>
      </c>
      <c r="AU226" s="13" t="s">
        <v>1432</v>
      </c>
      <c r="AV226" s="39">
        <v>45279</v>
      </c>
      <c r="AW226" s="13" t="s">
        <v>2229</v>
      </c>
      <c r="AY226" s="41">
        <v>3.91</v>
      </c>
      <c r="AZ226" s="41">
        <v>17.8</v>
      </c>
      <c r="BA226" s="41">
        <v>13.8</v>
      </c>
      <c r="BB226" s="41">
        <v>28.7</v>
      </c>
    </row>
    <row r="227" spans="1:116">
      <c r="A227" s="14">
        <v>215</v>
      </c>
      <c r="B227" s="15" t="str">
        <f>IF(ISBLANK(D[[#This Row],[CLAS_GRONDSOORT]]),"ONWAAR","WAAR")</f>
        <v>ONWAAR</v>
      </c>
      <c r="C227" s="15" t="str">
        <f>IF(ISBLANK(D[[#This Row],[CLAS_VN_HOOFDNAAM]]),"ONWAAR","WAAR")</f>
        <v>ONWAAR</v>
      </c>
      <c r="D227" s="15" t="str">
        <f>IF(ISBLANK(D[[#This Row],[KV_GRONDSOORT]]),"ONWAAR","WAAR")</f>
        <v>WAAR</v>
      </c>
      <c r="E227" s="15" t="str">
        <f>IF(ISBLANK(D[[#This Row],[CPT_QNET]]),"ONWAAR","WAAR")</f>
        <v>ONWAAR</v>
      </c>
      <c r="F227" s="15" t="str">
        <f>IF(ISBLANK(D[[#This Row],[CRS_GRONDSOORT]]),"ONWAAR","WAAR")</f>
        <v>ONWAAR</v>
      </c>
      <c r="G227" s="15" t="str">
        <f>IF(ISBLANK(D[[#This Row],[SD_GRONDSOORT]]),"ONWAAR","WAAR")</f>
        <v>ONWAAR</v>
      </c>
      <c r="H227" s="15" t="str">
        <f>IF(ISBLANK(D[[#This Row],[DSS_GRONDSOORT]]),"ONWAAR","WAAR")</f>
        <v>ONWAAR</v>
      </c>
      <c r="I227" s="15" t="str">
        <f>IF(ISBLANK(D[[#This Row],[TXT_SS_GRONDSOORT]]),"ONWAAR","WAAR")</f>
        <v>ONWAAR</v>
      </c>
      <c r="J227" s="13" t="s">
        <v>2230</v>
      </c>
      <c r="L227" s="13" t="s">
        <v>1418</v>
      </c>
      <c r="M227" s="13" t="s">
        <v>1419</v>
      </c>
      <c r="P227" s="13" t="s">
        <v>1420</v>
      </c>
      <c r="V227" s="41">
        <v>134061.15</v>
      </c>
      <c r="W227" s="41">
        <v>414796.67</v>
      </c>
      <c r="X227" s="41">
        <v>1.1299999999999999</v>
      </c>
      <c r="Y227" s="13" t="s">
        <v>2231</v>
      </c>
      <c r="Z227" s="13" t="s">
        <v>1737</v>
      </c>
      <c r="AA227" s="39">
        <v>45159</v>
      </c>
      <c r="AB227" s="13" t="s">
        <v>2232</v>
      </c>
      <c r="AC227" s="13" t="s">
        <v>2233</v>
      </c>
      <c r="AD227" s="13" t="s">
        <v>1425</v>
      </c>
      <c r="AE227" s="13" t="s">
        <v>2152</v>
      </c>
      <c r="AF227" s="13" t="s">
        <v>1427</v>
      </c>
      <c r="AG227" s="41">
        <v>-0.87</v>
      </c>
      <c r="AI227" s="13">
        <v>7</v>
      </c>
      <c r="AJ227" s="13" t="s">
        <v>1646</v>
      </c>
      <c r="AK227" s="13" t="s">
        <v>1647</v>
      </c>
      <c r="AL227" s="41">
        <v>-2.37</v>
      </c>
      <c r="AM227" s="41">
        <v>-3.37</v>
      </c>
      <c r="AN227" s="41">
        <v>3.5</v>
      </c>
      <c r="AO227" s="41">
        <v>4.5</v>
      </c>
      <c r="AY227" s="41"/>
      <c r="AZ227" s="41"/>
      <c r="BA227" s="41"/>
      <c r="BB227" s="41"/>
      <c r="CE227" s="13" t="s">
        <v>2234</v>
      </c>
      <c r="CF227" s="13" t="s">
        <v>1431</v>
      </c>
      <c r="CG227" s="13" t="s">
        <v>2230</v>
      </c>
      <c r="CH227" s="13" t="s">
        <v>1425</v>
      </c>
      <c r="CI227" s="13" t="s">
        <v>1524</v>
      </c>
      <c r="CJ227" s="39">
        <v>45212</v>
      </c>
      <c r="CK227" s="13" t="s">
        <v>1807</v>
      </c>
      <c r="CM227" s="13">
        <v>175</v>
      </c>
      <c r="CN227" s="13">
        <v>167</v>
      </c>
      <c r="CO227" s="41">
        <v>0.09</v>
      </c>
      <c r="CP227" s="41">
        <v>89.59</v>
      </c>
      <c r="CQ227" s="41">
        <v>6.72</v>
      </c>
      <c r="CR227" s="41">
        <v>100</v>
      </c>
      <c r="CS227" s="41">
        <v>100</v>
      </c>
      <c r="CT227" s="41">
        <v>100</v>
      </c>
      <c r="CU227" s="41">
        <v>100</v>
      </c>
      <c r="CV227" s="41">
        <v>99.99</v>
      </c>
      <c r="CW227" s="41">
        <v>99.91</v>
      </c>
      <c r="CX227" s="41">
        <v>99.36</v>
      </c>
      <c r="CY227" s="41">
        <v>97.91</v>
      </c>
      <c r="CZ227" s="41">
        <v>84.99</v>
      </c>
      <c r="DA227" s="41">
        <v>57.71</v>
      </c>
      <c r="DB227" s="41">
        <v>26.24</v>
      </c>
      <c r="DC227" s="41">
        <v>10.32</v>
      </c>
      <c r="DD227" s="41">
        <v>6.2</v>
      </c>
      <c r="DE227" s="41">
        <v>5.66</v>
      </c>
      <c r="DF227" s="41">
        <v>5.4</v>
      </c>
      <c r="DG227" s="41">
        <v>3.6</v>
      </c>
      <c r="DH227" s="13">
        <v>219</v>
      </c>
      <c r="DI227" s="13">
        <v>196</v>
      </c>
      <c r="DJ227" s="13">
        <v>175</v>
      </c>
      <c r="DK227" s="13">
        <v>102</v>
      </c>
      <c r="DL227" s="13">
        <v>1.93</v>
      </c>
    </row>
    <row r="228" spans="1:116">
      <c r="A228" s="14">
        <v>216</v>
      </c>
      <c r="B228" s="15" t="str">
        <f>IF(ISBLANK(D[[#This Row],[CLAS_GRONDSOORT]]),"ONWAAR","WAAR")</f>
        <v>ONWAAR</v>
      </c>
      <c r="C228" s="15" t="str">
        <f>IF(ISBLANK(D[[#This Row],[CLAS_VN_HOOFDNAAM]]),"ONWAAR","WAAR")</f>
        <v>ONWAAR</v>
      </c>
      <c r="D228" s="15" t="str">
        <f>IF(ISBLANK(D[[#This Row],[KV_GRONDSOORT]]),"ONWAAR","WAAR")</f>
        <v>WAAR</v>
      </c>
      <c r="E228" s="15" t="str">
        <f>IF(ISBLANK(D[[#This Row],[CPT_QNET]]),"ONWAAR","WAAR")</f>
        <v>ONWAAR</v>
      </c>
      <c r="F228" s="15" t="str">
        <f>IF(ISBLANK(D[[#This Row],[CRS_GRONDSOORT]]),"ONWAAR","WAAR")</f>
        <v>ONWAAR</v>
      </c>
      <c r="G228" s="15" t="str">
        <f>IF(ISBLANK(D[[#This Row],[SD_GRONDSOORT]]),"ONWAAR","WAAR")</f>
        <v>ONWAAR</v>
      </c>
      <c r="H228" s="15" t="str">
        <f>IF(ISBLANK(D[[#This Row],[DSS_GRONDSOORT]]),"ONWAAR","WAAR")</f>
        <v>ONWAAR</v>
      </c>
      <c r="I228" s="15" t="str">
        <f>IF(ISBLANK(D[[#This Row],[TXT_SS_GRONDSOORT]]),"ONWAAR","WAAR")</f>
        <v>ONWAAR</v>
      </c>
      <c r="J228" s="13" t="s">
        <v>2235</v>
      </c>
      <c r="L228" s="13" t="s">
        <v>1418</v>
      </c>
      <c r="M228" s="13" t="s">
        <v>1419</v>
      </c>
      <c r="P228" s="13" t="s">
        <v>1420</v>
      </c>
      <c r="V228" s="41">
        <v>133993.43</v>
      </c>
      <c r="W228" s="41">
        <v>414727.56</v>
      </c>
      <c r="X228" s="41">
        <v>2.02</v>
      </c>
      <c r="Y228" s="13" t="s">
        <v>2236</v>
      </c>
      <c r="Z228" s="13" t="s">
        <v>1737</v>
      </c>
      <c r="AA228" s="39">
        <v>45156</v>
      </c>
      <c r="AB228" s="13" t="s">
        <v>2237</v>
      </c>
      <c r="AC228" s="13" t="s">
        <v>2238</v>
      </c>
      <c r="AD228" s="13" t="s">
        <v>1425</v>
      </c>
      <c r="AE228" s="13" t="s">
        <v>1962</v>
      </c>
      <c r="AF228" s="13" t="s">
        <v>1427</v>
      </c>
      <c r="AG228" s="41">
        <v>-0.08</v>
      </c>
      <c r="AI228" s="13">
        <v>8</v>
      </c>
      <c r="AJ228" s="13" t="s">
        <v>1646</v>
      </c>
      <c r="AK228" s="13" t="s">
        <v>1647</v>
      </c>
      <c r="AL228" s="41">
        <v>-1.98</v>
      </c>
      <c r="AM228" s="41">
        <v>-2.98</v>
      </c>
      <c r="AN228" s="41">
        <v>4</v>
      </c>
      <c r="AO228" s="41">
        <v>5</v>
      </c>
      <c r="AY228" s="41"/>
      <c r="AZ228" s="41"/>
      <c r="BA228" s="41"/>
      <c r="BB228" s="41"/>
      <c r="CE228" s="13" t="s">
        <v>2239</v>
      </c>
      <c r="CF228" s="13" t="s">
        <v>1431</v>
      </c>
      <c r="CG228" s="13" t="s">
        <v>2235</v>
      </c>
      <c r="CH228" s="13" t="s">
        <v>1425</v>
      </c>
      <c r="CI228" s="13" t="s">
        <v>1524</v>
      </c>
      <c r="CJ228" s="39">
        <v>45212</v>
      </c>
      <c r="CK228" s="13" t="s">
        <v>1588</v>
      </c>
      <c r="CM228" s="13">
        <v>239</v>
      </c>
      <c r="CN228" s="13">
        <v>238</v>
      </c>
      <c r="CO228" s="41">
        <v>0.01</v>
      </c>
      <c r="CP228" s="41">
        <v>98.82</v>
      </c>
      <c r="CQ228" s="41">
        <v>0.88</v>
      </c>
      <c r="CR228" s="41">
        <v>100</v>
      </c>
      <c r="CS228" s="41">
        <v>100</v>
      </c>
      <c r="CT228" s="41">
        <v>100</v>
      </c>
      <c r="CU228" s="41">
        <v>100</v>
      </c>
      <c r="CV228" s="41">
        <v>100</v>
      </c>
      <c r="CW228" s="41">
        <v>99.99</v>
      </c>
      <c r="CX228" s="41">
        <v>99.72</v>
      </c>
      <c r="CY228" s="41">
        <v>96.85</v>
      </c>
      <c r="CZ228" s="41">
        <v>56.23</v>
      </c>
      <c r="DA228" s="41">
        <v>18.66</v>
      </c>
      <c r="DB228" s="41">
        <v>3.49</v>
      </c>
      <c r="DC228" s="41">
        <v>1.18</v>
      </c>
      <c r="DD228" s="41">
        <v>0.9</v>
      </c>
      <c r="DE228" s="41">
        <v>0.76</v>
      </c>
      <c r="DF228" s="41">
        <v>0.7</v>
      </c>
      <c r="DG228" s="41">
        <v>0.3</v>
      </c>
      <c r="DH228" s="13">
        <v>293</v>
      </c>
      <c r="DI228" s="13">
        <v>263</v>
      </c>
      <c r="DJ228" s="13">
        <v>239</v>
      </c>
      <c r="DK228" s="13">
        <v>152</v>
      </c>
      <c r="DL228" s="13">
        <v>1.72</v>
      </c>
    </row>
    <row r="229" spans="1:116">
      <c r="A229" s="14">
        <v>217</v>
      </c>
      <c r="B229" s="15" t="str">
        <f>IF(ISBLANK(D[[#This Row],[CLAS_GRONDSOORT]]),"ONWAAR","WAAR")</f>
        <v>WAAR</v>
      </c>
      <c r="C229" s="15" t="str">
        <f>IF(ISBLANK(D[[#This Row],[CLAS_VN_HOOFDNAAM]]),"ONWAAR","WAAR")</f>
        <v>ONWAAR</v>
      </c>
      <c r="D229" s="15" t="str">
        <f>IF(ISBLANK(D[[#This Row],[KV_GRONDSOORT]]),"ONWAAR","WAAR")</f>
        <v>ONWAAR</v>
      </c>
      <c r="E229" s="15" t="str">
        <f>IF(ISBLANK(D[[#This Row],[CPT_QNET]]),"ONWAAR","WAAR")</f>
        <v>ONWAAR</v>
      </c>
      <c r="F229" s="15" t="str">
        <f>IF(ISBLANK(D[[#This Row],[CRS_GRONDSOORT]]),"ONWAAR","WAAR")</f>
        <v>ONWAAR</v>
      </c>
      <c r="G229" s="15" t="str">
        <f>IF(ISBLANK(D[[#This Row],[SD_GRONDSOORT]]),"ONWAAR","WAAR")</f>
        <v>ONWAAR</v>
      </c>
      <c r="H229" s="15" t="str">
        <f>IF(ISBLANK(D[[#This Row],[DSS_GRONDSOORT]]),"ONWAAR","WAAR")</f>
        <v>ONWAAR</v>
      </c>
      <c r="I229" s="15" t="str">
        <f>IF(ISBLANK(D[[#This Row],[TXT_SS_GRONDSOORT]]),"ONWAAR","WAAR")</f>
        <v>ONWAAR</v>
      </c>
      <c r="J229" s="13" t="s">
        <v>2240</v>
      </c>
      <c r="L229" s="13" t="s">
        <v>1418</v>
      </c>
      <c r="M229" s="13" t="s">
        <v>1419</v>
      </c>
      <c r="P229" s="13" t="s">
        <v>1420</v>
      </c>
      <c r="V229" s="41">
        <v>133965.26999999999</v>
      </c>
      <c r="W229" s="41">
        <v>414747.8</v>
      </c>
      <c r="X229" s="41">
        <v>4.41</v>
      </c>
      <c r="Y229" s="13" t="s">
        <v>2241</v>
      </c>
      <c r="Z229" s="13" t="s">
        <v>1970</v>
      </c>
      <c r="AA229" s="39">
        <v>45154</v>
      </c>
      <c r="AB229" s="13" t="s">
        <v>2242</v>
      </c>
      <c r="AC229" s="13" t="s">
        <v>2243</v>
      </c>
      <c r="AD229" s="13" t="s">
        <v>1425</v>
      </c>
      <c r="AE229" s="13" t="s">
        <v>1962</v>
      </c>
      <c r="AF229" s="13" t="s">
        <v>1427</v>
      </c>
      <c r="AG229" s="41"/>
      <c r="AI229" s="13">
        <v>1</v>
      </c>
      <c r="AJ229" s="13" t="s">
        <v>1963</v>
      </c>
      <c r="AK229" s="13" t="s">
        <v>1429</v>
      </c>
      <c r="AL229" s="41">
        <v>3.91</v>
      </c>
      <c r="AM229" s="41">
        <v>3.71</v>
      </c>
      <c r="AN229" s="41">
        <v>0.5</v>
      </c>
      <c r="AO229" s="41">
        <v>0.7</v>
      </c>
      <c r="AQ229" s="13" t="s">
        <v>1964</v>
      </c>
      <c r="AR229" s="13" t="s">
        <v>1431</v>
      </c>
      <c r="AS229" s="13" t="s">
        <v>2240</v>
      </c>
      <c r="AT229" s="13" t="s">
        <v>1425</v>
      </c>
      <c r="AU229" s="13" t="s">
        <v>1432</v>
      </c>
      <c r="AV229" s="39">
        <v>45279</v>
      </c>
      <c r="AW229" s="13" t="s">
        <v>2244</v>
      </c>
      <c r="AY229" s="41">
        <v>3.82</v>
      </c>
      <c r="AZ229" s="41">
        <v>18.3</v>
      </c>
      <c r="BA229" s="41">
        <v>15.6</v>
      </c>
      <c r="BB229" s="41">
        <v>17.7</v>
      </c>
    </row>
    <row r="230" spans="1:116">
      <c r="A230" s="14">
        <v>218</v>
      </c>
      <c r="B230" s="15" t="str">
        <f>IF(ISBLANK(D[[#This Row],[CLAS_GRONDSOORT]]),"ONWAAR","WAAR")</f>
        <v>WAAR</v>
      </c>
      <c r="C230" s="15" t="str">
        <f>IF(ISBLANK(D[[#This Row],[CLAS_VN_HOOFDNAAM]]),"ONWAAR","WAAR")</f>
        <v>ONWAAR</v>
      </c>
      <c r="D230" s="15" t="str">
        <f>IF(ISBLANK(D[[#This Row],[KV_GRONDSOORT]]),"ONWAAR","WAAR")</f>
        <v>ONWAAR</v>
      </c>
      <c r="E230" s="15" t="str">
        <f>IF(ISBLANK(D[[#This Row],[CPT_QNET]]),"ONWAAR","WAAR")</f>
        <v>ONWAAR</v>
      </c>
      <c r="F230" s="15" t="str">
        <f>IF(ISBLANK(D[[#This Row],[CRS_GRONDSOORT]]),"ONWAAR","WAAR")</f>
        <v>ONWAAR</v>
      </c>
      <c r="G230" s="15" t="str">
        <f>IF(ISBLANK(D[[#This Row],[SD_GRONDSOORT]]),"ONWAAR","WAAR")</f>
        <v>ONWAAR</v>
      </c>
      <c r="H230" s="15" t="str">
        <f>IF(ISBLANK(D[[#This Row],[DSS_GRONDSOORT]]),"ONWAAR","WAAR")</f>
        <v>ONWAAR</v>
      </c>
      <c r="I230" s="15" t="str">
        <f>IF(ISBLANK(D[[#This Row],[TXT_SS_GRONDSOORT]]),"ONWAAR","WAAR")</f>
        <v>ONWAAR</v>
      </c>
      <c r="J230" s="13" t="s">
        <v>2245</v>
      </c>
      <c r="L230" s="13" t="s">
        <v>1418</v>
      </c>
      <c r="M230" s="13" t="s">
        <v>1419</v>
      </c>
      <c r="P230" s="13" t="s">
        <v>1420</v>
      </c>
      <c r="V230" s="41">
        <v>133904.35999999999</v>
      </c>
      <c r="W230" s="41">
        <v>414661.04</v>
      </c>
      <c r="X230" s="41">
        <v>5.28</v>
      </c>
      <c r="Y230" s="13" t="s">
        <v>2246</v>
      </c>
      <c r="Z230" s="13" t="s">
        <v>1970</v>
      </c>
      <c r="AA230" s="39">
        <v>45154</v>
      </c>
      <c r="AB230" s="13" t="s">
        <v>2247</v>
      </c>
      <c r="AC230" s="13" t="s">
        <v>2248</v>
      </c>
      <c r="AD230" s="13" t="s">
        <v>1425</v>
      </c>
      <c r="AE230" s="13" t="s">
        <v>1962</v>
      </c>
      <c r="AF230" s="13" t="s">
        <v>1427</v>
      </c>
      <c r="AG230" s="41"/>
      <c r="AI230" s="13">
        <v>1</v>
      </c>
      <c r="AJ230" s="13" t="s">
        <v>1963</v>
      </c>
      <c r="AK230" s="13" t="s">
        <v>1429</v>
      </c>
      <c r="AL230" s="41">
        <v>4.78</v>
      </c>
      <c r="AM230" s="41">
        <v>4.58</v>
      </c>
      <c r="AN230" s="41">
        <v>0.5</v>
      </c>
      <c r="AO230" s="41">
        <v>0.7</v>
      </c>
      <c r="AQ230" s="13" t="s">
        <v>1964</v>
      </c>
      <c r="AR230" s="13" t="s">
        <v>1431</v>
      </c>
      <c r="AS230" s="13" t="s">
        <v>2245</v>
      </c>
      <c r="AT230" s="13" t="s">
        <v>1425</v>
      </c>
      <c r="AU230" s="13" t="s">
        <v>1432</v>
      </c>
      <c r="AV230" s="39">
        <v>45279</v>
      </c>
      <c r="AW230" s="13" t="s">
        <v>2249</v>
      </c>
      <c r="AY230" s="41">
        <v>4.6500000000000004</v>
      </c>
      <c r="AZ230" s="41">
        <v>17.5</v>
      </c>
      <c r="BA230" s="41">
        <v>13.5</v>
      </c>
      <c r="BB230" s="41">
        <v>28.9</v>
      </c>
    </row>
    <row r="231" spans="1:116">
      <c r="A231" s="14">
        <v>219</v>
      </c>
      <c r="B231" s="15" t="str">
        <f>IF(ISBLANK(D[[#This Row],[CLAS_GRONDSOORT]]),"ONWAAR","WAAR")</f>
        <v>WAAR</v>
      </c>
      <c r="C231" s="15" t="str">
        <f>IF(ISBLANK(D[[#This Row],[CLAS_VN_HOOFDNAAM]]),"ONWAAR","WAAR")</f>
        <v>ONWAAR</v>
      </c>
      <c r="D231" s="15" t="str">
        <f>IF(ISBLANK(D[[#This Row],[KV_GRONDSOORT]]),"ONWAAR","WAAR")</f>
        <v>ONWAAR</v>
      </c>
      <c r="E231" s="15" t="str">
        <f>IF(ISBLANK(D[[#This Row],[CPT_QNET]]),"ONWAAR","WAAR")</f>
        <v>ONWAAR</v>
      </c>
      <c r="F231" s="15" t="str">
        <f>IF(ISBLANK(D[[#This Row],[CRS_GRONDSOORT]]),"ONWAAR","WAAR")</f>
        <v>ONWAAR</v>
      </c>
      <c r="G231" s="15" t="str">
        <f>IF(ISBLANK(D[[#This Row],[SD_GRONDSOORT]]),"ONWAAR","WAAR")</f>
        <v>ONWAAR</v>
      </c>
      <c r="H231" s="15" t="str">
        <f>IF(ISBLANK(D[[#This Row],[DSS_GRONDSOORT]]),"ONWAAR","WAAR")</f>
        <v>ONWAAR</v>
      </c>
      <c r="I231" s="15" t="str">
        <f>IF(ISBLANK(D[[#This Row],[TXT_SS_GRONDSOORT]]),"ONWAAR","WAAR")</f>
        <v>ONWAAR</v>
      </c>
      <c r="J231" s="13" t="s">
        <v>2250</v>
      </c>
      <c r="L231" s="13" t="s">
        <v>1418</v>
      </c>
      <c r="M231" s="13" t="s">
        <v>1419</v>
      </c>
      <c r="P231" s="13" t="s">
        <v>1420</v>
      </c>
      <c r="V231" s="41">
        <v>133853.68</v>
      </c>
      <c r="W231" s="41">
        <v>414586.45</v>
      </c>
      <c r="X231" s="41">
        <v>4.58</v>
      </c>
      <c r="Y231" s="13" t="s">
        <v>2251</v>
      </c>
      <c r="Z231" s="13" t="s">
        <v>1970</v>
      </c>
      <c r="AA231" s="39">
        <v>45154</v>
      </c>
      <c r="AB231" s="13" t="s">
        <v>2252</v>
      </c>
      <c r="AC231" s="13" t="s">
        <v>2253</v>
      </c>
      <c r="AD231" s="13" t="s">
        <v>1425</v>
      </c>
      <c r="AE231" s="13" t="s">
        <v>1962</v>
      </c>
      <c r="AF231" s="13" t="s">
        <v>1427</v>
      </c>
      <c r="AG231" s="41"/>
      <c r="AI231" s="13">
        <v>1</v>
      </c>
      <c r="AJ231" s="13" t="s">
        <v>1963</v>
      </c>
      <c r="AK231" s="13" t="s">
        <v>1429</v>
      </c>
      <c r="AL231" s="41">
        <v>4.08</v>
      </c>
      <c r="AM231" s="41">
        <v>3.88</v>
      </c>
      <c r="AN231" s="41">
        <v>0.5</v>
      </c>
      <c r="AO231" s="41">
        <v>0.7</v>
      </c>
      <c r="AQ231" s="13" t="s">
        <v>1964</v>
      </c>
      <c r="AR231" s="13" t="s">
        <v>1431</v>
      </c>
      <c r="AS231" s="13" t="s">
        <v>2250</v>
      </c>
      <c r="AT231" s="13" t="s">
        <v>1425</v>
      </c>
      <c r="AU231" s="13" t="s">
        <v>1432</v>
      </c>
      <c r="AV231" s="39">
        <v>45279</v>
      </c>
      <c r="AW231" s="13" t="s">
        <v>2254</v>
      </c>
      <c r="AY231" s="41">
        <v>3.95</v>
      </c>
      <c r="AZ231" s="41">
        <v>18.5</v>
      </c>
      <c r="BA231" s="41">
        <v>14.7</v>
      </c>
      <c r="BB231" s="41">
        <v>25.9</v>
      </c>
    </row>
    <row r="232" spans="1:116">
      <c r="A232" s="14">
        <v>220</v>
      </c>
      <c r="B232" s="15" t="str">
        <f>IF(ISBLANK(D[[#This Row],[CLAS_GRONDSOORT]]),"ONWAAR","WAAR")</f>
        <v>ONWAAR</v>
      </c>
      <c r="C232" s="15" t="str">
        <f>IF(ISBLANK(D[[#This Row],[CLAS_VN_HOOFDNAAM]]),"ONWAAR","WAAR")</f>
        <v>ONWAAR</v>
      </c>
      <c r="D232" s="15" t="str">
        <f>IF(ISBLANK(D[[#This Row],[KV_GRONDSOORT]]),"ONWAAR","WAAR")</f>
        <v>WAAR</v>
      </c>
      <c r="E232" s="15" t="str">
        <f>IF(ISBLANK(D[[#This Row],[CPT_QNET]]),"ONWAAR","WAAR")</f>
        <v>ONWAAR</v>
      </c>
      <c r="F232" s="15" t="str">
        <f>IF(ISBLANK(D[[#This Row],[CRS_GRONDSOORT]]),"ONWAAR","WAAR")</f>
        <v>ONWAAR</v>
      </c>
      <c r="G232" s="15" t="str">
        <f>IF(ISBLANK(D[[#This Row],[SD_GRONDSOORT]]),"ONWAAR","WAAR")</f>
        <v>ONWAAR</v>
      </c>
      <c r="H232" s="15" t="str">
        <f>IF(ISBLANK(D[[#This Row],[DSS_GRONDSOORT]]),"ONWAAR","WAAR")</f>
        <v>ONWAAR</v>
      </c>
      <c r="I232" s="15" t="str">
        <f>IF(ISBLANK(D[[#This Row],[TXT_SS_GRONDSOORT]]),"ONWAAR","WAAR")</f>
        <v>ONWAAR</v>
      </c>
      <c r="J232" s="13" t="s">
        <v>2255</v>
      </c>
      <c r="L232" s="13" t="s">
        <v>1418</v>
      </c>
      <c r="M232" s="13" t="s">
        <v>1419</v>
      </c>
      <c r="P232" s="13" t="s">
        <v>1420</v>
      </c>
      <c r="V232" s="41">
        <v>133877.48000000001</v>
      </c>
      <c r="W232" s="41">
        <v>414562.55</v>
      </c>
      <c r="X232" s="41">
        <v>1.34</v>
      </c>
      <c r="Y232" s="13" t="s">
        <v>2256</v>
      </c>
      <c r="Z232" s="13" t="s">
        <v>1737</v>
      </c>
      <c r="AA232" s="39">
        <v>45156</v>
      </c>
      <c r="AB232" s="13" t="s">
        <v>2257</v>
      </c>
      <c r="AC232" s="13" t="s">
        <v>2258</v>
      </c>
      <c r="AD232" s="13" t="s">
        <v>1425</v>
      </c>
      <c r="AE232" s="13" t="s">
        <v>1962</v>
      </c>
      <c r="AF232" s="13" t="s">
        <v>1427</v>
      </c>
      <c r="AG232" s="41">
        <v>0.14000000000000001</v>
      </c>
      <c r="AI232" s="13">
        <v>8</v>
      </c>
      <c r="AJ232" s="13" t="s">
        <v>1646</v>
      </c>
      <c r="AK232" s="13" t="s">
        <v>1647</v>
      </c>
      <c r="AL232" s="41">
        <v>-0.71</v>
      </c>
      <c r="AM232" s="41">
        <v>-0.96</v>
      </c>
      <c r="AN232" s="41">
        <v>2.0499999999999998</v>
      </c>
      <c r="AO232" s="41">
        <v>2.2999999999999998</v>
      </c>
      <c r="AY232" s="41"/>
      <c r="AZ232" s="41"/>
      <c r="BA232" s="41"/>
      <c r="BB232" s="41"/>
      <c r="CE232" s="13" t="s">
        <v>2259</v>
      </c>
      <c r="CF232" s="13" t="s">
        <v>1431</v>
      </c>
      <c r="CG232" s="13" t="s">
        <v>2255</v>
      </c>
      <c r="CH232" s="13" t="s">
        <v>1425</v>
      </c>
      <c r="CI232" s="13" t="s">
        <v>1524</v>
      </c>
      <c r="CJ232" s="39">
        <v>45212</v>
      </c>
      <c r="CK232" s="13" t="s">
        <v>1533</v>
      </c>
      <c r="CM232" s="13">
        <v>229</v>
      </c>
      <c r="CN232" s="13">
        <v>224</v>
      </c>
      <c r="CO232" s="41">
        <v>0.28000000000000003</v>
      </c>
      <c r="CP232" s="41">
        <v>93.62</v>
      </c>
      <c r="CQ232" s="41">
        <v>5.3</v>
      </c>
      <c r="CR232" s="41">
        <v>100</v>
      </c>
      <c r="CS232" s="41">
        <v>100</v>
      </c>
      <c r="CT232" s="41">
        <v>100</v>
      </c>
      <c r="CU232" s="41">
        <v>99.99</v>
      </c>
      <c r="CV232" s="41">
        <v>99.81</v>
      </c>
      <c r="CW232" s="41">
        <v>99.72</v>
      </c>
      <c r="CX232" s="41">
        <v>98.52</v>
      </c>
      <c r="CY232" s="41">
        <v>90.36</v>
      </c>
      <c r="CZ232" s="41">
        <v>63.85</v>
      </c>
      <c r="DA232" s="41">
        <v>26.96</v>
      </c>
      <c r="DB232" s="41">
        <v>10.09</v>
      </c>
      <c r="DC232" s="41">
        <v>6.1</v>
      </c>
      <c r="DD232" s="41">
        <v>4</v>
      </c>
      <c r="DE232" s="41">
        <v>1.97</v>
      </c>
      <c r="DF232" s="41">
        <v>1</v>
      </c>
      <c r="DG232" s="41">
        <v>0.8</v>
      </c>
      <c r="DH232" s="13">
        <v>293</v>
      </c>
      <c r="DI232" s="13">
        <v>247</v>
      </c>
      <c r="DJ232" s="13">
        <v>229</v>
      </c>
      <c r="DK232" s="13">
        <v>143</v>
      </c>
      <c r="DL232" s="13">
        <v>1.73</v>
      </c>
    </row>
    <row r="233" spans="1:116">
      <c r="A233" s="14">
        <v>221</v>
      </c>
      <c r="B233" s="15" t="str">
        <f>IF(ISBLANK(D[[#This Row],[CLAS_GRONDSOORT]]),"ONWAAR","WAAR")</f>
        <v>ONWAAR</v>
      </c>
      <c r="C233" s="15" t="str">
        <f>IF(ISBLANK(D[[#This Row],[CLAS_VN_HOOFDNAAM]]),"ONWAAR","WAAR")</f>
        <v>ONWAAR</v>
      </c>
      <c r="D233" s="15" t="str">
        <f>IF(ISBLANK(D[[#This Row],[KV_GRONDSOORT]]),"ONWAAR","WAAR")</f>
        <v>WAAR</v>
      </c>
      <c r="E233" s="15" t="str">
        <f>IF(ISBLANK(D[[#This Row],[CPT_QNET]]),"ONWAAR","WAAR")</f>
        <v>ONWAAR</v>
      </c>
      <c r="F233" s="15" t="str">
        <f>IF(ISBLANK(D[[#This Row],[CRS_GRONDSOORT]]),"ONWAAR","WAAR")</f>
        <v>ONWAAR</v>
      </c>
      <c r="G233" s="15" t="str">
        <f>IF(ISBLANK(D[[#This Row],[SD_GRONDSOORT]]),"ONWAAR","WAAR")</f>
        <v>ONWAAR</v>
      </c>
      <c r="H233" s="15" t="str">
        <f>IF(ISBLANK(D[[#This Row],[DSS_GRONDSOORT]]),"ONWAAR","WAAR")</f>
        <v>ONWAAR</v>
      </c>
      <c r="I233" s="15" t="str">
        <f>IF(ISBLANK(D[[#This Row],[TXT_SS_GRONDSOORT]]),"ONWAAR","WAAR")</f>
        <v>ONWAAR</v>
      </c>
      <c r="J233" s="13" t="s">
        <v>2260</v>
      </c>
      <c r="L233" s="13" t="s">
        <v>1418</v>
      </c>
      <c r="M233" s="13" t="s">
        <v>1419</v>
      </c>
      <c r="P233" s="13" t="s">
        <v>1420</v>
      </c>
      <c r="V233" s="41">
        <v>133833.95000000001</v>
      </c>
      <c r="W233" s="41">
        <v>414468.23</v>
      </c>
      <c r="X233" s="41">
        <v>0.59</v>
      </c>
      <c r="Y233" s="13" t="s">
        <v>2261</v>
      </c>
      <c r="Z233" s="13" t="s">
        <v>1737</v>
      </c>
      <c r="AA233" s="39">
        <v>45156</v>
      </c>
      <c r="AB233" s="13" t="s">
        <v>2262</v>
      </c>
      <c r="AC233" s="13" t="s">
        <v>2263</v>
      </c>
      <c r="AD233" s="13" t="s">
        <v>1425</v>
      </c>
      <c r="AE233" s="13" t="s">
        <v>1962</v>
      </c>
      <c r="AF233" s="13" t="s">
        <v>1427</v>
      </c>
      <c r="AG233" s="41">
        <v>-0.21</v>
      </c>
      <c r="AH233" s="13">
        <v>-0.41</v>
      </c>
      <c r="AI233" s="13">
        <v>112</v>
      </c>
      <c r="AJ233" s="13" t="s">
        <v>1646</v>
      </c>
      <c r="AK233" s="13" t="s">
        <v>1647</v>
      </c>
      <c r="AL233" s="41">
        <v>-2.41</v>
      </c>
      <c r="AM233" s="41">
        <v>-3.21</v>
      </c>
      <c r="AN233" s="41">
        <v>3</v>
      </c>
      <c r="AO233" s="41">
        <v>3.8</v>
      </c>
      <c r="AY233" s="41"/>
      <c r="AZ233" s="41"/>
      <c r="BA233" s="41"/>
      <c r="BB233" s="41"/>
      <c r="CE233" s="13" t="s">
        <v>2264</v>
      </c>
      <c r="CF233" s="13" t="s">
        <v>1431</v>
      </c>
      <c r="CG233" s="13" t="s">
        <v>2260</v>
      </c>
      <c r="CH233" s="13" t="s">
        <v>1425</v>
      </c>
      <c r="CI233" s="13" t="s">
        <v>1524</v>
      </c>
      <c r="CJ233" s="39">
        <v>45212</v>
      </c>
      <c r="CK233" s="13" t="s">
        <v>1588</v>
      </c>
      <c r="CM233" s="13">
        <v>293</v>
      </c>
      <c r="CN233" s="13">
        <v>289</v>
      </c>
      <c r="CO233" s="41">
        <v>0.09</v>
      </c>
      <c r="CP233" s="41">
        <v>96.82</v>
      </c>
      <c r="CQ233" s="41">
        <v>1.08</v>
      </c>
      <c r="CR233" s="41">
        <v>100</v>
      </c>
      <c r="CS233" s="41">
        <v>100</v>
      </c>
      <c r="CT233" s="41">
        <v>100</v>
      </c>
      <c r="CU233" s="41">
        <v>100</v>
      </c>
      <c r="CV233" s="41">
        <v>99.99</v>
      </c>
      <c r="CW233" s="41">
        <v>99.91</v>
      </c>
      <c r="CX233" s="41">
        <v>98.49</v>
      </c>
      <c r="CY233" s="41">
        <v>90.67</v>
      </c>
      <c r="CZ233" s="41">
        <v>34.19</v>
      </c>
      <c r="DA233" s="41">
        <v>11.76</v>
      </c>
      <c r="DB233" s="41">
        <v>4.21</v>
      </c>
      <c r="DC233" s="41">
        <v>3.08</v>
      </c>
      <c r="DD233" s="41">
        <v>2.8</v>
      </c>
      <c r="DE233" s="41">
        <v>2.6</v>
      </c>
      <c r="DF233" s="41">
        <v>2.5</v>
      </c>
      <c r="DG233" s="41">
        <v>2</v>
      </c>
      <c r="DH233" s="13">
        <v>341</v>
      </c>
      <c r="DI233" s="13">
        <v>317</v>
      </c>
      <c r="DJ233" s="13">
        <v>293</v>
      </c>
      <c r="DK233" s="13">
        <v>183</v>
      </c>
      <c r="DL233" s="13">
        <v>1.73</v>
      </c>
    </row>
    <row r="234" spans="1:116">
      <c r="A234" s="14">
        <v>222</v>
      </c>
      <c r="B234" s="15" t="str">
        <f>IF(ISBLANK(D[[#This Row],[CLAS_GRONDSOORT]]),"ONWAAR","WAAR")</f>
        <v>WAAR</v>
      </c>
      <c r="C234" s="15" t="str">
        <f>IF(ISBLANK(D[[#This Row],[CLAS_VN_HOOFDNAAM]]),"ONWAAR","WAAR")</f>
        <v>ONWAAR</v>
      </c>
      <c r="D234" s="15" t="str">
        <f>IF(ISBLANK(D[[#This Row],[KV_GRONDSOORT]]),"ONWAAR","WAAR")</f>
        <v>ONWAAR</v>
      </c>
      <c r="E234" s="15" t="str">
        <f>IF(ISBLANK(D[[#This Row],[CPT_QNET]]),"ONWAAR","WAAR")</f>
        <v>ONWAAR</v>
      </c>
      <c r="F234" s="15" t="str">
        <f>IF(ISBLANK(D[[#This Row],[CRS_GRONDSOORT]]),"ONWAAR","WAAR")</f>
        <v>ONWAAR</v>
      </c>
      <c r="G234" s="15" t="str">
        <f>IF(ISBLANK(D[[#This Row],[SD_GRONDSOORT]]),"ONWAAR","WAAR")</f>
        <v>ONWAAR</v>
      </c>
      <c r="H234" s="15" t="str">
        <f>IF(ISBLANK(D[[#This Row],[DSS_GRONDSOORT]]),"ONWAAR","WAAR")</f>
        <v>ONWAAR</v>
      </c>
      <c r="I234" s="15" t="str">
        <f>IF(ISBLANK(D[[#This Row],[TXT_SS_GRONDSOORT]]),"ONWAAR","WAAR")</f>
        <v>ONWAAR</v>
      </c>
      <c r="J234" s="13" t="s">
        <v>2265</v>
      </c>
      <c r="L234" s="13" t="s">
        <v>1418</v>
      </c>
      <c r="M234" s="13" t="s">
        <v>1419</v>
      </c>
      <c r="P234" s="13" t="s">
        <v>1420</v>
      </c>
      <c r="V234" s="41">
        <v>133729.31</v>
      </c>
      <c r="W234" s="41">
        <v>414426</v>
      </c>
      <c r="X234" s="41">
        <v>4.28</v>
      </c>
      <c r="Y234" s="13" t="s">
        <v>2266</v>
      </c>
      <c r="Z234" s="13" t="s">
        <v>1970</v>
      </c>
      <c r="AA234" s="39">
        <v>45153</v>
      </c>
      <c r="AB234" s="13" t="s">
        <v>2267</v>
      </c>
      <c r="AC234" s="13" t="s">
        <v>2268</v>
      </c>
      <c r="AD234" s="13" t="s">
        <v>1425</v>
      </c>
      <c r="AE234" s="13" t="s">
        <v>1962</v>
      </c>
      <c r="AF234" s="13" t="s">
        <v>1427</v>
      </c>
      <c r="AG234" s="41"/>
      <c r="AI234" s="13">
        <v>1</v>
      </c>
      <c r="AJ234" s="13" t="s">
        <v>1963</v>
      </c>
      <c r="AK234" s="13" t="s">
        <v>1429</v>
      </c>
      <c r="AL234" s="41">
        <v>3.78</v>
      </c>
      <c r="AM234" s="41">
        <v>3.58</v>
      </c>
      <c r="AN234" s="41">
        <v>0.5</v>
      </c>
      <c r="AO234" s="41">
        <v>0.7</v>
      </c>
      <c r="AQ234" s="13" t="s">
        <v>1964</v>
      </c>
      <c r="AR234" s="13" t="s">
        <v>1431</v>
      </c>
      <c r="AS234" s="13" t="s">
        <v>2265</v>
      </c>
      <c r="AT234" s="13" t="s">
        <v>1425</v>
      </c>
      <c r="AU234" s="13" t="s">
        <v>1432</v>
      </c>
      <c r="AV234" s="39">
        <v>45279</v>
      </c>
      <c r="AW234" s="13" t="s">
        <v>2269</v>
      </c>
      <c r="AY234" s="41">
        <v>3.75</v>
      </c>
      <c r="AZ234" s="41">
        <v>16.5</v>
      </c>
      <c r="BA234" s="41">
        <v>13.6</v>
      </c>
      <c r="BB234" s="41">
        <v>21.2</v>
      </c>
    </row>
    <row r="235" spans="1:116">
      <c r="A235" s="14">
        <v>223</v>
      </c>
      <c r="B235" s="15" t="str">
        <f>IF(ISBLANK(D[[#This Row],[CLAS_GRONDSOORT]]),"ONWAAR","WAAR")</f>
        <v>WAAR</v>
      </c>
      <c r="C235" s="15" t="str">
        <f>IF(ISBLANK(D[[#This Row],[CLAS_VN_HOOFDNAAM]]),"ONWAAR","WAAR")</f>
        <v>ONWAAR</v>
      </c>
      <c r="D235" s="15" t="str">
        <f>IF(ISBLANK(D[[#This Row],[KV_GRONDSOORT]]),"ONWAAR","WAAR")</f>
        <v>ONWAAR</v>
      </c>
      <c r="E235" s="15" t="str">
        <f>IF(ISBLANK(D[[#This Row],[CPT_QNET]]),"ONWAAR","WAAR")</f>
        <v>ONWAAR</v>
      </c>
      <c r="F235" s="15" t="str">
        <f>IF(ISBLANK(D[[#This Row],[CRS_GRONDSOORT]]),"ONWAAR","WAAR")</f>
        <v>ONWAAR</v>
      </c>
      <c r="G235" s="15" t="str">
        <f>IF(ISBLANK(D[[#This Row],[SD_GRONDSOORT]]),"ONWAAR","WAAR")</f>
        <v>ONWAAR</v>
      </c>
      <c r="H235" s="15" t="str">
        <f>IF(ISBLANK(D[[#This Row],[DSS_GRONDSOORT]]),"ONWAAR","WAAR")</f>
        <v>ONWAAR</v>
      </c>
      <c r="I235" s="15" t="str">
        <f>IF(ISBLANK(D[[#This Row],[TXT_SS_GRONDSOORT]]),"ONWAAR","WAAR")</f>
        <v>ONWAAR</v>
      </c>
      <c r="J235" s="13" t="s">
        <v>2270</v>
      </c>
      <c r="L235" s="13" t="s">
        <v>1418</v>
      </c>
      <c r="M235" s="13" t="s">
        <v>1419</v>
      </c>
      <c r="P235" s="13" t="s">
        <v>1420</v>
      </c>
      <c r="V235" s="41">
        <v>133666.85</v>
      </c>
      <c r="W235" s="41">
        <v>414349.27</v>
      </c>
      <c r="X235" s="41">
        <v>4.84</v>
      </c>
      <c r="Y235" s="13" t="s">
        <v>2271</v>
      </c>
      <c r="Z235" s="13" t="s">
        <v>1970</v>
      </c>
      <c r="AA235" s="39">
        <v>45153</v>
      </c>
      <c r="AB235" s="13" t="s">
        <v>2272</v>
      </c>
      <c r="AC235" s="13" t="s">
        <v>2273</v>
      </c>
      <c r="AD235" s="13" t="s">
        <v>1425</v>
      </c>
      <c r="AE235" s="13" t="s">
        <v>1962</v>
      </c>
      <c r="AF235" s="13" t="s">
        <v>1427</v>
      </c>
      <c r="AG235" s="41"/>
      <c r="AI235" s="13">
        <v>1</v>
      </c>
      <c r="AJ235" s="13" t="s">
        <v>1963</v>
      </c>
      <c r="AK235" s="13" t="s">
        <v>1429</v>
      </c>
      <c r="AL235" s="41">
        <v>4.34</v>
      </c>
      <c r="AM235" s="41">
        <v>4.1399999999999997</v>
      </c>
      <c r="AN235" s="41">
        <v>0.5</v>
      </c>
      <c r="AO235" s="41">
        <v>0.7</v>
      </c>
      <c r="AQ235" s="13" t="s">
        <v>1964</v>
      </c>
      <c r="AR235" s="13" t="s">
        <v>1431</v>
      </c>
      <c r="AS235" s="13" t="s">
        <v>2270</v>
      </c>
      <c r="AT235" s="13" t="s">
        <v>1425</v>
      </c>
      <c r="AU235" s="13" t="s">
        <v>1432</v>
      </c>
      <c r="AV235" s="39">
        <v>45279</v>
      </c>
      <c r="AW235" s="13" t="s">
        <v>2274</v>
      </c>
      <c r="AY235" s="41">
        <v>4.26</v>
      </c>
      <c r="AZ235" s="41">
        <v>16.399999999999999</v>
      </c>
      <c r="BA235" s="41">
        <v>13.5</v>
      </c>
      <c r="BB235" s="41">
        <v>21.5</v>
      </c>
    </row>
    <row r="236" spans="1:116">
      <c r="A236" s="14">
        <v>224</v>
      </c>
      <c r="B236" s="15" t="str">
        <f>IF(ISBLANK(D[[#This Row],[CLAS_GRONDSOORT]]),"ONWAAR","WAAR")</f>
        <v>WAAR</v>
      </c>
      <c r="C236" s="15" t="str">
        <f>IF(ISBLANK(D[[#This Row],[CLAS_VN_HOOFDNAAM]]),"ONWAAR","WAAR")</f>
        <v>ONWAAR</v>
      </c>
      <c r="D236" s="15" t="str">
        <f>IF(ISBLANK(D[[#This Row],[KV_GRONDSOORT]]),"ONWAAR","WAAR")</f>
        <v>ONWAAR</v>
      </c>
      <c r="E236" s="15" t="str">
        <f>IF(ISBLANK(D[[#This Row],[CPT_QNET]]),"ONWAAR","WAAR")</f>
        <v>ONWAAR</v>
      </c>
      <c r="F236" s="15" t="str">
        <f>IF(ISBLANK(D[[#This Row],[CRS_GRONDSOORT]]),"ONWAAR","WAAR")</f>
        <v>ONWAAR</v>
      </c>
      <c r="G236" s="15" t="str">
        <f>IF(ISBLANK(D[[#This Row],[SD_GRONDSOORT]]),"ONWAAR","WAAR")</f>
        <v>ONWAAR</v>
      </c>
      <c r="H236" s="15" t="str">
        <f>IF(ISBLANK(D[[#This Row],[DSS_GRONDSOORT]]),"ONWAAR","WAAR")</f>
        <v>ONWAAR</v>
      </c>
      <c r="I236" s="15" t="str">
        <f>IF(ISBLANK(D[[#This Row],[TXT_SS_GRONDSOORT]]),"ONWAAR","WAAR")</f>
        <v>ONWAAR</v>
      </c>
      <c r="J236" s="13" t="s">
        <v>2275</v>
      </c>
      <c r="L236" s="13" t="s">
        <v>1418</v>
      </c>
      <c r="M236" s="13" t="s">
        <v>1419</v>
      </c>
      <c r="P236" s="13" t="s">
        <v>1420</v>
      </c>
      <c r="V236" s="41">
        <v>133604.13</v>
      </c>
      <c r="W236" s="41">
        <v>414272.86</v>
      </c>
      <c r="X236" s="41">
        <v>4.4400000000000004</v>
      </c>
      <c r="Y236" s="13" t="s">
        <v>2276</v>
      </c>
      <c r="Z236" s="13" t="s">
        <v>1970</v>
      </c>
      <c r="AA236" s="39">
        <v>45153</v>
      </c>
      <c r="AB236" s="13" t="s">
        <v>2277</v>
      </c>
      <c r="AC236" s="13" t="s">
        <v>2278</v>
      </c>
      <c r="AD236" s="13" t="s">
        <v>1425</v>
      </c>
      <c r="AE236" s="13" t="s">
        <v>1962</v>
      </c>
      <c r="AF236" s="13" t="s">
        <v>1427</v>
      </c>
      <c r="AG236" s="41"/>
      <c r="AI236" s="13">
        <v>3</v>
      </c>
      <c r="AJ236" s="13" t="s">
        <v>1963</v>
      </c>
      <c r="AK236" s="13" t="s">
        <v>1429</v>
      </c>
      <c r="AL236" s="41">
        <v>3.94</v>
      </c>
      <c r="AM236" s="41">
        <v>3.74</v>
      </c>
      <c r="AN236" s="41">
        <v>0.5</v>
      </c>
      <c r="AO236" s="41">
        <v>0.7</v>
      </c>
      <c r="AQ236" s="13" t="s">
        <v>1964</v>
      </c>
      <c r="AR236" s="13" t="s">
        <v>1431</v>
      </c>
      <c r="AS236" s="13" t="s">
        <v>2275</v>
      </c>
      <c r="AT236" s="13" t="s">
        <v>1425</v>
      </c>
      <c r="AU236" s="13" t="s">
        <v>1432</v>
      </c>
      <c r="AV236" s="39">
        <v>45279</v>
      </c>
      <c r="AW236" s="13" t="s">
        <v>2279</v>
      </c>
      <c r="AY236" s="41">
        <v>3.85</v>
      </c>
      <c r="AZ236" s="41">
        <v>19.100000000000001</v>
      </c>
      <c r="BA236" s="41">
        <v>15.4</v>
      </c>
      <c r="BB236" s="41">
        <v>23.8</v>
      </c>
    </row>
    <row r="237" spans="1:116">
      <c r="A237" s="14">
        <v>225</v>
      </c>
      <c r="B237" s="15" t="str">
        <f>IF(ISBLANK(D[[#This Row],[CLAS_GRONDSOORT]]),"ONWAAR","WAAR")</f>
        <v>WAAR</v>
      </c>
      <c r="C237" s="15" t="str">
        <f>IF(ISBLANK(D[[#This Row],[CLAS_VN_HOOFDNAAM]]),"ONWAAR","WAAR")</f>
        <v>ONWAAR</v>
      </c>
      <c r="D237" s="15" t="str">
        <f>IF(ISBLANK(D[[#This Row],[KV_GRONDSOORT]]),"ONWAAR","WAAR")</f>
        <v>ONWAAR</v>
      </c>
      <c r="E237" s="15" t="str">
        <f>IF(ISBLANK(D[[#This Row],[CPT_QNET]]),"ONWAAR","WAAR")</f>
        <v>ONWAAR</v>
      </c>
      <c r="F237" s="15" t="str">
        <f>IF(ISBLANK(D[[#This Row],[CRS_GRONDSOORT]]),"ONWAAR","WAAR")</f>
        <v>ONWAAR</v>
      </c>
      <c r="G237" s="15" t="str">
        <f>IF(ISBLANK(D[[#This Row],[SD_GRONDSOORT]]),"ONWAAR","WAAR")</f>
        <v>ONWAAR</v>
      </c>
      <c r="H237" s="15" t="str">
        <f>IF(ISBLANK(D[[#This Row],[DSS_GRONDSOORT]]),"ONWAAR","WAAR")</f>
        <v>ONWAAR</v>
      </c>
      <c r="I237" s="15" t="str">
        <f>IF(ISBLANK(D[[#This Row],[TXT_SS_GRONDSOORT]]),"ONWAAR","WAAR")</f>
        <v>ONWAAR</v>
      </c>
      <c r="J237" s="13" t="s">
        <v>2280</v>
      </c>
      <c r="L237" s="13" t="s">
        <v>1418</v>
      </c>
      <c r="M237" s="13" t="s">
        <v>1419</v>
      </c>
      <c r="P237" s="13" t="s">
        <v>1420</v>
      </c>
      <c r="V237" s="41">
        <v>133626.48000000001</v>
      </c>
      <c r="W237" s="41">
        <v>414248.5</v>
      </c>
      <c r="X237" s="41">
        <v>1.33</v>
      </c>
      <c r="Y237" s="13" t="s">
        <v>2281</v>
      </c>
      <c r="Z237" s="13" t="s">
        <v>1737</v>
      </c>
      <c r="AA237" s="39">
        <v>45155</v>
      </c>
      <c r="AB237" s="13" t="s">
        <v>2282</v>
      </c>
      <c r="AC237" s="13" t="s">
        <v>2283</v>
      </c>
      <c r="AD237" s="13" t="s">
        <v>1425</v>
      </c>
      <c r="AE237" s="13" t="s">
        <v>1962</v>
      </c>
      <c r="AF237" s="13" t="s">
        <v>1427</v>
      </c>
      <c r="AG237" s="41">
        <v>0.23</v>
      </c>
      <c r="AH237" s="13">
        <v>-1.97</v>
      </c>
      <c r="AI237" s="13">
        <v>1</v>
      </c>
      <c r="AJ237" s="13" t="s">
        <v>1963</v>
      </c>
      <c r="AK237" s="13" t="s">
        <v>1429</v>
      </c>
      <c r="AL237" s="41">
        <v>0.83</v>
      </c>
      <c r="AM237" s="41">
        <v>0.63</v>
      </c>
      <c r="AN237" s="41">
        <v>0.5</v>
      </c>
      <c r="AO237" s="41">
        <v>0.7</v>
      </c>
      <c r="AQ237" s="13" t="s">
        <v>1964</v>
      </c>
      <c r="AR237" s="13" t="s">
        <v>1431</v>
      </c>
      <c r="AS237" s="13" t="s">
        <v>2280</v>
      </c>
      <c r="AT237" s="13" t="s">
        <v>1425</v>
      </c>
      <c r="AU237" s="13" t="s">
        <v>1432</v>
      </c>
      <c r="AV237" s="39">
        <v>45279</v>
      </c>
      <c r="AW237" s="13" t="s">
        <v>2284</v>
      </c>
      <c r="AY237" s="41">
        <v>0.78</v>
      </c>
      <c r="AZ237" s="41">
        <v>16.899999999999999</v>
      </c>
      <c r="BA237" s="41">
        <v>13.6</v>
      </c>
      <c r="BB237" s="41">
        <v>24.4</v>
      </c>
    </row>
    <row r="238" spans="1:116">
      <c r="A238" s="14">
        <v>226</v>
      </c>
      <c r="B238" s="15" t="str">
        <f>IF(ISBLANK(D[[#This Row],[CLAS_GRONDSOORT]]),"ONWAAR","WAAR")</f>
        <v>ONWAAR</v>
      </c>
      <c r="C238" s="15" t="str">
        <f>IF(ISBLANK(D[[#This Row],[CLAS_VN_HOOFDNAAM]]),"ONWAAR","WAAR")</f>
        <v>ONWAAR</v>
      </c>
      <c r="D238" s="15" t="str">
        <f>IF(ISBLANK(D[[#This Row],[KV_GRONDSOORT]]),"ONWAAR","WAAR")</f>
        <v>WAAR</v>
      </c>
      <c r="E238" s="15" t="str">
        <f>IF(ISBLANK(D[[#This Row],[CPT_QNET]]),"ONWAAR","WAAR")</f>
        <v>ONWAAR</v>
      </c>
      <c r="F238" s="15" t="str">
        <f>IF(ISBLANK(D[[#This Row],[CRS_GRONDSOORT]]),"ONWAAR","WAAR")</f>
        <v>ONWAAR</v>
      </c>
      <c r="G238" s="15" t="str">
        <f>IF(ISBLANK(D[[#This Row],[SD_GRONDSOORT]]),"ONWAAR","WAAR")</f>
        <v>ONWAAR</v>
      </c>
      <c r="H238" s="15" t="str">
        <f>IF(ISBLANK(D[[#This Row],[DSS_GRONDSOORT]]),"ONWAAR","WAAR")</f>
        <v>ONWAAR</v>
      </c>
      <c r="I238" s="15" t="str">
        <f>IF(ISBLANK(D[[#This Row],[TXT_SS_GRONDSOORT]]),"ONWAAR","WAAR")</f>
        <v>ONWAAR</v>
      </c>
      <c r="J238" s="13" t="s">
        <v>2285</v>
      </c>
      <c r="L238" s="13" t="s">
        <v>1418</v>
      </c>
      <c r="M238" s="13" t="s">
        <v>1419</v>
      </c>
      <c r="P238" s="13" t="s">
        <v>1420</v>
      </c>
      <c r="V238" s="41">
        <v>133626.48000000001</v>
      </c>
      <c r="W238" s="41">
        <v>414248.5</v>
      </c>
      <c r="X238" s="41">
        <v>1.33</v>
      </c>
      <c r="Y238" s="13" t="s">
        <v>2281</v>
      </c>
      <c r="Z238" s="13" t="s">
        <v>1737</v>
      </c>
      <c r="AA238" s="39">
        <v>45155</v>
      </c>
      <c r="AB238" s="13" t="s">
        <v>2282</v>
      </c>
      <c r="AC238" s="13" t="s">
        <v>2283</v>
      </c>
      <c r="AD238" s="13" t="s">
        <v>1425</v>
      </c>
      <c r="AE238" s="13" t="s">
        <v>1962</v>
      </c>
      <c r="AF238" s="13" t="s">
        <v>1427</v>
      </c>
      <c r="AG238" s="41">
        <v>0.23</v>
      </c>
      <c r="AH238" s="13">
        <v>-1.97</v>
      </c>
      <c r="AI238" s="13">
        <v>104</v>
      </c>
      <c r="AJ238" s="13" t="s">
        <v>1646</v>
      </c>
      <c r="AK238" s="13" t="s">
        <v>1647</v>
      </c>
      <c r="AL238" s="41">
        <v>-0.67</v>
      </c>
      <c r="AM238" s="41">
        <v>-1.67</v>
      </c>
      <c r="AN238" s="41">
        <v>2</v>
      </c>
      <c r="AO238" s="41">
        <v>3</v>
      </c>
      <c r="AY238" s="41"/>
      <c r="AZ238" s="41"/>
      <c r="BA238" s="41"/>
      <c r="BB238" s="41"/>
      <c r="CE238" s="13" t="s">
        <v>2286</v>
      </c>
      <c r="CF238" s="13" t="s">
        <v>1431</v>
      </c>
      <c r="CG238" s="13" t="s">
        <v>2285</v>
      </c>
      <c r="CH238" s="13" t="s">
        <v>1425</v>
      </c>
      <c r="CI238" s="13" t="s">
        <v>1524</v>
      </c>
      <c r="CJ238" s="39">
        <v>45212</v>
      </c>
      <c r="CK238" s="13" t="s">
        <v>1945</v>
      </c>
      <c r="CM238" s="13">
        <v>432</v>
      </c>
      <c r="CN238" s="13">
        <v>429</v>
      </c>
      <c r="CO238" s="41">
        <v>0.28000000000000003</v>
      </c>
      <c r="CP238" s="41">
        <v>97.77</v>
      </c>
      <c r="CQ238" s="41">
        <v>0.86</v>
      </c>
      <c r="CR238" s="41">
        <v>100</v>
      </c>
      <c r="CS238" s="41">
        <v>100</v>
      </c>
      <c r="CT238" s="41">
        <v>100</v>
      </c>
      <c r="CU238" s="41">
        <v>100</v>
      </c>
      <c r="CV238" s="41">
        <v>99.99</v>
      </c>
      <c r="CW238" s="41">
        <v>99.72</v>
      </c>
      <c r="CX238" s="41">
        <v>96.13</v>
      </c>
      <c r="CY238" s="41">
        <v>69.290000000000006</v>
      </c>
      <c r="CZ238" s="41">
        <v>7.3</v>
      </c>
      <c r="DA238" s="41">
        <v>3.89</v>
      </c>
      <c r="DB238" s="41">
        <v>2.42</v>
      </c>
      <c r="DC238" s="41">
        <v>1.96</v>
      </c>
      <c r="DD238" s="41">
        <v>1.7</v>
      </c>
      <c r="DE238" s="41">
        <v>1.56</v>
      </c>
      <c r="DF238" s="41">
        <v>1.5</v>
      </c>
      <c r="DG238" s="41">
        <v>1.1000000000000001</v>
      </c>
      <c r="DH238" s="13">
        <v>511</v>
      </c>
      <c r="DI238" s="13">
        <v>468</v>
      </c>
      <c r="DJ238" s="13">
        <v>432</v>
      </c>
      <c r="DK238" s="13">
        <v>270</v>
      </c>
      <c r="DL238" s="13">
        <v>1.73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65"/>
  <sheetViews>
    <sheetView zoomScale="85" zoomScaleNormal="85" workbookViewId="0">
      <pane xSplit="1" ySplit="5" topLeftCell="I87" activePane="bottomRight" state="frozen"/>
      <selection pane="bottomRight" activeCell="L96" sqref="L96"/>
      <selection pane="bottomLeft" activeCell="A6" sqref="A6"/>
      <selection pane="topRight" activeCell="B1" sqref="B1"/>
    </sheetView>
  </sheetViews>
  <sheetFormatPr defaultRowHeight="12.75"/>
  <cols>
    <col min="2" max="2" width="48.7109375" bestFit="1" customWidth="1"/>
    <col min="4" max="4" width="98" customWidth="1"/>
    <col min="7" max="7" width="47" bestFit="1" customWidth="1"/>
    <col min="8" max="8" width="20.42578125" customWidth="1"/>
    <col min="9" max="9" width="9.140625" customWidth="1"/>
    <col min="10" max="10" width="14.7109375" customWidth="1"/>
    <col min="11" max="11" width="9.140625" customWidth="1"/>
    <col min="12" max="12" width="26.7109375" customWidth="1"/>
    <col min="13" max="13" width="9.140625" customWidth="1"/>
    <col min="14" max="14" width="114.42578125" customWidth="1"/>
    <col min="15" max="16" width="9.140625" customWidth="1"/>
    <col min="17" max="17" width="47" bestFit="1" customWidth="1"/>
    <col min="18" max="18" width="9.140625" customWidth="1"/>
    <col min="19" max="19" width="16" customWidth="1"/>
    <col min="20" max="20" width="14" customWidth="1"/>
    <col min="21" max="21" width="9.140625" customWidth="1"/>
    <col min="22" max="22" width="28" customWidth="1"/>
    <col min="23" max="23" width="5.85546875" customWidth="1"/>
    <col min="24" max="24" width="26.28515625" customWidth="1"/>
    <col min="25" max="25" width="29" customWidth="1"/>
    <col min="26" max="30" width="9.140625" customWidth="1"/>
    <col min="31" max="31" width="80.85546875" customWidth="1"/>
    <col min="32" max="34" width="9.140625" customWidth="1"/>
    <col min="35" max="35" width="53.140625" bestFit="1" customWidth="1"/>
    <col min="36" max="38" width="9.140625" customWidth="1"/>
    <col min="39" max="39" width="26.140625" customWidth="1"/>
    <col min="40" max="40" width="16" customWidth="1"/>
    <col min="41" max="41" width="9.140625" customWidth="1"/>
    <col min="42" max="42" width="28" customWidth="1"/>
    <col min="43" max="43" width="10" customWidth="1"/>
    <col min="44" max="44" width="5.85546875" customWidth="1"/>
    <col min="45" max="45" width="26.28515625" customWidth="1"/>
    <col min="46" max="46" width="29" bestFit="1" customWidth="1"/>
    <col min="47" max="47" width="20.42578125" bestFit="1" customWidth="1"/>
    <col min="48" max="48" width="14.140625" bestFit="1" customWidth="1"/>
    <col min="49" max="49" width="13.85546875" bestFit="1" customWidth="1"/>
  </cols>
  <sheetData>
    <row r="1" spans="1:49">
      <c r="A1" s="25" t="s">
        <v>2287</v>
      </c>
    </row>
    <row r="3" spans="1:49">
      <c r="A3" s="26" t="s">
        <v>2288</v>
      </c>
      <c r="B3" s="27"/>
      <c r="C3" s="27"/>
      <c r="D3" s="27"/>
      <c r="E3" s="27"/>
      <c r="F3" s="27"/>
      <c r="G3" s="27"/>
      <c r="H3" s="27"/>
      <c r="I3" s="27"/>
      <c r="J3" s="27"/>
      <c r="K3" s="28" t="s">
        <v>2289</v>
      </c>
      <c r="L3" s="29"/>
      <c r="M3" s="29"/>
      <c r="N3" s="29"/>
      <c r="O3" s="29"/>
      <c r="P3" s="29"/>
      <c r="Q3" s="29"/>
      <c r="R3" s="29"/>
      <c r="S3" s="32" t="s">
        <v>2290</v>
      </c>
      <c r="T3" s="31"/>
      <c r="U3" s="31"/>
      <c r="V3" s="31"/>
      <c r="W3" s="31"/>
      <c r="X3" s="31"/>
      <c r="Y3" s="31"/>
      <c r="Z3" t="s">
        <v>2291</v>
      </c>
      <c r="AN3" s="32" t="s">
        <v>2292</v>
      </c>
      <c r="AO3" s="31"/>
      <c r="AP3" s="31"/>
      <c r="AQ3" s="31"/>
      <c r="AR3" s="31"/>
      <c r="AS3" s="31"/>
      <c r="AT3" s="31"/>
      <c r="AU3" s="31"/>
      <c r="AV3" s="31"/>
      <c r="AW3" s="31"/>
    </row>
    <row r="4" spans="1:49">
      <c r="A4" s="27"/>
      <c r="B4" s="27"/>
      <c r="C4" s="27"/>
      <c r="D4" s="27"/>
      <c r="E4" s="27"/>
      <c r="F4" s="27"/>
      <c r="G4" s="27"/>
      <c r="H4" s="27"/>
      <c r="I4" s="27"/>
      <c r="J4" s="27"/>
      <c r="K4" s="29"/>
      <c r="L4" s="29"/>
      <c r="M4" s="29"/>
      <c r="N4" s="29"/>
      <c r="O4" s="29"/>
      <c r="P4" s="29"/>
      <c r="Q4" s="29"/>
      <c r="R4" s="29"/>
      <c r="S4" s="31"/>
      <c r="T4" s="31"/>
      <c r="U4" s="31"/>
      <c r="V4" s="31"/>
      <c r="W4" s="31"/>
      <c r="X4" s="31"/>
      <c r="Y4" s="31"/>
      <c r="AN4" s="31"/>
      <c r="AO4" s="31"/>
      <c r="AP4" s="31"/>
      <c r="AQ4" s="31"/>
      <c r="AR4" s="31"/>
      <c r="AS4" s="31"/>
      <c r="AT4" s="31"/>
      <c r="AU4" s="31"/>
      <c r="AV4" s="31"/>
      <c r="AW4" s="31"/>
    </row>
    <row r="5" spans="1:49">
      <c r="A5" s="27" t="str">
        <f>Dbase_velden_versie4_2!A1</f>
        <v>KOLOMNR</v>
      </c>
      <c r="B5" s="27" t="str">
        <f>Dbase_velden_versie4_2!B1</f>
        <v>NAAM_DBASE</v>
      </c>
      <c r="C5" s="27" t="str">
        <f>Dbase_velden_versie4_2!C1</f>
        <v>EENHEID</v>
      </c>
      <c r="D5" s="27" t="str">
        <f>Dbase_velden_versie4_2!D1</f>
        <v>OMSCHRIJVING_PARAMETER</v>
      </c>
      <c r="E5" s="27" t="str">
        <f>Dbase_velden_versie4_2!E1</f>
        <v>TYPE</v>
      </c>
      <c r="F5" s="27" t="str">
        <f>Dbase_velden_versie4_2!F1</f>
        <v>BEREIK_DOMEINWAARDEN</v>
      </c>
      <c r="G5" s="27" t="str">
        <f>Dbase_velden_versie4_2!G1</f>
        <v>LEESBARE_NAAM_DATABASE</v>
      </c>
      <c r="H5" s="27" t="str">
        <f>Dbase_velden_versie4_2!H1</f>
        <v>LEESBARE_EENHEID</v>
      </c>
      <c r="I5" s="27" t="str">
        <f>Dbase_velden_versie4_2!I1</f>
        <v>GROEP_CODE</v>
      </c>
      <c r="J5" s="27" t="str">
        <f>Dbase_velden_versie4_2!J1</f>
        <v>GROEP NAAM</v>
      </c>
      <c r="K5" s="29" t="str">
        <f t="array" ref="K5:R465">TRANSPOSE(Dbase!A1:QS8)</f>
        <v>KOLOMNR</v>
      </c>
      <c r="L5" s="29" t="str">
        <v>NAAM_DBASE</v>
      </c>
      <c r="M5" s="29" t="str">
        <v>EENHEID</v>
      </c>
      <c r="N5" s="29" t="str">
        <v>OMSCHRIJVING_PARAMETER</v>
      </c>
      <c r="O5" s="29" t="str">
        <v>TYPE</v>
      </c>
      <c r="P5" s="29" t="str">
        <v>BEREIK_DOMEINWAARDEN</v>
      </c>
      <c r="Q5" s="29" t="str">
        <v>LEESBARE_NAAM_DATABASE</v>
      </c>
      <c r="R5" s="29" t="str">
        <v>LEESBARE_EENHEID</v>
      </c>
      <c r="S5" s="31" t="str">
        <f>K5</f>
        <v>KOLOMNR</v>
      </c>
      <c r="T5" s="31" t="str">
        <f t="shared" ref="T5:W5" si="0">L5</f>
        <v>NAAM_DBASE</v>
      </c>
      <c r="U5" s="31" t="str">
        <f t="shared" si="0"/>
        <v>EENHEID</v>
      </c>
      <c r="V5" s="31" t="str">
        <f t="shared" si="0"/>
        <v>OMSCHRIJVING_PARAMETER</v>
      </c>
      <c r="W5" s="31" t="str">
        <f t="shared" si="0"/>
        <v>TYPE</v>
      </c>
      <c r="X5" s="31" t="str">
        <f>P5</f>
        <v>BEREIK_DOMEINWAARDEN</v>
      </c>
      <c r="Y5" s="31" t="str">
        <f t="shared" ref="Y5" si="1">Q5</f>
        <v>LEESBARE_NAAM_DATABASE</v>
      </c>
      <c r="Z5" t="s">
        <v>2293</v>
      </c>
      <c r="AA5" t="s">
        <v>0</v>
      </c>
      <c r="AB5" t="s">
        <v>2294</v>
      </c>
      <c r="AC5" t="s">
        <v>1</v>
      </c>
      <c r="AD5" t="s">
        <v>462</v>
      </c>
      <c r="AE5" t="s">
        <v>484</v>
      </c>
      <c r="AF5" t="s">
        <v>2295</v>
      </c>
      <c r="AG5" t="s">
        <v>894</v>
      </c>
      <c r="AH5" t="s">
        <v>899</v>
      </c>
      <c r="AI5" t="s">
        <v>933</v>
      </c>
      <c r="AJ5" t="s">
        <v>1394</v>
      </c>
      <c r="AK5" t="s">
        <v>2296</v>
      </c>
      <c r="AL5" t="s">
        <v>2297</v>
      </c>
      <c r="AM5" t="s">
        <v>2294</v>
      </c>
      <c r="AN5" s="31" t="s">
        <v>1</v>
      </c>
      <c r="AO5" s="31" t="s">
        <v>462</v>
      </c>
      <c r="AP5" s="31" t="s">
        <v>484</v>
      </c>
      <c r="AQ5" s="31" t="s">
        <v>2295</v>
      </c>
      <c r="AR5" s="31" t="s">
        <v>894</v>
      </c>
      <c r="AS5" s="31" t="s">
        <v>899</v>
      </c>
      <c r="AT5" s="31" t="s">
        <v>933</v>
      </c>
      <c r="AU5" s="31" t="s">
        <v>1394</v>
      </c>
      <c r="AV5" s="31" t="s">
        <v>2296</v>
      </c>
      <c r="AW5" s="31" t="s">
        <v>2297</v>
      </c>
    </row>
    <row r="6" spans="1:49">
      <c r="A6">
        <f>Dbase_velden_versie4_2!A2</f>
        <v>2</v>
      </c>
      <c r="B6" t="str">
        <f>Dbase_velden_versie4_2!B2</f>
        <v>ALG__CLASSIFICATIE</v>
      </c>
      <c r="C6" t="str">
        <f>Dbase_velden_versie4_2!C2</f>
        <v>-</v>
      </c>
      <c r="D6" t="str">
        <f>Dbase_velden_versie4_2!D2</f>
        <v>Geeft aan of classificatieproeven zijn uitgevoerd [WAAR/ONWAAR of TRUE/FALSE]</v>
      </c>
      <c r="E6" t="str">
        <f>Dbase_velden_versie4_2!E2</f>
        <v>Boolean</v>
      </c>
      <c r="F6" t="str">
        <f>Dbase_velden_versie4_2!F2</f>
        <v>WAAR/ONWAAR of TRUE/FALSE</v>
      </c>
      <c r="G6" t="str">
        <f>Dbase_velden_versie4_2!G2</f>
        <v>ALG  CLASSIFICATIE</v>
      </c>
      <c r="H6" t="str">
        <f>Dbase_velden_versie4_2!H2</f>
        <v>[-]</v>
      </c>
      <c r="I6" t="str">
        <f>Dbase_velden_versie4_2!I2</f>
        <v>ALG</v>
      </c>
      <c r="J6" t="str">
        <f>Dbase_velden_versie4_2!J2</f>
        <v>Algemene kenmerken</v>
      </c>
      <c r="K6">
        <v>2</v>
      </c>
      <c r="L6" t="str">
        <v>ALG__GRONDSOORT</v>
      </c>
      <c r="M6" t="str">
        <v>-</v>
      </c>
      <c r="N6" t="str">
        <v>Geeft aan of classificatieproeven zijn uitgevoerd [WAAR/ONWAAR of TRUE/FALSE]</v>
      </c>
      <c r="O6" t="str">
        <v>Boolean</v>
      </c>
      <c r="P6" t="str">
        <v>WAAR/ONWAAR of TRUE/FALSE</v>
      </c>
      <c r="Q6" t="str">
        <v>ALG  CLASSIFICATIE</v>
      </c>
      <c r="R6" t="str">
        <v>[-]</v>
      </c>
      <c r="S6" t="str">
        <f>IF(A6=K6,"OK","NOK")</f>
        <v>OK</v>
      </c>
      <c r="T6" t="str">
        <f t="shared" ref="T6:T69" si="2">IF(B6=L6,"OK","NOK")</f>
        <v>NOK</v>
      </c>
      <c r="U6" t="str">
        <f t="shared" ref="U6:U69" si="3">IF(C6=M6,"OK","NOK")</f>
        <v>OK</v>
      </c>
      <c r="V6" t="str">
        <f t="shared" ref="V6:V69" si="4">IF(D6=N6,"OK","NOK")</f>
        <v>OK</v>
      </c>
      <c r="W6" t="str">
        <f t="shared" ref="W6:W69" si="5">IF(E6=O6,"OK","NOK")</f>
        <v>OK</v>
      </c>
      <c r="X6" t="str">
        <f t="shared" ref="X6:X69" si="6">IF(F6=P6,"OK","NOK")</f>
        <v>OK</v>
      </c>
      <c r="Y6" t="str">
        <f t="shared" ref="Y6:Y69" si="7">IF(G6=Q6,"OK","NOK")</f>
        <v>OK</v>
      </c>
      <c r="Z6">
        <v>1</v>
      </c>
      <c r="AA6">
        <v>3</v>
      </c>
      <c r="AB6" t="s">
        <v>2298</v>
      </c>
      <c r="AC6" t="s">
        <v>2299</v>
      </c>
      <c r="AD6" t="s">
        <v>463</v>
      </c>
      <c r="AE6" t="s">
        <v>485</v>
      </c>
      <c r="AG6" t="s">
        <v>895</v>
      </c>
      <c r="AH6" t="s">
        <v>900</v>
      </c>
      <c r="AI6" t="s">
        <v>2300</v>
      </c>
      <c r="AJ6" t="s">
        <v>1395</v>
      </c>
      <c r="AK6" t="s">
        <v>2298</v>
      </c>
      <c r="AL6" t="s">
        <v>2301</v>
      </c>
      <c r="AN6" t="str">
        <f>IF(B6=AC6,"OK","NOK")</f>
        <v>OK</v>
      </c>
      <c r="AO6" t="str">
        <f>IF(C6=AD6,"OK","NOK")</f>
        <v>OK</v>
      </c>
      <c r="AP6" t="str">
        <f>IF(D6=AE6,"OK","NOK")</f>
        <v>OK</v>
      </c>
      <c r="AR6" t="str">
        <f t="shared" ref="AR6:AW6" si="8">IF(E6=AG6,"OK","NOK")</f>
        <v>OK</v>
      </c>
      <c r="AS6" t="str">
        <f t="shared" si="8"/>
        <v>OK</v>
      </c>
      <c r="AT6" t="str">
        <f t="shared" si="8"/>
        <v>NOK</v>
      </c>
      <c r="AU6" t="str">
        <f t="shared" si="8"/>
        <v>OK</v>
      </c>
      <c r="AV6" t="str">
        <f t="shared" si="8"/>
        <v>OK</v>
      </c>
      <c r="AW6" t="str">
        <f t="shared" si="8"/>
        <v>OK</v>
      </c>
    </row>
    <row r="7" spans="1:49">
      <c r="A7">
        <f>Dbase_velden_versie4_2!A3</f>
        <v>3</v>
      </c>
      <c r="B7" t="str">
        <f>Dbase_velden_versie4_2!B3</f>
        <v>ALG__VEENCLASSIFICATIE</v>
      </c>
      <c r="C7" t="str">
        <f>Dbase_velden_versie4_2!C3</f>
        <v>-</v>
      </c>
      <c r="D7" t="str">
        <f>Dbase_velden_versie4_2!D3</f>
        <v>Geeft aan of classificatieproeven op veen zijn uitgevoerd [WAAR/ONWAAR of TRUE/FALSE]</v>
      </c>
      <c r="E7" t="str">
        <f>Dbase_velden_versie4_2!E3</f>
        <v>Boolean</v>
      </c>
      <c r="F7" t="str">
        <f>Dbase_velden_versie4_2!F3</f>
        <v>WAAR/ONWAAR of TRUE/FALSE</v>
      </c>
      <c r="G7" t="str">
        <f>Dbase_velden_versie4_2!G3</f>
        <v>ALG  VEENCLASSIFICATIE</v>
      </c>
      <c r="H7" t="str">
        <f>Dbase_velden_versie4_2!H3</f>
        <v>[-]</v>
      </c>
      <c r="I7" t="str">
        <f>Dbase_velden_versie4_2!I3</f>
        <v>ALG</v>
      </c>
      <c r="J7" t="str">
        <f>Dbase_velden_versie4_2!J3</f>
        <v>Algemene kenmerken</v>
      </c>
      <c r="K7">
        <v>3</v>
      </c>
      <c r="L7" t="str">
        <v>ALG__VEENCLASSIFICATIE</v>
      </c>
      <c r="M7" t="str">
        <v>-</v>
      </c>
      <c r="N7" t="str">
        <v>Geeft aan of classificatieproeven op veen zijn uitgevoerd [WAAR/ONWAAR of TRUE/FALSE]</v>
      </c>
      <c r="O7" t="str">
        <v>Boolean</v>
      </c>
      <c r="P7" t="str">
        <v>WAAR/ONWAAR of TRUE/FALSE</v>
      </c>
      <c r="Q7" t="str">
        <v>ALG  VEENCLASSIFICATIE</v>
      </c>
      <c r="R7" t="str">
        <v>[-]</v>
      </c>
      <c r="S7" t="str">
        <f t="shared" ref="S7:S70" si="9">IF(A7=K7,"OK","NOK")</f>
        <v>OK</v>
      </c>
      <c r="T7" t="str">
        <f t="shared" si="2"/>
        <v>OK</v>
      </c>
      <c r="U7" t="str">
        <f t="shared" si="3"/>
        <v>OK</v>
      </c>
      <c r="V7" t="str">
        <f t="shared" si="4"/>
        <v>OK</v>
      </c>
      <c r="W7" t="str">
        <f t="shared" si="5"/>
        <v>OK</v>
      </c>
      <c r="X7" t="str">
        <f t="shared" si="6"/>
        <v>OK</v>
      </c>
      <c r="Y7" t="str">
        <f t="shared" si="7"/>
        <v>OK</v>
      </c>
      <c r="Z7">
        <v>2</v>
      </c>
      <c r="AA7">
        <v>4</v>
      </c>
      <c r="AB7" t="s">
        <v>2298</v>
      </c>
      <c r="AC7" t="s">
        <v>3</v>
      </c>
      <c r="AD7" t="s">
        <v>463</v>
      </c>
      <c r="AE7" t="s">
        <v>486</v>
      </c>
      <c r="AG7" t="s">
        <v>895</v>
      </c>
      <c r="AH7" t="s">
        <v>900</v>
      </c>
      <c r="AI7" t="s">
        <v>2302</v>
      </c>
      <c r="AJ7" t="s">
        <v>1395</v>
      </c>
      <c r="AK7" t="s">
        <v>2298</v>
      </c>
      <c r="AL7" t="s">
        <v>2301</v>
      </c>
      <c r="AN7" t="str">
        <f t="shared" ref="AN7:AN70" si="10">IF(B7=AC7,"OK","NOK")</f>
        <v>OK</v>
      </c>
      <c r="AO7" t="str">
        <f t="shared" ref="AO7:AO70" si="11">IF(C7=AD7,"OK","NOK")</f>
        <v>OK</v>
      </c>
      <c r="AP7" t="str">
        <f t="shared" ref="AP7:AP70" si="12">IF(D7=AE7,"OK","NOK")</f>
        <v>OK</v>
      </c>
      <c r="AR7" t="str">
        <f t="shared" ref="AR7:AR70" si="13">IF(E7=AG7,"OK","NOK")</f>
        <v>OK</v>
      </c>
      <c r="AS7" t="str">
        <f t="shared" ref="AS7:AS70" si="14">IF(F7=AH7,"OK","NOK")</f>
        <v>OK</v>
      </c>
      <c r="AT7" t="str">
        <f t="shared" ref="AT7:AT70" si="15">IF(G7=AI7,"OK","NOK")</f>
        <v>NOK</v>
      </c>
      <c r="AU7" t="str">
        <f t="shared" ref="AU7:AU70" si="16">IF(H7=AJ7,"OK","NOK")</f>
        <v>OK</v>
      </c>
      <c r="AV7" t="str">
        <f t="shared" ref="AV7:AV70" si="17">IF(I7=AK7,"OK","NOK")</f>
        <v>OK</v>
      </c>
      <c r="AW7" t="str">
        <f t="shared" ref="AW7:AW70" si="18">IF(J7=AL7,"OK","NOK")</f>
        <v>OK</v>
      </c>
    </row>
    <row r="8" spans="1:49">
      <c r="A8">
        <f>Dbase_velden_versie4_2!A4</f>
        <v>4</v>
      </c>
      <c r="B8" t="str">
        <f>Dbase_velden_versie4_2!B4</f>
        <v>ALG__KORRELVERDELING</v>
      </c>
      <c r="C8" t="str">
        <f>Dbase_velden_versie4_2!C4</f>
        <v>-</v>
      </c>
      <c r="D8" t="str">
        <f>Dbase_velden_versie4_2!D4</f>
        <v>Geeft aan of een korrelverdeling is uitgevoerd [WAAR/ONWAAR of TRUE/FALSE]</v>
      </c>
      <c r="E8" t="str">
        <f>Dbase_velden_versie4_2!E4</f>
        <v>Boolean</v>
      </c>
      <c r="F8" t="str">
        <f>Dbase_velden_versie4_2!F4</f>
        <v>WAAR/ONWAAR of TRUE/FALSE</v>
      </c>
      <c r="G8" t="str">
        <f>Dbase_velden_versie4_2!G4</f>
        <v>ALG  KORRELVERDELING</v>
      </c>
      <c r="H8" t="str">
        <f>Dbase_velden_versie4_2!H4</f>
        <v>[-]</v>
      </c>
      <c r="I8" t="str">
        <f>Dbase_velden_versie4_2!I4</f>
        <v>ALG</v>
      </c>
      <c r="J8" t="str">
        <f>Dbase_velden_versie4_2!J4</f>
        <v>Algemene kenmerken</v>
      </c>
      <c r="K8">
        <v>4</v>
      </c>
      <c r="L8" t="str">
        <v>ALG__KORRELVERDELING</v>
      </c>
      <c r="M8" t="str">
        <v>-</v>
      </c>
      <c r="N8" t="str">
        <v>Geeft aan of een korrelverdeling is uitgevoerd [WAAR/ONWAAR of TRUE/FALSE]</v>
      </c>
      <c r="O8" t="str">
        <v>Boolean</v>
      </c>
      <c r="P8" t="str">
        <v>WAAR/ONWAAR of TRUE/FALSE</v>
      </c>
      <c r="Q8" t="str">
        <v>ALG  KORRELVERDELING</v>
      </c>
      <c r="R8" t="str">
        <v>[-]</v>
      </c>
      <c r="S8" t="str">
        <f t="shared" si="9"/>
        <v>OK</v>
      </c>
      <c r="T8" t="str">
        <f t="shared" si="2"/>
        <v>OK</v>
      </c>
      <c r="U8" t="str">
        <f t="shared" si="3"/>
        <v>OK</v>
      </c>
      <c r="V8" t="str">
        <f t="shared" si="4"/>
        <v>OK</v>
      </c>
      <c r="W8" t="str">
        <f t="shared" si="5"/>
        <v>OK</v>
      </c>
      <c r="X8" t="str">
        <f t="shared" si="6"/>
        <v>OK</v>
      </c>
      <c r="Y8" t="str">
        <f t="shared" si="7"/>
        <v>OK</v>
      </c>
      <c r="Z8">
        <v>3</v>
      </c>
      <c r="AA8">
        <v>5</v>
      </c>
      <c r="AB8" t="s">
        <v>2298</v>
      </c>
      <c r="AC8" t="s">
        <v>4</v>
      </c>
      <c r="AD8" t="s">
        <v>463</v>
      </c>
      <c r="AE8" t="s">
        <v>487</v>
      </c>
      <c r="AG8" t="s">
        <v>895</v>
      </c>
      <c r="AH8" t="s">
        <v>900</v>
      </c>
      <c r="AI8" t="s">
        <v>2303</v>
      </c>
      <c r="AJ8" t="s">
        <v>1395</v>
      </c>
      <c r="AK8" t="s">
        <v>2298</v>
      </c>
      <c r="AL8" t="s">
        <v>2301</v>
      </c>
      <c r="AN8" t="str">
        <f t="shared" si="10"/>
        <v>OK</v>
      </c>
      <c r="AO8" t="str">
        <f t="shared" si="11"/>
        <v>OK</v>
      </c>
      <c r="AP8" t="str">
        <f t="shared" si="12"/>
        <v>OK</v>
      </c>
      <c r="AR8" t="str">
        <f t="shared" si="13"/>
        <v>OK</v>
      </c>
      <c r="AS8" t="str">
        <f t="shared" si="14"/>
        <v>OK</v>
      </c>
      <c r="AT8" t="str">
        <f t="shared" si="15"/>
        <v>NOK</v>
      </c>
      <c r="AU8" t="str">
        <f t="shared" si="16"/>
        <v>OK</v>
      </c>
      <c r="AV8" t="str">
        <f t="shared" si="17"/>
        <v>OK</v>
      </c>
      <c r="AW8" t="str">
        <f t="shared" si="18"/>
        <v>OK</v>
      </c>
    </row>
    <row r="9" spans="1:49">
      <c r="A9">
        <f>Dbase_velden_versie4_2!A5</f>
        <v>5</v>
      </c>
      <c r="B9" t="str">
        <f>Dbase_velden_versie4_2!B5</f>
        <v>ALG__SONDEERWAARDE</v>
      </c>
      <c r="C9" t="str">
        <f>Dbase_velden_versie4_2!C5</f>
        <v>-</v>
      </c>
      <c r="D9" t="str">
        <f>Dbase_velden_versie4_2!D5</f>
        <v>Geeft aan of (gemiddelde) sondeerwaarde beschikbaar zijn op de diepte van de uitgevoerde proeven [WAAR/ONWAAR of TRUE/FALSE]</v>
      </c>
      <c r="E9" t="str">
        <f>Dbase_velden_versie4_2!E5</f>
        <v>Boolean</v>
      </c>
      <c r="F9" t="str">
        <f>Dbase_velden_versie4_2!F5</f>
        <v>WAAR/ONWAAR of TRUE/FALSE</v>
      </c>
      <c r="G9" t="str">
        <f>Dbase_velden_versie4_2!G5</f>
        <v>ALG  SONDEERWAARDE</v>
      </c>
      <c r="H9" t="str">
        <f>Dbase_velden_versie4_2!H5</f>
        <v>[-]</v>
      </c>
      <c r="I9" t="str">
        <f>Dbase_velden_versie4_2!I5</f>
        <v>ALG</v>
      </c>
      <c r="J9" t="str">
        <f>Dbase_velden_versie4_2!J5</f>
        <v>Algemene kenmerken</v>
      </c>
      <c r="K9">
        <v>5</v>
      </c>
      <c r="L9" t="str">
        <v>ALG__SONDEERWAARDE</v>
      </c>
      <c r="M9" t="str">
        <v>-</v>
      </c>
      <c r="N9" t="str">
        <v>Geeft aan of (gemiddelde) sondeerwaarde beschikbaar zijn op de diepte van de uitgevoerde proeven [WAAR/ONWAAR of TRUE/FALSE]</v>
      </c>
      <c r="O9" t="str">
        <v>Boolean</v>
      </c>
      <c r="P9" t="str">
        <v>WAAR/ONWAAR of TRUE/FALSE</v>
      </c>
      <c r="Q9" t="str">
        <v>ALG  SONDEERWAARDE</v>
      </c>
      <c r="R9" t="str">
        <v>[-]</v>
      </c>
      <c r="S9" t="str">
        <f t="shared" si="9"/>
        <v>OK</v>
      </c>
      <c r="T9" t="str">
        <f t="shared" si="2"/>
        <v>OK</v>
      </c>
      <c r="U9" t="str">
        <f t="shared" si="3"/>
        <v>OK</v>
      </c>
      <c r="V9" t="str">
        <f t="shared" si="4"/>
        <v>OK</v>
      </c>
      <c r="W9" t="str">
        <f t="shared" si="5"/>
        <v>OK</v>
      </c>
      <c r="X9" t="str">
        <f t="shared" si="6"/>
        <v>OK</v>
      </c>
      <c r="Y9" t="str">
        <f t="shared" si="7"/>
        <v>OK</v>
      </c>
      <c r="Z9">
        <v>4</v>
      </c>
      <c r="AA9">
        <v>6</v>
      </c>
      <c r="AB9" t="s">
        <v>2298</v>
      </c>
      <c r="AC9" t="s">
        <v>5</v>
      </c>
      <c r="AD9" t="s">
        <v>463</v>
      </c>
      <c r="AE9" t="s">
        <v>488</v>
      </c>
      <c r="AG9" t="s">
        <v>895</v>
      </c>
      <c r="AH9" t="s">
        <v>900</v>
      </c>
      <c r="AI9" t="s">
        <v>2304</v>
      </c>
      <c r="AJ9" t="s">
        <v>1395</v>
      </c>
      <c r="AK9" t="s">
        <v>2298</v>
      </c>
      <c r="AL9" t="s">
        <v>2301</v>
      </c>
      <c r="AN9" t="str">
        <f t="shared" si="10"/>
        <v>OK</v>
      </c>
      <c r="AO9" t="str">
        <f t="shared" si="11"/>
        <v>OK</v>
      </c>
      <c r="AP9" t="str">
        <f t="shared" si="12"/>
        <v>OK</v>
      </c>
      <c r="AR9" t="str">
        <f t="shared" si="13"/>
        <v>OK</v>
      </c>
      <c r="AS9" t="str">
        <f t="shared" si="14"/>
        <v>OK</v>
      </c>
      <c r="AT9" t="str">
        <f t="shared" si="15"/>
        <v>NOK</v>
      </c>
      <c r="AU9" t="str">
        <f t="shared" si="16"/>
        <v>OK</v>
      </c>
      <c r="AV9" t="str">
        <f t="shared" si="17"/>
        <v>OK</v>
      </c>
      <c r="AW9" t="str">
        <f t="shared" si="18"/>
        <v>OK</v>
      </c>
    </row>
    <row r="10" spans="1:49">
      <c r="A10">
        <f>Dbase_velden_versie4_2!A6</f>
        <v>6</v>
      </c>
      <c r="B10" t="str">
        <f>Dbase_velden_versie4_2!B6</f>
        <v>ALG__CRS</v>
      </c>
      <c r="C10" t="str">
        <f>Dbase_velden_versie4_2!C6</f>
        <v>-</v>
      </c>
      <c r="D10" t="str">
        <f>Dbase_velden_versie4_2!D6</f>
        <v>Geeft aan of een CRS-proef is uitgevoerd [WAAR/ONWAAR of TRUE/FALSE]</v>
      </c>
      <c r="E10" t="str">
        <f>Dbase_velden_versie4_2!E6</f>
        <v>Boolean</v>
      </c>
      <c r="F10" t="str">
        <f>Dbase_velden_versie4_2!F6</f>
        <v>WAAR/ONWAAR of TRUE/FALSE</v>
      </c>
      <c r="G10" t="str">
        <f>Dbase_velden_versie4_2!G6</f>
        <v>ALG  CRS</v>
      </c>
      <c r="H10" t="str">
        <f>Dbase_velden_versie4_2!H6</f>
        <v>[-]</v>
      </c>
      <c r="I10" t="str">
        <f>Dbase_velden_versie4_2!I6</f>
        <v>ALG</v>
      </c>
      <c r="J10" t="str">
        <f>Dbase_velden_versie4_2!J6</f>
        <v>Algemene kenmerken</v>
      </c>
      <c r="K10">
        <v>6</v>
      </c>
      <c r="L10" t="str">
        <v>ALG__CRS</v>
      </c>
      <c r="M10" t="str">
        <v>-</v>
      </c>
      <c r="N10" t="str">
        <v>Geeft aan of een CRS-proef is uitgevoerd [WAAR/ONWAAR of TRUE/FALSE]</v>
      </c>
      <c r="O10" t="str">
        <v>Boolean</v>
      </c>
      <c r="P10" t="str">
        <v>WAAR/ONWAAR of TRUE/FALSE</v>
      </c>
      <c r="Q10" t="str">
        <v>ALG  CRS</v>
      </c>
      <c r="R10" t="str">
        <v>[-]</v>
      </c>
      <c r="S10" t="str">
        <f t="shared" si="9"/>
        <v>OK</v>
      </c>
      <c r="T10" t="str">
        <f t="shared" si="2"/>
        <v>OK</v>
      </c>
      <c r="U10" t="str">
        <f t="shared" si="3"/>
        <v>OK</v>
      </c>
      <c r="V10" t="str">
        <f t="shared" si="4"/>
        <v>OK</v>
      </c>
      <c r="W10" t="str">
        <f t="shared" si="5"/>
        <v>OK</v>
      </c>
      <c r="X10" t="str">
        <f t="shared" si="6"/>
        <v>OK</v>
      </c>
      <c r="Y10" t="str">
        <f t="shared" si="7"/>
        <v>OK</v>
      </c>
      <c r="Z10">
        <v>5</v>
      </c>
      <c r="AA10">
        <v>7</v>
      </c>
      <c r="AB10" t="s">
        <v>2298</v>
      </c>
      <c r="AC10" t="s">
        <v>6</v>
      </c>
      <c r="AD10" t="s">
        <v>463</v>
      </c>
      <c r="AE10" t="s">
        <v>489</v>
      </c>
      <c r="AG10" t="s">
        <v>895</v>
      </c>
      <c r="AH10" t="s">
        <v>900</v>
      </c>
      <c r="AI10" t="s">
        <v>2305</v>
      </c>
      <c r="AJ10" t="s">
        <v>1395</v>
      </c>
      <c r="AK10" t="s">
        <v>2298</v>
      </c>
      <c r="AL10" t="s">
        <v>2301</v>
      </c>
      <c r="AN10" t="str">
        <f t="shared" si="10"/>
        <v>OK</v>
      </c>
      <c r="AO10" t="str">
        <f t="shared" si="11"/>
        <v>OK</v>
      </c>
      <c r="AP10" t="str">
        <f t="shared" si="12"/>
        <v>OK</v>
      </c>
      <c r="AR10" t="str">
        <f t="shared" si="13"/>
        <v>OK</v>
      </c>
      <c r="AS10" t="str">
        <f t="shared" si="14"/>
        <v>OK</v>
      </c>
      <c r="AT10" t="str">
        <f t="shared" si="15"/>
        <v>NOK</v>
      </c>
      <c r="AU10" t="str">
        <f t="shared" si="16"/>
        <v>OK</v>
      </c>
      <c r="AV10" t="str">
        <f t="shared" si="17"/>
        <v>OK</v>
      </c>
      <c r="AW10" t="str">
        <f t="shared" si="18"/>
        <v>OK</v>
      </c>
    </row>
    <row r="11" spans="1:49">
      <c r="A11">
        <f>Dbase_velden_versie4_2!A7</f>
        <v>7</v>
      </c>
      <c r="B11" t="str">
        <f>Dbase_velden_versie4_2!B7</f>
        <v>ALG__SAMENDRUKKING</v>
      </c>
      <c r="C11" t="str">
        <f>Dbase_velden_versie4_2!C7</f>
        <v>-</v>
      </c>
      <c r="D11" t="str">
        <f>Dbase_velden_versie4_2!D7</f>
        <v>Geeft aan of een samendrukkingsproef is uitgevoerd [WAAR/ONWAAR of TRUE/FALSE]</v>
      </c>
      <c r="E11" t="str">
        <f>Dbase_velden_versie4_2!E7</f>
        <v>Boolean</v>
      </c>
      <c r="F11" t="str">
        <f>Dbase_velden_versie4_2!F7</f>
        <v>WAAR/ONWAAR of TRUE/FALSE</v>
      </c>
      <c r="G11" t="str">
        <f>Dbase_velden_versie4_2!G7</f>
        <v>ALG  SAMENDRUKKING</v>
      </c>
      <c r="H11" t="str">
        <f>Dbase_velden_versie4_2!H7</f>
        <v>[-]</v>
      </c>
      <c r="I11" t="str">
        <f>Dbase_velden_versie4_2!I7</f>
        <v>ALG</v>
      </c>
      <c r="J11" t="str">
        <f>Dbase_velden_versie4_2!J7</f>
        <v>Algemene kenmerken</v>
      </c>
      <c r="K11">
        <v>7</v>
      </c>
      <c r="L11" t="str">
        <v>ALG__SAMENDRUKKING</v>
      </c>
      <c r="M11" t="str">
        <v>-</v>
      </c>
      <c r="N11" t="str">
        <v>Geeft aan of een samendrukkingsproef is uitgevoerd [WAAR/ONWAAR of TRUE/FALSE]</v>
      </c>
      <c r="O11" t="str">
        <v>Boolean</v>
      </c>
      <c r="P11" t="str">
        <v>WAAR/ONWAAR of TRUE/FALSE</v>
      </c>
      <c r="Q11" t="str">
        <v>ALG  SAMENDRUKKING</v>
      </c>
      <c r="R11" t="str">
        <v>[-]</v>
      </c>
      <c r="S11" t="str">
        <f t="shared" si="9"/>
        <v>OK</v>
      </c>
      <c r="T11" t="str">
        <f t="shared" si="2"/>
        <v>OK</v>
      </c>
      <c r="U11" t="str">
        <f t="shared" si="3"/>
        <v>OK</v>
      </c>
      <c r="V11" t="str">
        <f t="shared" si="4"/>
        <v>OK</v>
      </c>
      <c r="W11" t="str">
        <f t="shared" si="5"/>
        <v>OK</v>
      </c>
      <c r="X11" t="str">
        <f t="shared" si="6"/>
        <v>OK</v>
      </c>
      <c r="Y11" t="str">
        <f t="shared" si="7"/>
        <v>OK</v>
      </c>
      <c r="Z11">
        <v>6</v>
      </c>
      <c r="AA11">
        <v>8</v>
      </c>
      <c r="AB11" t="s">
        <v>2298</v>
      </c>
      <c r="AC11" t="s">
        <v>7</v>
      </c>
      <c r="AD11" t="s">
        <v>463</v>
      </c>
      <c r="AE11" t="s">
        <v>490</v>
      </c>
      <c r="AG11" t="s">
        <v>895</v>
      </c>
      <c r="AH11" t="s">
        <v>900</v>
      </c>
      <c r="AI11" t="s">
        <v>2306</v>
      </c>
      <c r="AJ11" t="s">
        <v>1395</v>
      </c>
      <c r="AK11" t="s">
        <v>2298</v>
      </c>
      <c r="AL11" t="s">
        <v>2301</v>
      </c>
      <c r="AN11" t="str">
        <f t="shared" si="10"/>
        <v>OK</v>
      </c>
      <c r="AO11" t="str">
        <f t="shared" si="11"/>
        <v>OK</v>
      </c>
      <c r="AP11" t="str">
        <f t="shared" si="12"/>
        <v>OK</v>
      </c>
      <c r="AR11" t="str">
        <f t="shared" si="13"/>
        <v>OK</v>
      </c>
      <c r="AS11" t="str">
        <f t="shared" si="14"/>
        <v>OK</v>
      </c>
      <c r="AT11" t="str">
        <f t="shared" si="15"/>
        <v>NOK</v>
      </c>
      <c r="AU11" t="str">
        <f t="shared" si="16"/>
        <v>OK</v>
      </c>
      <c r="AV11" t="str">
        <f t="shared" si="17"/>
        <v>OK</v>
      </c>
      <c r="AW11" t="str">
        <f t="shared" si="18"/>
        <v>OK</v>
      </c>
    </row>
    <row r="12" spans="1:49">
      <c r="A12">
        <f>Dbase_velden_versie4_2!A8</f>
        <v>8</v>
      </c>
      <c r="B12" t="str">
        <f>Dbase_velden_versie4_2!B8</f>
        <v>ALG__DSS</v>
      </c>
      <c r="C12" t="str">
        <f>Dbase_velden_versie4_2!C8</f>
        <v>-</v>
      </c>
      <c r="D12" t="str">
        <f>Dbase_velden_versie4_2!D8</f>
        <v>Geeft aan of een direct simple shearproef is uitgevoerd [WAAR/ONWAAR of TRUE/FALSE]</v>
      </c>
      <c r="E12" t="str">
        <f>Dbase_velden_versie4_2!E8</f>
        <v>Boolean</v>
      </c>
      <c r="F12" t="str">
        <f>Dbase_velden_versie4_2!F8</f>
        <v>WAAR/ONWAAR of TRUE/FALSE</v>
      </c>
      <c r="G12" t="str">
        <f>Dbase_velden_versie4_2!G8</f>
        <v>ALG  DSS</v>
      </c>
      <c r="H12" t="str">
        <f>Dbase_velden_versie4_2!H8</f>
        <v>[-]</v>
      </c>
      <c r="I12" t="str">
        <f>Dbase_velden_versie4_2!I8</f>
        <v>ALG</v>
      </c>
      <c r="J12" t="str">
        <f>Dbase_velden_versie4_2!J8</f>
        <v>Algemene kenmerken</v>
      </c>
      <c r="K12">
        <v>8</v>
      </c>
      <c r="L12" t="str">
        <v>ALG__DSS</v>
      </c>
      <c r="M12" t="str">
        <v>-</v>
      </c>
      <c r="N12" t="str">
        <v>Geeft aan of een direct simple shearproef is uitgevoerd [WAAR/ONWAAR of TRUE/FALSE]</v>
      </c>
      <c r="O12" t="str">
        <v>Boolean</v>
      </c>
      <c r="P12" t="str">
        <v>WAAR/ONWAAR of TRUE/FALSE</v>
      </c>
      <c r="Q12" t="str">
        <v>ALG  DSS</v>
      </c>
      <c r="R12" t="str">
        <v>[-]</v>
      </c>
      <c r="S12" t="str">
        <f t="shared" si="9"/>
        <v>OK</v>
      </c>
      <c r="T12" t="str">
        <f t="shared" si="2"/>
        <v>OK</v>
      </c>
      <c r="U12" t="str">
        <f t="shared" si="3"/>
        <v>OK</v>
      </c>
      <c r="V12" t="str">
        <f t="shared" si="4"/>
        <v>OK</v>
      </c>
      <c r="W12" t="str">
        <f t="shared" si="5"/>
        <v>OK</v>
      </c>
      <c r="X12" t="str">
        <f t="shared" si="6"/>
        <v>OK</v>
      </c>
      <c r="Y12" t="str">
        <f t="shared" si="7"/>
        <v>OK</v>
      </c>
      <c r="Z12">
        <v>7</v>
      </c>
      <c r="AA12">
        <v>9</v>
      </c>
      <c r="AB12" t="s">
        <v>2298</v>
      </c>
      <c r="AC12" t="s">
        <v>8</v>
      </c>
      <c r="AD12" t="s">
        <v>463</v>
      </c>
      <c r="AE12" t="s">
        <v>491</v>
      </c>
      <c r="AG12" t="s">
        <v>895</v>
      </c>
      <c r="AH12" t="s">
        <v>900</v>
      </c>
      <c r="AI12" t="s">
        <v>2307</v>
      </c>
      <c r="AJ12" t="s">
        <v>1395</v>
      </c>
      <c r="AK12" t="s">
        <v>2298</v>
      </c>
      <c r="AL12" t="s">
        <v>2301</v>
      </c>
      <c r="AN12" t="str">
        <f t="shared" si="10"/>
        <v>OK</v>
      </c>
      <c r="AO12" t="str">
        <f t="shared" si="11"/>
        <v>OK</v>
      </c>
      <c r="AP12" t="str">
        <f t="shared" si="12"/>
        <v>OK</v>
      </c>
      <c r="AR12" t="str">
        <f t="shared" si="13"/>
        <v>OK</v>
      </c>
      <c r="AS12" t="str">
        <f t="shared" si="14"/>
        <v>OK</v>
      </c>
      <c r="AT12" t="str">
        <f t="shared" si="15"/>
        <v>NOK</v>
      </c>
      <c r="AU12" t="str">
        <f t="shared" si="16"/>
        <v>OK</v>
      </c>
      <c r="AV12" t="str">
        <f t="shared" si="17"/>
        <v>OK</v>
      </c>
      <c r="AW12" t="str">
        <f t="shared" si="18"/>
        <v>OK</v>
      </c>
    </row>
    <row r="13" spans="1:49">
      <c r="A13">
        <f>Dbase_velden_versie4_2!A9</f>
        <v>9</v>
      </c>
      <c r="B13" t="str">
        <f>Dbase_velden_versie4_2!B9</f>
        <v>ALG__TRIAXIAAL</v>
      </c>
      <c r="C13" t="str">
        <f>Dbase_velden_versie4_2!C9</f>
        <v>-</v>
      </c>
      <c r="D13" t="str">
        <f>Dbase_velden_versie4_2!D9</f>
        <v>Geeft aan of een triaxiaalproef is uitgevoerd [WAAR/ONWAAR of TRUE/FALSE]</v>
      </c>
      <c r="E13" t="str">
        <f>Dbase_velden_versie4_2!E9</f>
        <v>Boolean</v>
      </c>
      <c r="F13" t="str">
        <f>Dbase_velden_versie4_2!F9</f>
        <v>WAAR/ONWAAR of TRUE/FALSE</v>
      </c>
      <c r="G13" t="str">
        <f>Dbase_velden_versie4_2!G9</f>
        <v>ALG  TRIAXIAAL</v>
      </c>
      <c r="H13" t="str">
        <f>Dbase_velden_versie4_2!H9</f>
        <v>[-]</v>
      </c>
      <c r="I13" t="str">
        <f>Dbase_velden_versie4_2!I9</f>
        <v>ALG</v>
      </c>
      <c r="J13" t="str">
        <f>Dbase_velden_versie4_2!J9</f>
        <v>Algemene kenmerken</v>
      </c>
      <c r="K13">
        <v>9</v>
      </c>
      <c r="L13" t="str">
        <v>ALG__TRIAXIAAL</v>
      </c>
      <c r="M13" t="str">
        <v>-</v>
      </c>
      <c r="N13" t="str">
        <v>Geeft aan of een triaxiaalproef is uitgevoerd [WAAR/ONWAAR of TRUE/FALSE]</v>
      </c>
      <c r="O13" t="str">
        <v>Boolean</v>
      </c>
      <c r="P13" t="str">
        <v>WAAR/ONWAAR of TRUE/FALSE</v>
      </c>
      <c r="Q13" t="str">
        <v>ALG  TRIAXIAAL</v>
      </c>
      <c r="R13" t="str">
        <v>[-]</v>
      </c>
      <c r="S13" t="str">
        <f t="shared" si="9"/>
        <v>OK</v>
      </c>
      <c r="T13" t="str">
        <f t="shared" si="2"/>
        <v>OK</v>
      </c>
      <c r="U13" t="str">
        <f t="shared" si="3"/>
        <v>OK</v>
      </c>
      <c r="V13" t="str">
        <f t="shared" si="4"/>
        <v>OK</v>
      </c>
      <c r="W13" t="str">
        <f t="shared" si="5"/>
        <v>OK</v>
      </c>
      <c r="X13" t="str">
        <f t="shared" si="6"/>
        <v>OK</v>
      </c>
      <c r="Y13" t="str">
        <f t="shared" si="7"/>
        <v>OK</v>
      </c>
      <c r="Z13">
        <v>8</v>
      </c>
      <c r="AA13">
        <v>10</v>
      </c>
      <c r="AB13" t="s">
        <v>2298</v>
      </c>
      <c r="AC13" t="s">
        <v>9</v>
      </c>
      <c r="AD13" t="s">
        <v>463</v>
      </c>
      <c r="AE13" t="s">
        <v>492</v>
      </c>
      <c r="AG13" t="s">
        <v>895</v>
      </c>
      <c r="AH13" t="s">
        <v>900</v>
      </c>
      <c r="AI13" t="s">
        <v>2308</v>
      </c>
      <c r="AJ13" t="s">
        <v>1395</v>
      </c>
      <c r="AK13" t="s">
        <v>2298</v>
      </c>
      <c r="AL13" t="s">
        <v>2301</v>
      </c>
      <c r="AN13" t="str">
        <f t="shared" si="10"/>
        <v>OK</v>
      </c>
      <c r="AO13" t="str">
        <f t="shared" si="11"/>
        <v>OK</v>
      </c>
      <c r="AP13" t="str">
        <f t="shared" si="12"/>
        <v>OK</v>
      </c>
      <c r="AR13" t="str">
        <f t="shared" si="13"/>
        <v>OK</v>
      </c>
      <c r="AS13" t="str">
        <f t="shared" si="14"/>
        <v>OK</v>
      </c>
      <c r="AT13" t="str">
        <f t="shared" si="15"/>
        <v>NOK</v>
      </c>
      <c r="AU13" t="str">
        <f t="shared" si="16"/>
        <v>OK</v>
      </c>
      <c r="AV13" t="str">
        <f t="shared" si="17"/>
        <v>OK</v>
      </c>
      <c r="AW13" t="str">
        <f t="shared" si="18"/>
        <v>OK</v>
      </c>
    </row>
    <row r="14" spans="1:49">
      <c r="A14">
        <f>Dbase_velden_versie4_2!A10</f>
        <v>10</v>
      </c>
      <c r="B14" t="str">
        <f>Dbase_velden_versie4_2!B10</f>
        <v>ALG__BORING_MONSTERNR_ID</v>
      </c>
      <c r="C14" t="str">
        <f>Dbase_velden_versie4_2!C10</f>
        <v>-</v>
      </c>
      <c r="D14" t="str">
        <f>Dbase_velden_versie4_2!D10</f>
        <v>Combinatie tussen regelnummer, boring en monsternummer</v>
      </c>
      <c r="E14" t="str">
        <f>Dbase_velden_versie4_2!E10</f>
        <v>String</v>
      </c>
      <c r="F14">
        <f>Dbase_velden_versie4_2!F10</f>
        <v>0</v>
      </c>
      <c r="G14" t="str">
        <f>Dbase_velden_versie4_2!G10</f>
        <v>ALG  BORING MONSTERNR ID</v>
      </c>
      <c r="H14" t="str">
        <f>Dbase_velden_versie4_2!H10</f>
        <v>[-]</v>
      </c>
      <c r="I14" t="str">
        <f>Dbase_velden_versie4_2!I10</f>
        <v>ALG</v>
      </c>
      <c r="J14" t="str">
        <f>Dbase_velden_versie4_2!J10</f>
        <v>Algemene kenmerken</v>
      </c>
      <c r="K14">
        <v>10</v>
      </c>
      <c r="L14" t="str">
        <v>ALG__BORING_MONSTERNR_ID</v>
      </c>
      <c r="M14" t="str">
        <v>-</v>
      </c>
      <c r="N14" t="str">
        <v>Combinatie tussen regelnummer, boring en monsternummer</v>
      </c>
      <c r="O14" t="str">
        <v>String</v>
      </c>
      <c r="P14">
        <v>0</v>
      </c>
      <c r="Q14" t="str">
        <v>ALG  BORING MONSTERNR ID</v>
      </c>
      <c r="R14" t="str">
        <v>[-]</v>
      </c>
      <c r="S14" t="str">
        <f t="shared" si="9"/>
        <v>OK</v>
      </c>
      <c r="T14" t="str">
        <f t="shared" si="2"/>
        <v>OK</v>
      </c>
      <c r="U14" t="str">
        <f t="shared" si="3"/>
        <v>OK</v>
      </c>
      <c r="V14" t="str">
        <f t="shared" si="4"/>
        <v>OK</v>
      </c>
      <c r="W14" t="str">
        <f t="shared" si="5"/>
        <v>OK</v>
      </c>
      <c r="X14" t="str">
        <f t="shared" si="6"/>
        <v>OK</v>
      </c>
      <c r="Y14" t="str">
        <f t="shared" si="7"/>
        <v>OK</v>
      </c>
      <c r="Z14">
        <v>9</v>
      </c>
      <c r="AA14">
        <v>11</v>
      </c>
      <c r="AB14" t="s">
        <v>2298</v>
      </c>
      <c r="AC14" t="s">
        <v>10</v>
      </c>
      <c r="AD14" t="s">
        <v>463</v>
      </c>
      <c r="AE14" t="s">
        <v>493</v>
      </c>
      <c r="AG14" t="s">
        <v>896</v>
      </c>
      <c r="AI14" t="s">
        <v>2309</v>
      </c>
      <c r="AJ14" t="s">
        <v>1395</v>
      </c>
      <c r="AK14" t="s">
        <v>2298</v>
      </c>
      <c r="AL14" t="s">
        <v>2301</v>
      </c>
      <c r="AN14" t="str">
        <f t="shared" si="10"/>
        <v>OK</v>
      </c>
      <c r="AO14" t="str">
        <f t="shared" si="11"/>
        <v>OK</v>
      </c>
      <c r="AP14" t="str">
        <f t="shared" si="12"/>
        <v>OK</v>
      </c>
      <c r="AR14" t="str">
        <f t="shared" si="13"/>
        <v>OK</v>
      </c>
      <c r="AS14" t="str">
        <f t="shared" si="14"/>
        <v>OK</v>
      </c>
      <c r="AT14" t="str">
        <f t="shared" si="15"/>
        <v>NOK</v>
      </c>
      <c r="AU14" t="str">
        <f t="shared" si="16"/>
        <v>OK</v>
      </c>
      <c r="AV14" t="str">
        <f t="shared" si="17"/>
        <v>OK</v>
      </c>
      <c r="AW14" t="str">
        <f t="shared" si="18"/>
        <v>OK</v>
      </c>
    </row>
    <row r="15" spans="1:49">
      <c r="A15">
        <f>Dbase_velden_versie4_2!A11</f>
        <v>11</v>
      </c>
      <c r="B15" t="str">
        <f>Dbase_velden_versie4_2!B11</f>
        <v>ALG_OPDRACHTGEVER</v>
      </c>
      <c r="C15" t="str">
        <f>Dbase_velden_versie4_2!C11</f>
        <v>-</v>
      </c>
      <c r="D15" t="str">
        <f>Dbase_velden_versie4_2!D11</f>
        <v>Naam van de opdrachtgever</v>
      </c>
      <c r="E15" t="str">
        <f>Dbase_velden_versie4_2!E11</f>
        <v>String</v>
      </c>
      <c r="F15">
        <f>Dbase_velden_versie4_2!F11</f>
        <v>0</v>
      </c>
      <c r="G15" t="str">
        <f>Dbase_velden_versie4_2!G11</f>
        <v>ALG OPDRACHTGEVER</v>
      </c>
      <c r="H15" t="str">
        <f>Dbase_velden_versie4_2!H11</f>
        <v>[-]</v>
      </c>
      <c r="I15" t="str">
        <f>Dbase_velden_versie4_2!I11</f>
        <v>ALG</v>
      </c>
      <c r="J15" t="str">
        <f>Dbase_velden_versie4_2!J11</f>
        <v>Algemene kenmerken</v>
      </c>
      <c r="K15">
        <v>11</v>
      </c>
      <c r="L15" t="str">
        <v>ALG_OPDRACHTGEVER</v>
      </c>
      <c r="M15" t="str">
        <v>-</v>
      </c>
      <c r="N15" t="str">
        <v>Naam van de opdrachtgever</v>
      </c>
      <c r="O15" t="str">
        <v>String</v>
      </c>
      <c r="P15">
        <v>0</v>
      </c>
      <c r="Q15" t="str">
        <v>ALG OPDRACHTGEVER</v>
      </c>
      <c r="R15" t="str">
        <v>[-]</v>
      </c>
      <c r="S15" t="str">
        <f t="shared" si="9"/>
        <v>OK</v>
      </c>
      <c r="T15" t="str">
        <f t="shared" si="2"/>
        <v>OK</v>
      </c>
      <c r="U15" t="str">
        <f t="shared" si="3"/>
        <v>OK</v>
      </c>
      <c r="V15" t="str">
        <f t="shared" si="4"/>
        <v>OK</v>
      </c>
      <c r="W15" t="str">
        <f t="shared" si="5"/>
        <v>OK</v>
      </c>
      <c r="X15" t="str">
        <f t="shared" si="6"/>
        <v>OK</v>
      </c>
      <c r="Y15" t="str">
        <f t="shared" si="7"/>
        <v>OK</v>
      </c>
      <c r="Z15">
        <v>10</v>
      </c>
      <c r="AA15">
        <v>12</v>
      </c>
      <c r="AB15" t="s">
        <v>2298</v>
      </c>
      <c r="AC15" t="s">
        <v>11</v>
      </c>
      <c r="AD15" t="s">
        <v>463</v>
      </c>
      <c r="AE15" t="s">
        <v>494</v>
      </c>
      <c r="AG15" t="s">
        <v>896</v>
      </c>
      <c r="AI15" t="s">
        <v>2310</v>
      </c>
      <c r="AJ15" t="s">
        <v>1395</v>
      </c>
      <c r="AK15" t="s">
        <v>2298</v>
      </c>
      <c r="AL15" t="s">
        <v>2301</v>
      </c>
      <c r="AN15" t="str">
        <f t="shared" si="10"/>
        <v>OK</v>
      </c>
      <c r="AO15" t="str">
        <f t="shared" si="11"/>
        <v>OK</v>
      </c>
      <c r="AP15" t="str">
        <f t="shared" si="12"/>
        <v>OK</v>
      </c>
      <c r="AR15" t="str">
        <f t="shared" si="13"/>
        <v>OK</v>
      </c>
      <c r="AS15" t="str">
        <f t="shared" si="14"/>
        <v>OK</v>
      </c>
      <c r="AT15" t="str">
        <f t="shared" si="15"/>
        <v>NOK</v>
      </c>
      <c r="AU15" t="str">
        <f t="shared" si="16"/>
        <v>OK</v>
      </c>
      <c r="AV15" t="str">
        <f t="shared" si="17"/>
        <v>OK</v>
      </c>
      <c r="AW15" t="str">
        <f t="shared" si="18"/>
        <v>OK</v>
      </c>
    </row>
    <row r="16" spans="1:49">
      <c r="A16">
        <f>Dbase_velden_versie4_2!A12</f>
        <v>12</v>
      </c>
      <c r="B16" t="str">
        <f>Dbase_velden_versie4_2!B12</f>
        <v>ALG_PROJECTNAAM</v>
      </c>
      <c r="C16" t="str">
        <f>Dbase_velden_versie4_2!C12</f>
        <v>-</v>
      </c>
      <c r="D16" t="str">
        <f>Dbase_velden_versie4_2!D12</f>
        <v>Projectnaam</v>
      </c>
      <c r="E16" t="str">
        <f>Dbase_velden_versie4_2!E12</f>
        <v>String</v>
      </c>
      <c r="F16">
        <f>Dbase_velden_versie4_2!F12</f>
        <v>0</v>
      </c>
      <c r="G16" t="str">
        <f>Dbase_velden_versie4_2!G12</f>
        <v>ALG PROJECTNAAM</v>
      </c>
      <c r="H16" t="str">
        <f>Dbase_velden_versie4_2!H12</f>
        <v>[-]</v>
      </c>
      <c r="I16" t="str">
        <f>Dbase_velden_versie4_2!I12</f>
        <v>ALG</v>
      </c>
      <c r="J16" t="str">
        <f>Dbase_velden_versie4_2!J12</f>
        <v>Algemene kenmerken</v>
      </c>
      <c r="K16">
        <v>12</v>
      </c>
      <c r="L16" t="str">
        <v>ALG_PROJECTNAAM</v>
      </c>
      <c r="M16" t="str">
        <v>-</v>
      </c>
      <c r="N16" t="str">
        <v>Projectnaam</v>
      </c>
      <c r="O16" t="str">
        <v>String</v>
      </c>
      <c r="P16">
        <v>0</v>
      </c>
      <c r="Q16" t="str">
        <v>ALG PROJECTNAAM</v>
      </c>
      <c r="R16" t="str">
        <v>[-]</v>
      </c>
      <c r="S16" t="str">
        <f t="shared" si="9"/>
        <v>OK</v>
      </c>
      <c r="T16" t="str">
        <f t="shared" si="2"/>
        <v>OK</v>
      </c>
      <c r="U16" t="str">
        <f t="shared" si="3"/>
        <v>OK</v>
      </c>
      <c r="V16" t="str">
        <f t="shared" si="4"/>
        <v>OK</v>
      </c>
      <c r="W16" t="str">
        <f t="shared" si="5"/>
        <v>OK</v>
      </c>
      <c r="X16" t="str">
        <f t="shared" si="6"/>
        <v>OK</v>
      </c>
      <c r="Y16" t="str">
        <f t="shared" si="7"/>
        <v>OK</v>
      </c>
      <c r="Z16">
        <v>11</v>
      </c>
      <c r="AA16">
        <v>13</v>
      </c>
      <c r="AB16" t="s">
        <v>2298</v>
      </c>
      <c r="AC16" t="s">
        <v>12</v>
      </c>
      <c r="AD16" t="s">
        <v>463</v>
      </c>
      <c r="AE16" t="s">
        <v>495</v>
      </c>
      <c r="AG16" t="s">
        <v>896</v>
      </c>
      <c r="AI16" t="s">
        <v>495</v>
      </c>
      <c r="AJ16" t="s">
        <v>1395</v>
      </c>
      <c r="AK16" t="s">
        <v>2298</v>
      </c>
      <c r="AL16" t="s">
        <v>2301</v>
      </c>
      <c r="AN16" t="str">
        <f t="shared" si="10"/>
        <v>OK</v>
      </c>
      <c r="AO16" t="str">
        <f t="shared" si="11"/>
        <v>OK</v>
      </c>
      <c r="AP16" t="str">
        <f t="shared" si="12"/>
        <v>OK</v>
      </c>
      <c r="AR16" t="str">
        <f t="shared" si="13"/>
        <v>OK</v>
      </c>
      <c r="AS16" t="str">
        <f t="shared" si="14"/>
        <v>OK</v>
      </c>
      <c r="AT16" t="str">
        <f t="shared" si="15"/>
        <v>NOK</v>
      </c>
      <c r="AU16" t="str">
        <f t="shared" si="16"/>
        <v>OK</v>
      </c>
      <c r="AV16" t="str">
        <f t="shared" si="17"/>
        <v>OK</v>
      </c>
      <c r="AW16" t="str">
        <f t="shared" si="18"/>
        <v>OK</v>
      </c>
    </row>
    <row r="17" spans="1:49">
      <c r="A17">
        <f>Dbase_velden_versie4_2!A13</f>
        <v>13</v>
      </c>
      <c r="B17" t="str">
        <f>Dbase_velden_versie4_2!B13</f>
        <v>ALG_PROJECTNUMMER</v>
      </c>
      <c r="C17" t="str">
        <f>Dbase_velden_versie4_2!C13</f>
        <v>-</v>
      </c>
      <c r="D17" t="str">
        <f>Dbase_velden_versie4_2!D13</f>
        <v>Projectnummer van de uitvoerende organisatie</v>
      </c>
      <c r="E17" t="str">
        <f>Dbase_velden_versie4_2!E13</f>
        <v>String</v>
      </c>
      <c r="F17">
        <f>Dbase_velden_versie4_2!F13</f>
        <v>0</v>
      </c>
      <c r="G17" t="str">
        <f>Dbase_velden_versie4_2!G13</f>
        <v>ALG PROJECTNUMMER</v>
      </c>
      <c r="H17" t="str">
        <f>Dbase_velden_versie4_2!H13</f>
        <v>[-]</v>
      </c>
      <c r="I17" t="str">
        <f>Dbase_velden_versie4_2!I13</f>
        <v>ALG</v>
      </c>
      <c r="J17" t="str">
        <f>Dbase_velden_versie4_2!J13</f>
        <v>Algemene kenmerken</v>
      </c>
      <c r="K17">
        <v>13</v>
      </c>
      <c r="L17" t="str">
        <v>ALG_PROJECTNUMMER</v>
      </c>
      <c r="M17" t="str">
        <v>-</v>
      </c>
      <c r="N17" t="str">
        <v>Projectnummer van de uitvoerende organisatie</v>
      </c>
      <c r="O17" t="str">
        <v>String</v>
      </c>
      <c r="P17">
        <v>0</v>
      </c>
      <c r="Q17" t="str">
        <v>ALG PROJECTNUMMER</v>
      </c>
      <c r="R17" t="str">
        <v>[-]</v>
      </c>
      <c r="S17" t="str">
        <f t="shared" si="9"/>
        <v>OK</v>
      </c>
      <c r="T17" t="str">
        <f t="shared" si="2"/>
        <v>OK</v>
      </c>
      <c r="U17" t="str">
        <f t="shared" si="3"/>
        <v>OK</v>
      </c>
      <c r="V17" t="str">
        <f t="shared" si="4"/>
        <v>OK</v>
      </c>
      <c r="W17" t="str">
        <f t="shared" si="5"/>
        <v>OK</v>
      </c>
      <c r="X17" t="str">
        <f t="shared" si="6"/>
        <v>OK</v>
      </c>
      <c r="Y17" t="str">
        <f t="shared" si="7"/>
        <v>OK</v>
      </c>
      <c r="Z17">
        <v>12</v>
      </c>
      <c r="AA17">
        <v>14</v>
      </c>
      <c r="AB17" t="s">
        <v>2298</v>
      </c>
      <c r="AC17" t="s">
        <v>13</v>
      </c>
      <c r="AD17" t="s">
        <v>463</v>
      </c>
      <c r="AE17" t="s">
        <v>496</v>
      </c>
      <c r="AG17" t="s">
        <v>896</v>
      </c>
      <c r="AI17" t="s">
        <v>2311</v>
      </c>
      <c r="AJ17" t="s">
        <v>1395</v>
      </c>
      <c r="AK17" t="s">
        <v>2298</v>
      </c>
      <c r="AL17" t="s">
        <v>2301</v>
      </c>
      <c r="AN17" t="str">
        <f t="shared" si="10"/>
        <v>OK</v>
      </c>
      <c r="AO17" t="str">
        <f t="shared" si="11"/>
        <v>OK</v>
      </c>
      <c r="AP17" t="str">
        <f t="shared" si="12"/>
        <v>OK</v>
      </c>
      <c r="AR17" t="str">
        <f t="shared" si="13"/>
        <v>OK</v>
      </c>
      <c r="AS17" t="str">
        <f t="shared" si="14"/>
        <v>OK</v>
      </c>
      <c r="AT17" t="str">
        <f t="shared" si="15"/>
        <v>NOK</v>
      </c>
      <c r="AU17" t="str">
        <f t="shared" si="16"/>
        <v>OK</v>
      </c>
      <c r="AV17" t="str">
        <f t="shared" si="17"/>
        <v>OK</v>
      </c>
      <c r="AW17" t="str">
        <f t="shared" si="18"/>
        <v>OK</v>
      </c>
    </row>
    <row r="18" spans="1:49">
      <c r="A18">
        <f>Dbase_velden_versie4_2!A14</f>
        <v>14</v>
      </c>
      <c r="B18" t="str">
        <f>Dbase_velden_versie4_2!B14</f>
        <v>ALG_NAAM_POLDER_DIJK</v>
      </c>
      <c r="C18" t="str">
        <f>Dbase_velden_versie4_2!C14</f>
        <v>-</v>
      </c>
      <c r="D18" t="str">
        <f>Dbase_velden_versie4_2!D14</f>
        <v>Naam van de polder of dijk</v>
      </c>
      <c r="E18" t="str">
        <f>Dbase_velden_versie4_2!E14</f>
        <v>String</v>
      </c>
      <c r="F18">
        <f>Dbase_velden_versie4_2!F14</f>
        <v>0</v>
      </c>
      <c r="G18" t="str">
        <f>Dbase_velden_versie4_2!G14</f>
        <v>ALG NAAM POLDER DIJK</v>
      </c>
      <c r="H18" t="str">
        <f>Dbase_velden_versie4_2!H14</f>
        <v>[-]</v>
      </c>
      <c r="I18" t="str">
        <f>Dbase_velden_versie4_2!I14</f>
        <v>ALG</v>
      </c>
      <c r="J18" t="str">
        <f>Dbase_velden_versie4_2!J14</f>
        <v>Algemene kenmerken</v>
      </c>
      <c r="K18">
        <v>14</v>
      </c>
      <c r="L18" t="str">
        <v>ALG_NAAM_POLDER_DIJK</v>
      </c>
      <c r="M18" t="str">
        <v>-</v>
      </c>
      <c r="N18" t="str">
        <v>Naam van de polder of dijk</v>
      </c>
      <c r="O18" t="str">
        <v>String</v>
      </c>
      <c r="P18">
        <v>0</v>
      </c>
      <c r="Q18" t="str">
        <v>ALG NAAM POLDER DIJK</v>
      </c>
      <c r="R18" t="str">
        <v>[-]</v>
      </c>
      <c r="S18" t="str">
        <f t="shared" si="9"/>
        <v>OK</v>
      </c>
      <c r="T18" t="str">
        <f t="shared" si="2"/>
        <v>OK</v>
      </c>
      <c r="U18" t="str">
        <f t="shared" si="3"/>
        <v>OK</v>
      </c>
      <c r="V18" t="str">
        <f t="shared" si="4"/>
        <v>OK</v>
      </c>
      <c r="W18" t="str">
        <f t="shared" si="5"/>
        <v>OK</v>
      </c>
      <c r="X18" t="str">
        <f t="shared" si="6"/>
        <v>OK</v>
      </c>
      <c r="Y18" t="str">
        <f t="shared" si="7"/>
        <v>OK</v>
      </c>
      <c r="Z18">
        <v>13</v>
      </c>
      <c r="AA18">
        <v>15</v>
      </c>
      <c r="AB18" t="s">
        <v>2298</v>
      </c>
      <c r="AC18" t="s">
        <v>14</v>
      </c>
      <c r="AD18" t="s">
        <v>463</v>
      </c>
      <c r="AE18" t="s">
        <v>497</v>
      </c>
      <c r="AG18" t="s">
        <v>896</v>
      </c>
      <c r="AI18" t="s">
        <v>2312</v>
      </c>
      <c r="AJ18" t="s">
        <v>1395</v>
      </c>
      <c r="AK18" t="s">
        <v>2298</v>
      </c>
      <c r="AL18" t="s">
        <v>2301</v>
      </c>
      <c r="AN18" t="str">
        <f t="shared" si="10"/>
        <v>OK</v>
      </c>
      <c r="AO18" t="str">
        <f t="shared" si="11"/>
        <v>OK</v>
      </c>
      <c r="AP18" t="str">
        <f t="shared" si="12"/>
        <v>OK</v>
      </c>
      <c r="AR18" t="str">
        <f t="shared" si="13"/>
        <v>OK</v>
      </c>
      <c r="AS18" t="str">
        <f t="shared" si="14"/>
        <v>OK</v>
      </c>
      <c r="AT18" t="str">
        <f t="shared" si="15"/>
        <v>NOK</v>
      </c>
      <c r="AU18" t="str">
        <f t="shared" si="16"/>
        <v>OK</v>
      </c>
      <c r="AV18" t="str">
        <f t="shared" si="17"/>
        <v>OK</v>
      </c>
      <c r="AW18" t="str">
        <f t="shared" si="18"/>
        <v>OK</v>
      </c>
    </row>
    <row r="19" spans="1:49">
      <c r="A19">
        <f>Dbase_velden_versie4_2!A15</f>
        <v>15</v>
      </c>
      <c r="B19" t="str">
        <f>Dbase_velden_versie4_2!B15</f>
        <v>ALG_REFERENTIE</v>
      </c>
      <c r="C19" t="str">
        <f>Dbase_velden_versie4_2!C15</f>
        <v>-</v>
      </c>
      <c r="D19" t="str">
        <f>Dbase_velden_versie4_2!D15</f>
        <v>Refentie voor de vastlegging van de posititie van het onderzoek binnen het dijkvak, bijv. ten opzichte van dijkpaal</v>
      </c>
      <c r="E19" t="str">
        <f>Dbase_velden_versie4_2!E15</f>
        <v>String</v>
      </c>
      <c r="F19">
        <f>Dbase_velden_versie4_2!F15</f>
        <v>0</v>
      </c>
      <c r="G19" t="str">
        <f>Dbase_velden_versie4_2!G15</f>
        <v>ALG REFERENTIE</v>
      </c>
      <c r="H19" t="str">
        <f>Dbase_velden_versie4_2!H15</f>
        <v>[-]</v>
      </c>
      <c r="I19" t="str">
        <f>Dbase_velden_versie4_2!I15</f>
        <v>ALG</v>
      </c>
      <c r="J19" t="str">
        <f>Dbase_velden_versie4_2!J15</f>
        <v>Algemene kenmerken</v>
      </c>
      <c r="K19">
        <v>15</v>
      </c>
      <c r="L19" t="str">
        <v>ALG_REFERENTIE</v>
      </c>
      <c r="M19" t="str">
        <v>-</v>
      </c>
      <c r="N19" t="str">
        <v>Refentie voor de vastlegging van de posititie van het onderzoek binnen het dijkvak, bijv. ten opzichte van dijkpaal</v>
      </c>
      <c r="O19" t="str">
        <v>String</v>
      </c>
      <c r="P19">
        <v>0</v>
      </c>
      <c r="Q19" t="str">
        <v>ALG REFERENTIE</v>
      </c>
      <c r="R19" t="str">
        <v>[-]</v>
      </c>
      <c r="S19" t="str">
        <f t="shared" si="9"/>
        <v>OK</v>
      </c>
      <c r="T19" t="str">
        <f t="shared" si="2"/>
        <v>OK</v>
      </c>
      <c r="U19" t="str">
        <f t="shared" si="3"/>
        <v>OK</v>
      </c>
      <c r="V19" t="str">
        <f t="shared" si="4"/>
        <v>OK</v>
      </c>
      <c r="W19" t="str">
        <f t="shared" si="5"/>
        <v>OK</v>
      </c>
      <c r="X19" t="str">
        <f t="shared" si="6"/>
        <v>OK</v>
      </c>
      <c r="Y19" t="str">
        <f t="shared" si="7"/>
        <v>OK</v>
      </c>
      <c r="Z19">
        <v>14</v>
      </c>
      <c r="AA19">
        <v>16</v>
      </c>
      <c r="AB19" t="s">
        <v>2298</v>
      </c>
      <c r="AC19" t="s">
        <v>15</v>
      </c>
      <c r="AD19" t="s">
        <v>463</v>
      </c>
      <c r="AE19" t="s">
        <v>498</v>
      </c>
      <c r="AG19" t="s">
        <v>896</v>
      </c>
      <c r="AI19" t="s">
        <v>2313</v>
      </c>
      <c r="AJ19" t="s">
        <v>1395</v>
      </c>
      <c r="AK19" t="s">
        <v>2298</v>
      </c>
      <c r="AL19" t="s">
        <v>2301</v>
      </c>
      <c r="AN19" t="str">
        <f t="shared" si="10"/>
        <v>OK</v>
      </c>
      <c r="AO19" t="str">
        <f t="shared" si="11"/>
        <v>OK</v>
      </c>
      <c r="AP19" t="str">
        <f t="shared" si="12"/>
        <v>OK</v>
      </c>
      <c r="AR19" t="str">
        <f t="shared" si="13"/>
        <v>OK</v>
      </c>
      <c r="AS19" t="str">
        <f t="shared" si="14"/>
        <v>OK</v>
      </c>
      <c r="AT19" t="str">
        <f t="shared" si="15"/>
        <v>NOK</v>
      </c>
      <c r="AU19" t="str">
        <f t="shared" si="16"/>
        <v>OK</v>
      </c>
      <c r="AV19" t="str">
        <f t="shared" si="17"/>
        <v>OK</v>
      </c>
      <c r="AW19" t="str">
        <f t="shared" si="18"/>
        <v>OK</v>
      </c>
    </row>
    <row r="20" spans="1:49">
      <c r="A20">
        <f>Dbase_velden_versie4_2!A16</f>
        <v>16</v>
      </c>
      <c r="B20" t="str">
        <f>Dbase_velden_versie4_2!B16</f>
        <v>ALG_REGIO</v>
      </c>
      <c r="C20" t="str">
        <f>Dbase_velden_versie4_2!C16</f>
        <v>-</v>
      </c>
      <c r="D20" t="str">
        <f>Dbase_velden_versie4_2!D16</f>
        <v>Naam van de gemeente</v>
      </c>
      <c r="E20" t="str">
        <f>Dbase_velden_versie4_2!E16</f>
        <v>String</v>
      </c>
      <c r="F20">
        <f>Dbase_velden_versie4_2!F16</f>
        <v>0</v>
      </c>
      <c r="G20" t="str">
        <f>Dbase_velden_versie4_2!G16</f>
        <v>ALG REGIO</v>
      </c>
      <c r="H20" t="str">
        <f>Dbase_velden_versie4_2!H16</f>
        <v>[-]</v>
      </c>
      <c r="I20" t="str">
        <f>Dbase_velden_versie4_2!I16</f>
        <v>ALG</v>
      </c>
      <c r="J20" t="str">
        <f>Dbase_velden_versie4_2!J16</f>
        <v>Algemene kenmerken</v>
      </c>
      <c r="K20">
        <v>16</v>
      </c>
      <c r="L20" t="str">
        <v>ALG_REGIO</v>
      </c>
      <c r="M20" t="str">
        <v>-</v>
      </c>
      <c r="N20" t="str">
        <v>Naam van de gemeente</v>
      </c>
      <c r="O20" t="str">
        <v>String</v>
      </c>
      <c r="P20">
        <v>0</v>
      </c>
      <c r="Q20" t="str">
        <v>ALG REGIO</v>
      </c>
      <c r="R20" t="str">
        <v>[-]</v>
      </c>
      <c r="S20" t="str">
        <f t="shared" si="9"/>
        <v>OK</v>
      </c>
      <c r="T20" t="str">
        <f t="shared" si="2"/>
        <v>OK</v>
      </c>
      <c r="U20" t="str">
        <f t="shared" si="3"/>
        <v>OK</v>
      </c>
      <c r="V20" t="str">
        <f t="shared" si="4"/>
        <v>OK</v>
      </c>
      <c r="W20" t="str">
        <f t="shared" si="5"/>
        <v>OK</v>
      </c>
      <c r="X20" t="str">
        <f t="shared" si="6"/>
        <v>OK</v>
      </c>
      <c r="Y20" t="str">
        <f t="shared" si="7"/>
        <v>OK</v>
      </c>
      <c r="Z20">
        <v>15</v>
      </c>
      <c r="AA20">
        <v>17</v>
      </c>
      <c r="AB20" t="s">
        <v>2298</v>
      </c>
      <c r="AC20" t="s">
        <v>16</v>
      </c>
      <c r="AD20" t="s">
        <v>463</v>
      </c>
      <c r="AE20" t="s">
        <v>499</v>
      </c>
      <c r="AG20" t="s">
        <v>896</v>
      </c>
      <c r="AI20" t="s">
        <v>2314</v>
      </c>
      <c r="AJ20" t="s">
        <v>1395</v>
      </c>
      <c r="AK20" t="s">
        <v>2298</v>
      </c>
      <c r="AL20" t="s">
        <v>2301</v>
      </c>
      <c r="AN20" t="str">
        <f t="shared" si="10"/>
        <v>OK</v>
      </c>
      <c r="AO20" t="str">
        <f t="shared" si="11"/>
        <v>OK</v>
      </c>
      <c r="AP20" t="str">
        <f t="shared" si="12"/>
        <v>OK</v>
      </c>
      <c r="AR20" t="str">
        <f t="shared" si="13"/>
        <v>OK</v>
      </c>
      <c r="AS20" t="str">
        <f t="shared" si="14"/>
        <v>OK</v>
      </c>
      <c r="AT20" t="str">
        <f t="shared" si="15"/>
        <v>NOK</v>
      </c>
      <c r="AU20" t="str">
        <f t="shared" si="16"/>
        <v>OK</v>
      </c>
      <c r="AV20" t="str">
        <f t="shared" si="17"/>
        <v>OK</v>
      </c>
      <c r="AW20" t="str">
        <f t="shared" si="18"/>
        <v>OK</v>
      </c>
    </row>
    <row r="21" spans="1:49">
      <c r="A21">
        <f>Dbase_velden_versie4_2!A17</f>
        <v>17</v>
      </c>
      <c r="B21" t="str">
        <f>Dbase_velden_versie4_2!B17</f>
        <v>ALG_TYPE_WATERKERING</v>
      </c>
      <c r="C21" t="str">
        <f>Dbase_velden_versie4_2!C17</f>
        <v>-</v>
      </c>
      <c r="D21" t="str">
        <f>Dbase_velden_versie4_2!D17</f>
        <v>Beschrijving van de type kade of dijk</v>
      </c>
      <c r="E21" t="str">
        <f>Dbase_velden_versie4_2!E17</f>
        <v>String</v>
      </c>
      <c r="F21">
        <f>Dbase_velden_versie4_2!F17</f>
        <v>0</v>
      </c>
      <c r="G21" t="str">
        <f>Dbase_velden_versie4_2!G17</f>
        <v>ALG TYPE WATERKERING</v>
      </c>
      <c r="H21" t="str">
        <f>Dbase_velden_versie4_2!H17</f>
        <v>[-]</v>
      </c>
      <c r="I21" t="str">
        <f>Dbase_velden_versie4_2!I17</f>
        <v>ALG</v>
      </c>
      <c r="J21" t="str">
        <f>Dbase_velden_versie4_2!J17</f>
        <v>Algemene kenmerken</v>
      </c>
      <c r="K21">
        <v>17</v>
      </c>
      <c r="L21" t="str">
        <v>ALG_TYPE_WATERKERING</v>
      </c>
      <c r="M21" t="str">
        <v>-</v>
      </c>
      <c r="N21" t="str">
        <v>Beschrijving van de type kade of dijk</v>
      </c>
      <c r="O21" t="str">
        <v>String</v>
      </c>
      <c r="P21">
        <v>0</v>
      </c>
      <c r="Q21" t="str">
        <v>ALG TYPE WATERKERING</v>
      </c>
      <c r="R21" t="str">
        <v>[-]</v>
      </c>
      <c r="S21" t="str">
        <f t="shared" si="9"/>
        <v>OK</v>
      </c>
      <c r="T21" t="str">
        <f t="shared" si="2"/>
        <v>OK</v>
      </c>
      <c r="U21" t="str">
        <f t="shared" si="3"/>
        <v>OK</v>
      </c>
      <c r="V21" t="str">
        <f t="shared" si="4"/>
        <v>OK</v>
      </c>
      <c r="W21" t="str">
        <f t="shared" si="5"/>
        <v>OK</v>
      </c>
      <c r="X21" t="str">
        <f t="shared" si="6"/>
        <v>OK</v>
      </c>
      <c r="Y21" t="str">
        <f t="shared" si="7"/>
        <v>OK</v>
      </c>
      <c r="Z21">
        <v>16</v>
      </c>
      <c r="AA21">
        <v>18</v>
      </c>
      <c r="AB21" t="s">
        <v>2298</v>
      </c>
      <c r="AC21" t="s">
        <v>17</v>
      </c>
      <c r="AD21" t="s">
        <v>463</v>
      </c>
      <c r="AE21" t="s">
        <v>500</v>
      </c>
      <c r="AG21" t="s">
        <v>896</v>
      </c>
      <c r="AI21" t="s">
        <v>2315</v>
      </c>
      <c r="AJ21" t="s">
        <v>1395</v>
      </c>
      <c r="AK21" t="s">
        <v>2298</v>
      </c>
      <c r="AL21" t="s">
        <v>2301</v>
      </c>
      <c r="AN21" t="str">
        <f t="shared" si="10"/>
        <v>OK</v>
      </c>
      <c r="AO21" t="str">
        <f t="shared" si="11"/>
        <v>OK</v>
      </c>
      <c r="AP21" t="str">
        <f t="shared" si="12"/>
        <v>OK</v>
      </c>
      <c r="AR21" t="str">
        <f t="shared" si="13"/>
        <v>OK</v>
      </c>
      <c r="AS21" t="str">
        <f t="shared" si="14"/>
        <v>OK</v>
      </c>
      <c r="AT21" t="str">
        <f t="shared" si="15"/>
        <v>NOK</v>
      </c>
      <c r="AU21" t="str">
        <f t="shared" si="16"/>
        <v>OK</v>
      </c>
      <c r="AV21" t="str">
        <f t="shared" si="17"/>
        <v>OK</v>
      </c>
      <c r="AW21" t="str">
        <f t="shared" si="18"/>
        <v>OK</v>
      </c>
    </row>
    <row r="22" spans="1:49">
      <c r="A22">
        <f>Dbase_velden_versie4_2!A18</f>
        <v>18</v>
      </c>
      <c r="B22" t="str">
        <f>Dbase_velden_versie4_2!B18</f>
        <v>ALG_AANLEGJAAR</v>
      </c>
      <c r="C22" t="str">
        <f>Dbase_velden_versie4_2!C18</f>
        <v>-</v>
      </c>
      <c r="D22" t="str">
        <f>Dbase_velden_versie4_2!D18</f>
        <v>Jaar aanleg</v>
      </c>
      <c r="E22" t="str">
        <f>Dbase_velden_versie4_2!E18</f>
        <v>String</v>
      </c>
      <c r="F22">
        <f>Dbase_velden_versie4_2!F18</f>
        <v>0</v>
      </c>
      <c r="G22" t="str">
        <f>Dbase_velden_versie4_2!G18</f>
        <v>ALG AANLEGJAAR</v>
      </c>
      <c r="H22" t="str">
        <f>Dbase_velden_versie4_2!H18</f>
        <v>[-]</v>
      </c>
      <c r="I22" t="str">
        <f>Dbase_velden_versie4_2!I18</f>
        <v>ALG</v>
      </c>
      <c r="J22" t="str">
        <f>Dbase_velden_versie4_2!J18</f>
        <v>Algemene kenmerken</v>
      </c>
      <c r="K22">
        <v>18</v>
      </c>
      <c r="L22" t="str">
        <v>ALG_AANLEGJAAR</v>
      </c>
      <c r="M22" t="str">
        <v>-</v>
      </c>
      <c r="N22" t="str">
        <v>Jaar aanleg</v>
      </c>
      <c r="O22" t="str">
        <v>String</v>
      </c>
      <c r="P22">
        <v>0</v>
      </c>
      <c r="Q22" t="str">
        <v>ALG AANLEGJAAR</v>
      </c>
      <c r="R22" t="str">
        <v>[-]</v>
      </c>
      <c r="S22" t="str">
        <f t="shared" si="9"/>
        <v>OK</v>
      </c>
      <c r="T22" t="str">
        <f t="shared" si="2"/>
        <v>OK</v>
      </c>
      <c r="U22" t="str">
        <f t="shared" si="3"/>
        <v>OK</v>
      </c>
      <c r="V22" t="str">
        <f t="shared" si="4"/>
        <v>OK</v>
      </c>
      <c r="W22" t="str">
        <f t="shared" si="5"/>
        <v>OK</v>
      </c>
      <c r="X22" t="str">
        <f t="shared" si="6"/>
        <v>OK</v>
      </c>
      <c r="Y22" t="str">
        <f t="shared" si="7"/>
        <v>OK</v>
      </c>
      <c r="Z22">
        <v>17</v>
      </c>
      <c r="AA22">
        <v>19</v>
      </c>
      <c r="AB22" t="s">
        <v>2298</v>
      </c>
      <c r="AC22" t="s">
        <v>18</v>
      </c>
      <c r="AD22" t="s">
        <v>463</v>
      </c>
      <c r="AE22" t="s">
        <v>501</v>
      </c>
      <c r="AG22" t="s">
        <v>896</v>
      </c>
      <c r="AI22" t="s">
        <v>2316</v>
      </c>
      <c r="AJ22" t="s">
        <v>1395</v>
      </c>
      <c r="AK22" t="s">
        <v>2298</v>
      </c>
      <c r="AL22" t="s">
        <v>2301</v>
      </c>
      <c r="AN22" t="str">
        <f t="shared" si="10"/>
        <v>OK</v>
      </c>
      <c r="AO22" t="str">
        <f t="shared" si="11"/>
        <v>OK</v>
      </c>
      <c r="AP22" t="str">
        <f t="shared" si="12"/>
        <v>OK</v>
      </c>
      <c r="AR22" t="str">
        <f t="shared" si="13"/>
        <v>OK</v>
      </c>
      <c r="AS22" t="str">
        <f t="shared" si="14"/>
        <v>OK</v>
      </c>
      <c r="AT22" t="str">
        <f t="shared" si="15"/>
        <v>NOK</v>
      </c>
      <c r="AU22" t="str">
        <f t="shared" si="16"/>
        <v>OK</v>
      </c>
      <c r="AV22" t="str">
        <f t="shared" si="17"/>
        <v>OK</v>
      </c>
      <c r="AW22" t="str">
        <f t="shared" si="18"/>
        <v>OK</v>
      </c>
    </row>
    <row r="23" spans="1:49">
      <c r="A23">
        <f>Dbase_velden_versie4_2!A19</f>
        <v>19</v>
      </c>
      <c r="B23" t="str">
        <f>Dbase_velden_versie4_2!B19</f>
        <v>ALG_BODEMKAART</v>
      </c>
      <c r="C23" t="str">
        <f>Dbase_velden_versie4_2!C19</f>
        <v>-</v>
      </c>
      <c r="D23" t="str">
        <f>Dbase_velden_versie4_2!D19</f>
        <v>Bodemkaart NL soortnaam</v>
      </c>
      <c r="E23" t="str">
        <f>Dbase_velden_versie4_2!E19</f>
        <v>String</v>
      </c>
      <c r="F23">
        <f>Dbase_velden_versie4_2!F19</f>
        <v>0</v>
      </c>
      <c r="G23" t="str">
        <f>Dbase_velden_versie4_2!G19</f>
        <v>ALG BODEMKAART</v>
      </c>
      <c r="H23" t="str">
        <f>Dbase_velden_versie4_2!H19</f>
        <v>[-]</v>
      </c>
      <c r="I23" t="str">
        <f>Dbase_velden_versie4_2!I19</f>
        <v>ALG</v>
      </c>
      <c r="J23" t="str">
        <f>Dbase_velden_versie4_2!J19</f>
        <v>Algemene kenmerken</v>
      </c>
      <c r="K23">
        <v>19</v>
      </c>
      <c r="L23" t="str">
        <v>ALG_BODEMKAART</v>
      </c>
      <c r="M23" t="str">
        <v>-</v>
      </c>
      <c r="N23" t="str">
        <v>Bodemkaart NL soortnaam</v>
      </c>
      <c r="O23" t="str">
        <v>String</v>
      </c>
      <c r="P23">
        <v>0</v>
      </c>
      <c r="Q23" t="str">
        <v>ALG BODEMKAART</v>
      </c>
      <c r="R23" t="str">
        <v>[-]</v>
      </c>
      <c r="S23" t="str">
        <f t="shared" si="9"/>
        <v>OK</v>
      </c>
      <c r="T23" t="str">
        <f t="shared" si="2"/>
        <v>OK</v>
      </c>
      <c r="U23" t="str">
        <f t="shared" si="3"/>
        <v>OK</v>
      </c>
      <c r="V23" t="str">
        <f t="shared" si="4"/>
        <v>OK</v>
      </c>
      <c r="W23" t="str">
        <f t="shared" si="5"/>
        <v>OK</v>
      </c>
      <c r="X23" t="str">
        <f t="shared" si="6"/>
        <v>OK</v>
      </c>
      <c r="Y23" t="str">
        <f t="shared" si="7"/>
        <v>OK</v>
      </c>
      <c r="Z23">
        <v>18</v>
      </c>
      <c r="AA23">
        <v>20</v>
      </c>
      <c r="AB23" t="s">
        <v>2298</v>
      </c>
      <c r="AC23" t="s">
        <v>19</v>
      </c>
      <c r="AD23" t="s">
        <v>463</v>
      </c>
      <c r="AE23" t="s">
        <v>502</v>
      </c>
      <c r="AG23" t="s">
        <v>896</v>
      </c>
      <c r="AI23" t="s">
        <v>2317</v>
      </c>
      <c r="AJ23" t="s">
        <v>1395</v>
      </c>
      <c r="AK23" t="s">
        <v>2298</v>
      </c>
      <c r="AL23" t="s">
        <v>2301</v>
      </c>
      <c r="AN23" t="str">
        <f t="shared" si="10"/>
        <v>OK</v>
      </c>
      <c r="AO23" t="str">
        <f t="shared" si="11"/>
        <v>OK</v>
      </c>
      <c r="AP23" t="str">
        <f t="shared" si="12"/>
        <v>OK</v>
      </c>
      <c r="AR23" t="str">
        <f t="shared" si="13"/>
        <v>OK</v>
      </c>
      <c r="AS23" t="str">
        <f t="shared" si="14"/>
        <v>OK</v>
      </c>
      <c r="AT23" t="str">
        <f t="shared" si="15"/>
        <v>NOK</v>
      </c>
      <c r="AU23" t="str">
        <f t="shared" si="16"/>
        <v>OK</v>
      </c>
      <c r="AV23" t="str">
        <f t="shared" si="17"/>
        <v>OK</v>
      </c>
      <c r="AW23" t="str">
        <f t="shared" si="18"/>
        <v>OK</v>
      </c>
    </row>
    <row r="24" spans="1:49">
      <c r="A24">
        <f>Dbase_velden_versie4_2!A20</f>
        <v>20</v>
      </c>
      <c r="B24" t="str">
        <f>Dbase_velden_versie4_2!B20</f>
        <v>ALG_GEOLOGIE</v>
      </c>
      <c r="C24" t="str">
        <f>Dbase_velden_versie4_2!C20</f>
        <v>-</v>
      </c>
      <c r="D24" t="str">
        <f>Dbase_velden_versie4_2!D20</f>
        <v>Naam van de geologische afzetting waartoe de onderzochte laag toe behoort</v>
      </c>
      <c r="E24" t="str">
        <f>Dbase_velden_versie4_2!E20</f>
        <v>String</v>
      </c>
      <c r="F24">
        <f>Dbase_velden_versie4_2!F20</f>
        <v>0</v>
      </c>
      <c r="G24" t="str">
        <f>Dbase_velden_versie4_2!G20</f>
        <v>ALG GEOLOGIE</v>
      </c>
      <c r="H24" t="str">
        <f>Dbase_velden_versie4_2!H20</f>
        <v>[-]</v>
      </c>
      <c r="I24" t="str">
        <f>Dbase_velden_versie4_2!I20</f>
        <v>ALG</v>
      </c>
      <c r="J24" t="str">
        <f>Dbase_velden_versie4_2!J20</f>
        <v>Algemene kenmerken</v>
      </c>
      <c r="K24">
        <v>20</v>
      </c>
      <c r="L24" t="str">
        <v>ALG_GEOLOGIE</v>
      </c>
      <c r="M24" t="str">
        <v>-</v>
      </c>
      <c r="N24" t="str">
        <v>Naam van de geologische afzetting waartoe de onderzochte laag toe behoort</v>
      </c>
      <c r="O24" t="str">
        <v>String</v>
      </c>
      <c r="P24">
        <v>0</v>
      </c>
      <c r="Q24" t="str">
        <v>ALG GEOLOGIE</v>
      </c>
      <c r="R24" t="str">
        <v>[-]</v>
      </c>
      <c r="S24" t="str">
        <f t="shared" si="9"/>
        <v>OK</v>
      </c>
      <c r="T24" t="str">
        <f t="shared" si="2"/>
        <v>OK</v>
      </c>
      <c r="U24" t="str">
        <f t="shared" si="3"/>
        <v>OK</v>
      </c>
      <c r="V24" t="str">
        <f t="shared" si="4"/>
        <v>OK</v>
      </c>
      <c r="W24" t="str">
        <f t="shared" si="5"/>
        <v>OK</v>
      </c>
      <c r="X24" t="str">
        <f t="shared" si="6"/>
        <v>OK</v>
      </c>
      <c r="Y24" t="str">
        <f t="shared" si="7"/>
        <v>OK</v>
      </c>
      <c r="Z24">
        <v>19</v>
      </c>
      <c r="AA24">
        <v>21</v>
      </c>
      <c r="AB24" t="s">
        <v>2298</v>
      </c>
      <c r="AC24" t="s">
        <v>20</v>
      </c>
      <c r="AD24" t="s">
        <v>463</v>
      </c>
      <c r="AE24" t="s">
        <v>503</v>
      </c>
      <c r="AG24" t="s">
        <v>896</v>
      </c>
      <c r="AI24" t="s">
        <v>2318</v>
      </c>
      <c r="AJ24" t="s">
        <v>1395</v>
      </c>
      <c r="AK24" t="s">
        <v>2298</v>
      </c>
      <c r="AL24" t="s">
        <v>2301</v>
      </c>
      <c r="AN24" t="str">
        <f t="shared" si="10"/>
        <v>OK</v>
      </c>
      <c r="AO24" t="str">
        <f t="shared" si="11"/>
        <v>OK</v>
      </c>
      <c r="AP24" t="str">
        <f t="shared" si="12"/>
        <v>OK</v>
      </c>
      <c r="AR24" t="str">
        <f t="shared" si="13"/>
        <v>OK</v>
      </c>
      <c r="AS24" t="str">
        <f t="shared" si="14"/>
        <v>OK</v>
      </c>
      <c r="AT24" t="str">
        <f t="shared" si="15"/>
        <v>NOK</v>
      </c>
      <c r="AU24" t="str">
        <f t="shared" si="16"/>
        <v>OK</v>
      </c>
      <c r="AV24" t="str">
        <f t="shared" si="17"/>
        <v>OK</v>
      </c>
      <c r="AW24" t="str">
        <f t="shared" si="18"/>
        <v>OK</v>
      </c>
    </row>
    <row r="25" spans="1:49">
      <c r="A25">
        <f>Dbase_velden_versie4_2!A21</f>
        <v>21</v>
      </c>
      <c r="B25" t="str">
        <f>Dbase_velden_versie4_2!B21</f>
        <v>ALG_FILENAAM_GEOT_PROFIEL</v>
      </c>
      <c r="C25" t="str">
        <f>Dbase_velden_versie4_2!C21</f>
        <v>-</v>
      </c>
      <c r="D25" t="str">
        <f>Dbase_velden_versie4_2!D21</f>
        <v>Bestandsnaam van het bestand waarin het geotechnisch lengteprofiel is opgenomen</v>
      </c>
      <c r="E25" t="str">
        <f>Dbase_velden_versie4_2!E21</f>
        <v>String</v>
      </c>
      <c r="F25">
        <f>Dbase_velden_versie4_2!F21</f>
        <v>0</v>
      </c>
      <c r="G25" t="str">
        <f>Dbase_velden_versie4_2!G21</f>
        <v>ALG FILENAAM GEOT PROFIEL</v>
      </c>
      <c r="H25" t="str">
        <f>Dbase_velden_versie4_2!H21</f>
        <v>[-]</v>
      </c>
      <c r="I25" t="str">
        <f>Dbase_velden_versie4_2!I21</f>
        <v>ALG</v>
      </c>
      <c r="J25" t="str">
        <f>Dbase_velden_versie4_2!J21</f>
        <v>Algemene kenmerken</v>
      </c>
      <c r="K25">
        <v>21</v>
      </c>
      <c r="L25" t="str">
        <v>ALG_FILENAAM_GEOT_PROFIEL</v>
      </c>
      <c r="M25" t="str">
        <v>-</v>
      </c>
      <c r="N25" t="str">
        <v>Bestandsnaam van het bestand waarin het geotechnisch lengteprofiel is opgenomen</v>
      </c>
      <c r="O25" t="str">
        <v>String</v>
      </c>
      <c r="P25">
        <v>0</v>
      </c>
      <c r="Q25" t="str">
        <v>ALG FILENAAM GEOT PROFIEL</v>
      </c>
      <c r="R25" t="str">
        <v>[-]</v>
      </c>
      <c r="S25" t="str">
        <f t="shared" si="9"/>
        <v>OK</v>
      </c>
      <c r="T25" t="str">
        <f t="shared" si="2"/>
        <v>OK</v>
      </c>
      <c r="U25" t="str">
        <f t="shared" si="3"/>
        <v>OK</v>
      </c>
      <c r="V25" t="str">
        <f t="shared" si="4"/>
        <v>OK</v>
      </c>
      <c r="W25" t="str">
        <f t="shared" si="5"/>
        <v>OK</v>
      </c>
      <c r="X25" t="str">
        <f t="shared" si="6"/>
        <v>OK</v>
      </c>
      <c r="Y25" t="str">
        <f t="shared" si="7"/>
        <v>OK</v>
      </c>
      <c r="Z25">
        <v>20</v>
      </c>
      <c r="AA25">
        <v>22</v>
      </c>
      <c r="AB25" t="s">
        <v>2298</v>
      </c>
      <c r="AC25" t="s">
        <v>21</v>
      </c>
      <c r="AD25" t="s">
        <v>463</v>
      </c>
      <c r="AE25" t="s">
        <v>504</v>
      </c>
      <c r="AG25" t="s">
        <v>896</v>
      </c>
      <c r="AI25" t="s">
        <v>2319</v>
      </c>
      <c r="AJ25" t="s">
        <v>1395</v>
      </c>
      <c r="AK25" t="s">
        <v>2298</v>
      </c>
      <c r="AL25" t="s">
        <v>2301</v>
      </c>
      <c r="AN25" t="str">
        <f t="shared" si="10"/>
        <v>OK</v>
      </c>
      <c r="AO25" t="str">
        <f t="shared" si="11"/>
        <v>OK</v>
      </c>
      <c r="AP25" t="str">
        <f t="shared" si="12"/>
        <v>OK</v>
      </c>
      <c r="AR25" t="str">
        <f t="shared" si="13"/>
        <v>OK</v>
      </c>
      <c r="AS25" t="str">
        <f t="shared" si="14"/>
        <v>OK</v>
      </c>
      <c r="AT25" t="str">
        <f t="shared" si="15"/>
        <v>NOK</v>
      </c>
      <c r="AU25" t="str">
        <f t="shared" si="16"/>
        <v>OK</v>
      </c>
      <c r="AV25" t="str">
        <f t="shared" si="17"/>
        <v>OK</v>
      </c>
      <c r="AW25" t="str">
        <f t="shared" si="18"/>
        <v>OK</v>
      </c>
    </row>
    <row r="26" spans="1:49">
      <c r="A26">
        <f>Dbase_velden_versie4_2!A22</f>
        <v>22</v>
      </c>
      <c r="B26" t="str">
        <f>Dbase_velden_versie4_2!B22</f>
        <v>BORING_XID</v>
      </c>
      <c r="C26" t="str">
        <f>Dbase_velden_versie4_2!C22</f>
        <v>m</v>
      </c>
      <c r="D26" t="str">
        <f>Dbase_velden_versie4_2!D22</f>
        <v>X-coordinaat van boring waaruit de monsters van de proeven afkomstig zijn. Coordinaten weergeven in RD-coordinaten</v>
      </c>
      <c r="E26" t="str">
        <f>Dbase_velden_versie4_2!E22</f>
        <v>Double</v>
      </c>
      <c r="F26" t="str">
        <f>Dbase_velden_versie4_2!F22</f>
        <v>-7000 / +300 000</v>
      </c>
      <c r="G26" t="str">
        <f>Dbase_velden_versie4_2!G22</f>
        <v>BORING XID</v>
      </c>
      <c r="H26" t="str">
        <f>Dbase_velden_versie4_2!H22</f>
        <v>[m]</v>
      </c>
      <c r="I26" t="str">
        <f>Dbase_velden_versie4_2!I22</f>
        <v>BORING</v>
      </c>
      <c r="J26" t="str">
        <f>Dbase_velden_versie4_2!J22</f>
        <v>Kenmerken van de boring</v>
      </c>
      <c r="K26">
        <v>22</v>
      </c>
      <c r="L26" t="str">
        <v>BORING_XID</v>
      </c>
      <c r="M26" t="str">
        <v>m</v>
      </c>
      <c r="N26" t="str">
        <v>X-coordinaat van boring waaruit de monsters van de proeven afkomstig zijn. Coordinaten weergeven in RD-coordinaten</v>
      </c>
      <c r="O26" t="str">
        <v>Double</v>
      </c>
      <c r="P26" t="str">
        <v>-7000 / +300 000</v>
      </c>
      <c r="Q26" t="str">
        <v>BORING XID</v>
      </c>
      <c r="R26" t="str">
        <v>[m]</v>
      </c>
      <c r="S26" t="str">
        <f t="shared" si="9"/>
        <v>OK</v>
      </c>
      <c r="T26" t="str">
        <f t="shared" si="2"/>
        <v>OK</v>
      </c>
      <c r="U26" t="str">
        <f t="shared" si="3"/>
        <v>OK</v>
      </c>
      <c r="V26" t="str">
        <f t="shared" si="4"/>
        <v>OK</v>
      </c>
      <c r="W26" t="str">
        <f t="shared" si="5"/>
        <v>OK</v>
      </c>
      <c r="X26" t="str">
        <f t="shared" si="6"/>
        <v>OK</v>
      </c>
      <c r="Y26" t="str">
        <f t="shared" si="7"/>
        <v>OK</v>
      </c>
      <c r="Z26">
        <v>21</v>
      </c>
      <c r="AA26">
        <v>23</v>
      </c>
      <c r="AB26" t="s">
        <v>2320</v>
      </c>
      <c r="AC26" t="s">
        <v>22</v>
      </c>
      <c r="AD26" t="s">
        <v>464</v>
      </c>
      <c r="AE26" t="s">
        <v>505</v>
      </c>
      <c r="AG26" t="s">
        <v>897</v>
      </c>
      <c r="AH26" t="s">
        <v>901</v>
      </c>
      <c r="AI26" t="s">
        <v>2321</v>
      </c>
      <c r="AJ26" t="s">
        <v>1396</v>
      </c>
      <c r="AK26" t="s">
        <v>2320</v>
      </c>
      <c r="AL26" t="s">
        <v>2322</v>
      </c>
      <c r="AN26" t="str">
        <f t="shared" si="10"/>
        <v>OK</v>
      </c>
      <c r="AO26" t="str">
        <f t="shared" si="11"/>
        <v>OK</v>
      </c>
      <c r="AP26" t="str">
        <f t="shared" si="12"/>
        <v>OK</v>
      </c>
      <c r="AR26" t="str">
        <f t="shared" si="13"/>
        <v>OK</v>
      </c>
      <c r="AS26" t="str">
        <f t="shared" si="14"/>
        <v>OK</v>
      </c>
      <c r="AT26" t="str">
        <f t="shared" si="15"/>
        <v>NOK</v>
      </c>
      <c r="AU26" t="str">
        <f t="shared" si="16"/>
        <v>OK</v>
      </c>
      <c r="AV26" t="str">
        <f t="shared" si="17"/>
        <v>OK</v>
      </c>
      <c r="AW26" t="str">
        <f t="shared" si="18"/>
        <v>OK</v>
      </c>
    </row>
    <row r="27" spans="1:49">
      <c r="A27">
        <f>Dbase_velden_versie4_2!A23</f>
        <v>23</v>
      </c>
      <c r="B27" t="str">
        <f>Dbase_velden_versie4_2!B23</f>
        <v>BORING_YID</v>
      </c>
      <c r="C27" t="str">
        <f>Dbase_velden_versie4_2!C23</f>
        <v>m</v>
      </c>
      <c r="D27" t="str">
        <f>Dbase_velden_versie4_2!D23</f>
        <v>Y-coordinaat van boring waaruit de monsters van de proeven afkomstig zijn. Coordinaten weergeven in RD-coordinaten</v>
      </c>
      <c r="E27" t="str">
        <f>Dbase_velden_versie4_2!E23</f>
        <v>Double</v>
      </c>
      <c r="F27" t="str">
        <f>Dbase_velden_versie4_2!F23</f>
        <v>+289 000 / 629 000</v>
      </c>
      <c r="G27" t="str">
        <f>Dbase_velden_versie4_2!G23</f>
        <v>BORING YID</v>
      </c>
      <c r="H27" t="str">
        <f>Dbase_velden_versie4_2!H23</f>
        <v>[m]</v>
      </c>
      <c r="I27" t="str">
        <f>Dbase_velden_versie4_2!I23</f>
        <v>BORING</v>
      </c>
      <c r="J27" t="str">
        <f>Dbase_velden_versie4_2!J23</f>
        <v>Kenmerken van de boring</v>
      </c>
      <c r="K27">
        <v>23</v>
      </c>
      <c r="L27" t="str">
        <v>BORING_YID</v>
      </c>
      <c r="M27" t="str">
        <v>m</v>
      </c>
      <c r="N27" t="str">
        <v>Y-coordinaat van boring waaruit de monsters van de proeven afkomstig zijn. Coordinaten weergeven in RD-coordinaten</v>
      </c>
      <c r="O27" t="str">
        <v>Double</v>
      </c>
      <c r="P27" t="str">
        <v>+289 000 / 629 000</v>
      </c>
      <c r="Q27" t="str">
        <v>BORING YID</v>
      </c>
      <c r="R27" t="str">
        <v>[m]</v>
      </c>
      <c r="S27" t="str">
        <f t="shared" si="9"/>
        <v>OK</v>
      </c>
      <c r="T27" t="str">
        <f t="shared" si="2"/>
        <v>OK</v>
      </c>
      <c r="U27" t="str">
        <f t="shared" si="3"/>
        <v>OK</v>
      </c>
      <c r="V27" t="str">
        <f t="shared" si="4"/>
        <v>OK</v>
      </c>
      <c r="W27" t="str">
        <f t="shared" si="5"/>
        <v>OK</v>
      </c>
      <c r="X27" t="str">
        <f t="shared" si="6"/>
        <v>OK</v>
      </c>
      <c r="Y27" t="str">
        <f t="shared" si="7"/>
        <v>OK</v>
      </c>
      <c r="Z27">
        <v>22</v>
      </c>
      <c r="AA27">
        <v>24</v>
      </c>
      <c r="AB27" t="s">
        <v>2320</v>
      </c>
      <c r="AC27" t="s">
        <v>23</v>
      </c>
      <c r="AD27" t="s">
        <v>464</v>
      </c>
      <c r="AE27" t="s">
        <v>506</v>
      </c>
      <c r="AG27" t="s">
        <v>897</v>
      </c>
      <c r="AH27" t="s">
        <v>902</v>
      </c>
      <c r="AI27" t="s">
        <v>2323</v>
      </c>
      <c r="AJ27" t="s">
        <v>1396</v>
      </c>
      <c r="AK27" t="s">
        <v>2320</v>
      </c>
      <c r="AL27" t="s">
        <v>2322</v>
      </c>
      <c r="AN27" t="str">
        <f t="shared" si="10"/>
        <v>OK</v>
      </c>
      <c r="AO27" t="str">
        <f t="shared" si="11"/>
        <v>OK</v>
      </c>
      <c r="AP27" t="str">
        <f t="shared" si="12"/>
        <v>OK</v>
      </c>
      <c r="AR27" t="str">
        <f t="shared" si="13"/>
        <v>OK</v>
      </c>
      <c r="AS27" t="str">
        <f t="shared" si="14"/>
        <v>OK</v>
      </c>
      <c r="AT27" t="str">
        <f t="shared" si="15"/>
        <v>NOK</v>
      </c>
      <c r="AU27" t="str">
        <f t="shared" si="16"/>
        <v>OK</v>
      </c>
      <c r="AV27" t="str">
        <f t="shared" si="17"/>
        <v>OK</v>
      </c>
      <c r="AW27" t="str">
        <f t="shared" si="18"/>
        <v>OK</v>
      </c>
    </row>
    <row r="28" spans="1:49">
      <c r="A28">
        <f>Dbase_velden_versie4_2!A24</f>
        <v>24</v>
      </c>
      <c r="B28" t="str">
        <f>Dbase_velden_versie4_2!B24</f>
        <v>BORING_MAAIVELDPEIL</v>
      </c>
      <c r="C28" t="str">
        <f>Dbase_velden_versie4_2!C24</f>
        <v>m NAP</v>
      </c>
      <c r="D28" t="str">
        <f>Dbase_velden_versie4_2!D24</f>
        <v>De maaiveldhoogte ter plaatse van de boring.</v>
      </c>
      <c r="E28" t="str">
        <f>Dbase_velden_versie4_2!E24</f>
        <v>Double</v>
      </c>
      <c r="F28" t="str">
        <f>Dbase_velden_versie4_2!F24</f>
        <v>-100,00 - +500,00</v>
      </c>
      <c r="G28" t="str">
        <f>Dbase_velden_versie4_2!G24</f>
        <v>BORING MAAIVELDPEIL</v>
      </c>
      <c r="H28" t="str">
        <f>Dbase_velden_versie4_2!H24</f>
        <v>[m NAP]</v>
      </c>
      <c r="I28" t="str">
        <f>Dbase_velden_versie4_2!I24</f>
        <v>BORING</v>
      </c>
      <c r="J28" t="str">
        <f>Dbase_velden_versie4_2!J24</f>
        <v>Kenmerken van de boring</v>
      </c>
      <c r="K28">
        <v>24</v>
      </c>
      <c r="L28" t="str">
        <v>BORING_MAAIVELDPEIL</v>
      </c>
      <c r="M28" t="str">
        <v>m NAP</v>
      </c>
      <c r="N28" t="str">
        <v>De maaiveldhoogte ter plaatse van de boring.</v>
      </c>
      <c r="O28" t="str">
        <v>Double</v>
      </c>
      <c r="P28" t="str">
        <v>-100,00 - +500,00</v>
      </c>
      <c r="Q28" t="str">
        <v>BORING MAAIVELDPEIL</v>
      </c>
      <c r="R28" t="str">
        <v>[m NAP]</v>
      </c>
      <c r="S28" t="str">
        <f t="shared" si="9"/>
        <v>OK</v>
      </c>
      <c r="T28" t="str">
        <f t="shared" si="2"/>
        <v>OK</v>
      </c>
      <c r="U28" t="str">
        <f t="shared" si="3"/>
        <v>OK</v>
      </c>
      <c r="V28" t="str">
        <f t="shared" si="4"/>
        <v>OK</v>
      </c>
      <c r="W28" t="str">
        <f t="shared" si="5"/>
        <v>OK</v>
      </c>
      <c r="X28" t="str">
        <f t="shared" si="6"/>
        <v>OK</v>
      </c>
      <c r="Y28" t="str">
        <f t="shared" si="7"/>
        <v>OK</v>
      </c>
      <c r="Z28">
        <v>23</v>
      </c>
      <c r="AA28">
        <v>25</v>
      </c>
      <c r="AB28" t="s">
        <v>2320</v>
      </c>
      <c r="AC28" t="s">
        <v>24</v>
      </c>
      <c r="AD28" t="s">
        <v>465</v>
      </c>
      <c r="AE28" t="s">
        <v>507</v>
      </c>
      <c r="AG28" t="s">
        <v>897</v>
      </c>
      <c r="AH28" t="s">
        <v>903</v>
      </c>
      <c r="AI28" t="s">
        <v>2324</v>
      </c>
      <c r="AJ28" t="s">
        <v>1397</v>
      </c>
      <c r="AK28" t="s">
        <v>2320</v>
      </c>
      <c r="AL28" t="s">
        <v>2322</v>
      </c>
      <c r="AN28" t="str">
        <f t="shared" si="10"/>
        <v>OK</v>
      </c>
      <c r="AO28" t="str">
        <f t="shared" si="11"/>
        <v>OK</v>
      </c>
      <c r="AP28" t="str">
        <f t="shared" si="12"/>
        <v>OK</v>
      </c>
      <c r="AR28" t="str">
        <f t="shared" si="13"/>
        <v>OK</v>
      </c>
      <c r="AS28" t="str">
        <f t="shared" si="14"/>
        <v>OK</v>
      </c>
      <c r="AT28" t="str">
        <f t="shared" si="15"/>
        <v>NOK</v>
      </c>
      <c r="AU28" t="str">
        <f t="shared" si="16"/>
        <v>OK</v>
      </c>
      <c r="AV28" t="str">
        <f t="shared" si="17"/>
        <v>OK</v>
      </c>
      <c r="AW28" t="str">
        <f t="shared" si="18"/>
        <v>OK</v>
      </c>
    </row>
    <row r="29" spans="1:49">
      <c r="A29">
        <f>Dbase_velden_versie4_2!A25</f>
        <v>25</v>
      </c>
      <c r="B29" t="str">
        <f>Dbase_velden_versie4_2!B25</f>
        <v>BORING_NUMMER</v>
      </c>
      <c r="C29" t="str">
        <f>Dbase_velden_versie4_2!C25</f>
        <v>-</v>
      </c>
      <c r="D29" t="str">
        <f>Dbase_velden_versie4_2!D25</f>
        <v>Nummering van de boring</v>
      </c>
      <c r="E29" t="str">
        <f>Dbase_velden_versie4_2!E25</f>
        <v>String</v>
      </c>
      <c r="F29">
        <f>Dbase_velden_versie4_2!F25</f>
        <v>0</v>
      </c>
      <c r="G29" t="str">
        <f>Dbase_velden_versie4_2!G25</f>
        <v>BORING NUMMER</v>
      </c>
      <c r="H29" t="str">
        <f>Dbase_velden_versie4_2!H25</f>
        <v>[-]</v>
      </c>
      <c r="I29" t="str">
        <f>Dbase_velden_versie4_2!I25</f>
        <v>BORING</v>
      </c>
      <c r="J29" t="str">
        <f>Dbase_velden_versie4_2!J25</f>
        <v>Kenmerken van de boring</v>
      </c>
      <c r="K29">
        <v>25</v>
      </c>
      <c r="L29" t="str">
        <v>BORING_NUMMER</v>
      </c>
      <c r="M29" t="str">
        <v>-</v>
      </c>
      <c r="N29" t="str">
        <v>Nummering van de boring</v>
      </c>
      <c r="O29" t="str">
        <v>String</v>
      </c>
      <c r="P29">
        <v>0</v>
      </c>
      <c r="Q29" t="str">
        <v>BORING NUMMER</v>
      </c>
      <c r="R29" t="str">
        <v>[-]</v>
      </c>
      <c r="S29" t="str">
        <f t="shared" si="9"/>
        <v>OK</v>
      </c>
      <c r="T29" t="str">
        <f t="shared" si="2"/>
        <v>OK</v>
      </c>
      <c r="U29" t="str">
        <f t="shared" si="3"/>
        <v>OK</v>
      </c>
      <c r="V29" t="str">
        <f t="shared" si="4"/>
        <v>OK</v>
      </c>
      <c r="W29" t="str">
        <f t="shared" si="5"/>
        <v>OK</v>
      </c>
      <c r="X29" t="str">
        <f t="shared" si="6"/>
        <v>OK</v>
      </c>
      <c r="Y29" t="str">
        <f t="shared" si="7"/>
        <v>OK</v>
      </c>
      <c r="Z29">
        <v>24</v>
      </c>
      <c r="AA29">
        <v>26</v>
      </c>
      <c r="AB29" t="s">
        <v>2320</v>
      </c>
      <c r="AC29" t="s">
        <v>25</v>
      </c>
      <c r="AD29" t="s">
        <v>463</v>
      </c>
      <c r="AE29" t="s">
        <v>508</v>
      </c>
      <c r="AG29" t="s">
        <v>896</v>
      </c>
      <c r="AI29" s="25" t="s">
        <v>2325</v>
      </c>
      <c r="AJ29" t="s">
        <v>1395</v>
      </c>
      <c r="AK29" t="s">
        <v>2320</v>
      </c>
      <c r="AL29" t="s">
        <v>2322</v>
      </c>
      <c r="AN29" t="str">
        <f t="shared" si="10"/>
        <v>OK</v>
      </c>
      <c r="AO29" t="str">
        <f t="shared" si="11"/>
        <v>OK</v>
      </c>
      <c r="AP29" t="str">
        <f t="shared" si="12"/>
        <v>OK</v>
      </c>
      <c r="AR29" t="str">
        <f t="shared" si="13"/>
        <v>OK</v>
      </c>
      <c r="AS29" t="str">
        <f t="shared" si="14"/>
        <v>OK</v>
      </c>
      <c r="AT29" t="str">
        <f t="shared" si="15"/>
        <v>NOK</v>
      </c>
      <c r="AU29" t="str">
        <f t="shared" si="16"/>
        <v>OK</v>
      </c>
      <c r="AV29" t="str">
        <f t="shared" si="17"/>
        <v>OK</v>
      </c>
      <c r="AW29" t="str">
        <f t="shared" si="18"/>
        <v>OK</v>
      </c>
    </row>
    <row r="30" spans="1:49">
      <c r="A30">
        <f>Dbase_velden_versie4_2!A26</f>
        <v>26</v>
      </c>
      <c r="B30" t="str">
        <f>Dbase_velden_versie4_2!B26</f>
        <v>BORING_POSITIE</v>
      </c>
      <c r="C30" t="str">
        <f>Dbase_velden_versie4_2!C26</f>
        <v>-</v>
      </c>
      <c r="D30" t="str">
        <f>Dbase_velden_versie4_2!D26</f>
        <v>Locatie van de boring ten opzicht van de waterkeringen. Mogelijkheden zijn: kruin, binnentalud, buitentalud, teen, achterland / KR, BITA, BUTA, BUT, BIT, AL</v>
      </c>
      <c r="E30" t="str">
        <f>Dbase_velden_versie4_2!E26</f>
        <v>String</v>
      </c>
      <c r="F30" t="str">
        <f>Dbase_velden_versie4_2!F26</f>
        <v>kruin, binnentalud, buitentalud, teen, achterland of KR, BITA, BUTA, BUT, BIT, AL</v>
      </c>
      <c r="G30" t="str">
        <f>Dbase_velden_versie4_2!G26</f>
        <v>BORING POSITIE</v>
      </c>
      <c r="H30" t="str">
        <f>Dbase_velden_versie4_2!H26</f>
        <v>[-]</v>
      </c>
      <c r="I30" t="str">
        <f>Dbase_velden_versie4_2!I26</f>
        <v>BORING</v>
      </c>
      <c r="J30" t="str">
        <f>Dbase_velden_versie4_2!J26</f>
        <v>Kenmerken van de boring</v>
      </c>
      <c r="K30">
        <v>26</v>
      </c>
      <c r="L30" t="str">
        <v>BORING_POSITIE</v>
      </c>
      <c r="M30" t="str">
        <v>-</v>
      </c>
      <c r="N30" t="str">
        <v>Locatie van de boring ten opzicht van de waterkeringen. Mogelijkheden zijn: kruin, binnentalud, buitentalud, teen, achterland / KR, BITA, BUTA, BUT, BIT, AL</v>
      </c>
      <c r="O30" t="str">
        <v>String</v>
      </c>
      <c r="P30" t="str">
        <v>kruin, binnentalud, buitentalud, teen, achterland of KR, BITA, BUTA, BUT, BIT, AL</v>
      </c>
      <c r="Q30" t="str">
        <v>BORING POSITIE</v>
      </c>
      <c r="R30" t="str">
        <v>[-]</v>
      </c>
      <c r="S30" t="str">
        <f t="shared" si="9"/>
        <v>OK</v>
      </c>
      <c r="T30" t="str">
        <f t="shared" si="2"/>
        <v>OK</v>
      </c>
      <c r="U30" t="str">
        <f t="shared" si="3"/>
        <v>OK</v>
      </c>
      <c r="V30" t="str">
        <f t="shared" si="4"/>
        <v>OK</v>
      </c>
      <c r="W30" t="str">
        <f t="shared" si="5"/>
        <v>OK</v>
      </c>
      <c r="X30" t="str">
        <f t="shared" si="6"/>
        <v>OK</v>
      </c>
      <c r="Y30" t="str">
        <f t="shared" si="7"/>
        <v>OK</v>
      </c>
      <c r="Z30">
        <v>25</v>
      </c>
      <c r="AA30">
        <v>27</v>
      </c>
      <c r="AB30" t="s">
        <v>2320</v>
      </c>
      <c r="AC30" t="s">
        <v>26</v>
      </c>
      <c r="AD30" t="s">
        <v>463</v>
      </c>
      <c r="AE30" t="s">
        <v>509</v>
      </c>
      <c r="AG30" t="s">
        <v>896</v>
      </c>
      <c r="AH30" t="s">
        <v>904</v>
      </c>
      <c r="AI30" t="s">
        <v>2326</v>
      </c>
      <c r="AJ30" t="s">
        <v>1395</v>
      </c>
      <c r="AK30" t="s">
        <v>2320</v>
      </c>
      <c r="AL30" t="s">
        <v>2322</v>
      </c>
      <c r="AN30" t="str">
        <f t="shared" si="10"/>
        <v>OK</v>
      </c>
      <c r="AO30" t="str">
        <f t="shared" si="11"/>
        <v>OK</v>
      </c>
      <c r="AP30" t="str">
        <f t="shared" si="12"/>
        <v>OK</v>
      </c>
      <c r="AR30" t="str">
        <f t="shared" si="13"/>
        <v>OK</v>
      </c>
      <c r="AS30" t="str">
        <f t="shared" si="14"/>
        <v>OK</v>
      </c>
      <c r="AT30" t="str">
        <f t="shared" si="15"/>
        <v>NOK</v>
      </c>
      <c r="AU30" t="str">
        <f t="shared" si="16"/>
        <v>OK</v>
      </c>
      <c r="AV30" t="str">
        <f t="shared" si="17"/>
        <v>OK</v>
      </c>
      <c r="AW30" t="str">
        <f t="shared" si="18"/>
        <v>OK</v>
      </c>
    </row>
    <row r="31" spans="1:49">
      <c r="A31">
        <f>Dbase_velden_versie4_2!A27</f>
        <v>27</v>
      </c>
      <c r="B31" t="str">
        <f>Dbase_velden_versie4_2!B27</f>
        <v>BORING_DATUM</v>
      </c>
      <c r="C31" t="str">
        <f>Dbase_velden_versie4_2!C27</f>
        <v>DD-MM-JJJJ</v>
      </c>
      <c r="D31" t="str">
        <f>Dbase_velden_versie4_2!D27</f>
        <v>Datum waarop de boring is uitgevoerd</v>
      </c>
      <c r="E31" t="str">
        <f>Dbase_velden_versie4_2!E27</f>
        <v>Date</v>
      </c>
      <c r="F31">
        <f>Dbase_velden_versie4_2!F27</f>
        <v>0</v>
      </c>
      <c r="G31" t="str">
        <f>Dbase_velden_versie4_2!G27</f>
        <v>BORING DATUM</v>
      </c>
      <c r="H31" t="str">
        <f>Dbase_velden_versie4_2!H27</f>
        <v>[DD-MM-JJJJ]</v>
      </c>
      <c r="I31" t="str">
        <f>Dbase_velden_versie4_2!I27</f>
        <v>BORING</v>
      </c>
      <c r="J31" t="str">
        <f>Dbase_velden_versie4_2!J27</f>
        <v>Kenmerken van de boring</v>
      </c>
      <c r="K31">
        <v>27</v>
      </c>
      <c r="L31" t="str">
        <v>BORING_DATUM</v>
      </c>
      <c r="M31" t="str">
        <v>DD-MM-JJJJ</v>
      </c>
      <c r="N31" t="str">
        <v>Datum waarop de boring is uitgevoerd</v>
      </c>
      <c r="O31" t="str">
        <v>Date</v>
      </c>
      <c r="P31">
        <v>0</v>
      </c>
      <c r="Q31" t="str">
        <v>BORING DATUM</v>
      </c>
      <c r="R31" t="str">
        <v>[DD-MM-JJJJ]</v>
      </c>
      <c r="S31" t="str">
        <f t="shared" si="9"/>
        <v>OK</v>
      </c>
      <c r="T31" t="str">
        <f t="shared" si="2"/>
        <v>OK</v>
      </c>
      <c r="U31" t="str">
        <f t="shared" si="3"/>
        <v>OK</v>
      </c>
      <c r="V31" t="str">
        <f t="shared" si="4"/>
        <v>OK</v>
      </c>
      <c r="W31" t="str">
        <f t="shared" si="5"/>
        <v>OK</v>
      </c>
      <c r="X31" t="str">
        <f t="shared" si="6"/>
        <v>OK</v>
      </c>
      <c r="Y31" t="str">
        <f t="shared" si="7"/>
        <v>OK</v>
      </c>
      <c r="Z31">
        <v>26</v>
      </c>
      <c r="AA31">
        <v>28</v>
      </c>
      <c r="AB31" t="s">
        <v>2320</v>
      </c>
      <c r="AC31" t="s">
        <v>27</v>
      </c>
      <c r="AD31" t="s">
        <v>466</v>
      </c>
      <c r="AE31" t="s">
        <v>510</v>
      </c>
      <c r="AG31" t="s">
        <v>898</v>
      </c>
      <c r="AI31" t="s">
        <v>2327</v>
      </c>
      <c r="AJ31" t="s">
        <v>1398</v>
      </c>
      <c r="AK31" t="s">
        <v>2320</v>
      </c>
      <c r="AL31" t="s">
        <v>2322</v>
      </c>
      <c r="AN31" t="str">
        <f t="shared" si="10"/>
        <v>OK</v>
      </c>
      <c r="AO31" t="str">
        <f t="shared" si="11"/>
        <v>OK</v>
      </c>
      <c r="AP31" t="str">
        <f t="shared" si="12"/>
        <v>OK</v>
      </c>
      <c r="AR31" t="str">
        <f t="shared" si="13"/>
        <v>OK</v>
      </c>
      <c r="AS31" t="str">
        <f t="shared" si="14"/>
        <v>OK</v>
      </c>
      <c r="AT31" t="str">
        <f t="shared" si="15"/>
        <v>NOK</v>
      </c>
      <c r="AU31" t="str">
        <f t="shared" si="16"/>
        <v>OK</v>
      </c>
      <c r="AV31" t="str">
        <f t="shared" si="17"/>
        <v>OK</v>
      </c>
      <c r="AW31" t="str">
        <f t="shared" si="18"/>
        <v>OK</v>
      </c>
    </row>
    <row r="32" spans="1:49">
      <c r="A32">
        <f>Dbase_velden_versie4_2!A28</f>
        <v>28</v>
      </c>
      <c r="B32" t="str">
        <f>Dbase_velden_versie4_2!B28</f>
        <v>BORING_FILENAAM_PDF</v>
      </c>
      <c r="C32" t="str">
        <f>Dbase_velden_versie4_2!C28</f>
        <v>-</v>
      </c>
      <c r="D32" t="str">
        <f>Dbase_velden_versie4_2!D28</f>
        <v>Bestandnaam van de pdf waarin de boring is gerapporteerd</v>
      </c>
      <c r="E32" t="str">
        <f>Dbase_velden_versie4_2!E28</f>
        <v>String</v>
      </c>
      <c r="F32">
        <f>Dbase_velden_versie4_2!F28</f>
        <v>0</v>
      </c>
      <c r="G32" t="str">
        <f>Dbase_velden_versie4_2!G28</f>
        <v>BORING FILENAAM PDF</v>
      </c>
      <c r="H32" t="str">
        <f>Dbase_velden_versie4_2!H28</f>
        <v>[-]</v>
      </c>
      <c r="I32" t="str">
        <f>Dbase_velden_versie4_2!I28</f>
        <v>BORING</v>
      </c>
      <c r="J32" t="str">
        <f>Dbase_velden_versie4_2!J28</f>
        <v>Kenmerken van de boring</v>
      </c>
      <c r="K32">
        <v>28</v>
      </c>
      <c r="L32" t="str">
        <v>BORING_FILENAAM_PDF</v>
      </c>
      <c r="M32" t="str">
        <v>-</v>
      </c>
      <c r="N32" t="str">
        <v>Bestandnaam van de pdf waarin de boring is gerapporteerd</v>
      </c>
      <c r="O32" t="str">
        <v>String</v>
      </c>
      <c r="P32">
        <v>0</v>
      </c>
      <c r="Q32" t="str">
        <v>BORING FILENAAM PDF</v>
      </c>
      <c r="R32" t="str">
        <v>[-]</v>
      </c>
      <c r="S32" t="str">
        <f t="shared" si="9"/>
        <v>OK</v>
      </c>
      <c r="T32" t="str">
        <f t="shared" si="2"/>
        <v>OK</v>
      </c>
      <c r="U32" t="str">
        <f t="shared" si="3"/>
        <v>OK</v>
      </c>
      <c r="V32" t="str">
        <f t="shared" si="4"/>
        <v>OK</v>
      </c>
      <c r="W32" t="str">
        <f t="shared" si="5"/>
        <v>OK</v>
      </c>
      <c r="X32" t="str">
        <f t="shared" si="6"/>
        <v>OK</v>
      </c>
      <c r="Y32" t="str">
        <f t="shared" si="7"/>
        <v>OK</v>
      </c>
      <c r="Z32">
        <v>27</v>
      </c>
      <c r="AA32">
        <v>29</v>
      </c>
      <c r="AB32" t="s">
        <v>2320</v>
      </c>
      <c r="AC32" t="s">
        <v>28</v>
      </c>
      <c r="AD32" t="s">
        <v>463</v>
      </c>
      <c r="AE32" t="s">
        <v>511</v>
      </c>
      <c r="AG32" t="s">
        <v>896</v>
      </c>
      <c r="AI32" t="s">
        <v>2328</v>
      </c>
      <c r="AJ32" t="s">
        <v>1395</v>
      </c>
      <c r="AK32" t="s">
        <v>2320</v>
      </c>
      <c r="AL32" t="s">
        <v>2322</v>
      </c>
      <c r="AN32" t="str">
        <f t="shared" si="10"/>
        <v>OK</v>
      </c>
      <c r="AO32" t="str">
        <f t="shared" si="11"/>
        <v>OK</v>
      </c>
      <c r="AP32" t="str">
        <f t="shared" si="12"/>
        <v>OK</v>
      </c>
      <c r="AR32" t="str">
        <f t="shared" si="13"/>
        <v>OK</v>
      </c>
      <c r="AS32" t="str">
        <f t="shared" si="14"/>
        <v>OK</v>
      </c>
      <c r="AT32" t="str">
        <f t="shared" si="15"/>
        <v>NOK</v>
      </c>
      <c r="AU32" t="str">
        <f t="shared" si="16"/>
        <v>OK</v>
      </c>
      <c r="AV32" t="str">
        <f t="shared" si="17"/>
        <v>OK</v>
      </c>
      <c r="AW32" t="str">
        <f t="shared" si="18"/>
        <v>OK</v>
      </c>
    </row>
    <row r="33" spans="1:49">
      <c r="A33">
        <f>Dbase_velden_versie4_2!A29</f>
        <v>29</v>
      </c>
      <c r="B33" t="str">
        <f>Dbase_velden_versie4_2!B29</f>
        <v>BORING_FILENAAM_GEF</v>
      </c>
      <c r="C33" t="str">
        <f>Dbase_velden_versie4_2!C29</f>
        <v>-</v>
      </c>
      <c r="D33" t="str">
        <f>Dbase_velden_versie4_2!D29</f>
        <v>Bestandsnaam van het GEF-bestand waarin de beschrijving van de boring is opgenomen</v>
      </c>
      <c r="E33" t="str">
        <f>Dbase_velden_versie4_2!E29</f>
        <v>String</v>
      </c>
      <c r="F33">
        <f>Dbase_velden_versie4_2!F29</f>
        <v>0</v>
      </c>
      <c r="G33" t="str">
        <f>Dbase_velden_versie4_2!G29</f>
        <v>BORING FILENAAM GEF</v>
      </c>
      <c r="H33" t="str">
        <f>Dbase_velden_versie4_2!H29</f>
        <v>[-]</v>
      </c>
      <c r="I33" t="str">
        <f>Dbase_velden_versie4_2!I29</f>
        <v>BORING</v>
      </c>
      <c r="J33" t="str">
        <f>Dbase_velden_versie4_2!J29</f>
        <v>Kenmerken van de boring</v>
      </c>
      <c r="K33">
        <v>29</v>
      </c>
      <c r="L33" t="str">
        <v>BORING_FILENAAM_GEF</v>
      </c>
      <c r="M33" t="str">
        <v>-</v>
      </c>
      <c r="N33" t="str">
        <v>Bestandsnaam van het GEF-bestand waarin de beschrijving van de boring is opgenomen</v>
      </c>
      <c r="O33" t="str">
        <v>String</v>
      </c>
      <c r="P33">
        <v>0</v>
      </c>
      <c r="Q33" t="str">
        <v>BORING FILENAAM GEF</v>
      </c>
      <c r="R33" t="str">
        <v>[-]</v>
      </c>
      <c r="S33" t="str">
        <f t="shared" si="9"/>
        <v>OK</v>
      </c>
      <c r="T33" t="str">
        <f t="shared" si="2"/>
        <v>OK</v>
      </c>
      <c r="U33" t="str">
        <f t="shared" si="3"/>
        <v>OK</v>
      </c>
      <c r="V33" t="str">
        <f t="shared" si="4"/>
        <v>OK</v>
      </c>
      <c r="W33" t="str">
        <f t="shared" si="5"/>
        <v>OK</v>
      </c>
      <c r="X33" t="str">
        <f t="shared" si="6"/>
        <v>OK</v>
      </c>
      <c r="Y33" t="str">
        <f t="shared" si="7"/>
        <v>OK</v>
      </c>
      <c r="Z33">
        <v>28</v>
      </c>
      <c r="AA33">
        <v>30</v>
      </c>
      <c r="AB33" t="s">
        <v>2320</v>
      </c>
      <c r="AC33" t="s">
        <v>29</v>
      </c>
      <c r="AD33" t="s">
        <v>463</v>
      </c>
      <c r="AE33" t="s">
        <v>512</v>
      </c>
      <c r="AG33" t="s">
        <v>896</v>
      </c>
      <c r="AI33" t="s">
        <v>2329</v>
      </c>
      <c r="AJ33" t="s">
        <v>1395</v>
      </c>
      <c r="AK33" t="s">
        <v>2320</v>
      </c>
      <c r="AL33" t="s">
        <v>2322</v>
      </c>
      <c r="AN33" t="str">
        <f t="shared" si="10"/>
        <v>OK</v>
      </c>
      <c r="AO33" t="str">
        <f t="shared" si="11"/>
        <v>OK</v>
      </c>
      <c r="AP33" t="str">
        <f t="shared" si="12"/>
        <v>OK</v>
      </c>
      <c r="AR33" t="str">
        <f t="shared" si="13"/>
        <v>OK</v>
      </c>
      <c r="AS33" t="str">
        <f t="shared" si="14"/>
        <v>OK</v>
      </c>
      <c r="AT33" t="str">
        <f t="shared" si="15"/>
        <v>NOK</v>
      </c>
      <c r="AU33" t="str">
        <f t="shared" si="16"/>
        <v>OK</v>
      </c>
      <c r="AV33" t="str">
        <f t="shared" si="17"/>
        <v>OK</v>
      </c>
      <c r="AW33" t="str">
        <f t="shared" si="18"/>
        <v>OK</v>
      </c>
    </row>
    <row r="34" spans="1:49">
      <c r="A34">
        <f>Dbase_velden_versie4_2!A30</f>
        <v>30</v>
      </c>
      <c r="B34" t="str">
        <f>Dbase_velden_versie4_2!B30</f>
        <v>BORING_BEDRIJF</v>
      </c>
      <c r="C34" t="str">
        <f>Dbase_velden_versie4_2!C30</f>
        <v>-</v>
      </c>
      <c r="D34" t="str">
        <f>Dbase_velden_versie4_2!D30</f>
        <v>Naam van het bedrijf dat de boring heeft uitgevoerd</v>
      </c>
      <c r="E34" t="str">
        <f>Dbase_velden_versie4_2!E30</f>
        <v>String</v>
      </c>
      <c r="F34">
        <f>Dbase_velden_versie4_2!F30</f>
        <v>0</v>
      </c>
      <c r="G34" t="str">
        <f>Dbase_velden_versie4_2!G30</f>
        <v>BORING BEDRIJF</v>
      </c>
      <c r="H34" t="str">
        <f>Dbase_velden_versie4_2!H30</f>
        <v>[-]</v>
      </c>
      <c r="I34" t="str">
        <f>Dbase_velden_versie4_2!I30</f>
        <v>BORING</v>
      </c>
      <c r="J34" t="str">
        <f>Dbase_velden_versie4_2!J30</f>
        <v>Kenmerken van de boring</v>
      </c>
      <c r="K34">
        <v>30</v>
      </c>
      <c r="L34" t="str">
        <v>BORING_BEDRIJF</v>
      </c>
      <c r="M34" t="str">
        <v>-</v>
      </c>
      <c r="N34" t="str">
        <v>Naam van het bedrijf dat de boring heeft uitgevoerd</v>
      </c>
      <c r="O34" t="str">
        <v>String</v>
      </c>
      <c r="P34">
        <v>0</v>
      </c>
      <c r="Q34" t="str">
        <v>BORING BEDRIJF</v>
      </c>
      <c r="R34" t="str">
        <v>[-]</v>
      </c>
      <c r="S34" t="str">
        <f t="shared" si="9"/>
        <v>OK</v>
      </c>
      <c r="T34" t="str">
        <f t="shared" si="2"/>
        <v>OK</v>
      </c>
      <c r="U34" t="str">
        <f t="shared" si="3"/>
        <v>OK</v>
      </c>
      <c r="V34" t="str">
        <f t="shared" si="4"/>
        <v>OK</v>
      </c>
      <c r="W34" t="str">
        <f t="shared" si="5"/>
        <v>OK</v>
      </c>
      <c r="X34" t="str">
        <f t="shared" si="6"/>
        <v>OK</v>
      </c>
      <c r="Y34" t="str">
        <f t="shared" si="7"/>
        <v>OK</v>
      </c>
      <c r="Z34">
        <v>29</v>
      </c>
      <c r="AA34">
        <v>31</v>
      </c>
      <c r="AB34" t="s">
        <v>2320</v>
      </c>
      <c r="AC34" t="s">
        <v>30</v>
      </c>
      <c r="AD34" t="s">
        <v>463</v>
      </c>
      <c r="AE34" t="s">
        <v>513</v>
      </c>
      <c r="AG34" t="s">
        <v>896</v>
      </c>
      <c r="AI34" t="s">
        <v>2330</v>
      </c>
      <c r="AJ34" t="s">
        <v>1395</v>
      </c>
      <c r="AK34" t="s">
        <v>2320</v>
      </c>
      <c r="AL34" t="s">
        <v>2322</v>
      </c>
      <c r="AN34" t="str">
        <f t="shared" si="10"/>
        <v>OK</v>
      </c>
      <c r="AO34" t="str">
        <f t="shared" si="11"/>
        <v>OK</v>
      </c>
      <c r="AP34" t="str">
        <f t="shared" si="12"/>
        <v>OK</v>
      </c>
      <c r="AR34" t="str">
        <f t="shared" si="13"/>
        <v>OK</v>
      </c>
      <c r="AS34" t="str">
        <f t="shared" si="14"/>
        <v>OK</v>
      </c>
      <c r="AT34" t="str">
        <f t="shared" si="15"/>
        <v>NOK</v>
      </c>
      <c r="AU34" t="str">
        <f t="shared" si="16"/>
        <v>OK</v>
      </c>
      <c r="AV34" t="str">
        <f t="shared" si="17"/>
        <v>OK</v>
      </c>
      <c r="AW34" t="str">
        <f t="shared" si="18"/>
        <v>OK</v>
      </c>
    </row>
    <row r="35" spans="1:49">
      <c r="A35">
        <f>Dbase_velden_versie4_2!A31</f>
        <v>31</v>
      </c>
      <c r="B35" t="str">
        <f>Dbase_velden_versie4_2!B31</f>
        <v>BORING_BOORMEESTER</v>
      </c>
      <c r="C35" t="str">
        <f>Dbase_velden_versie4_2!C31</f>
        <v>-</v>
      </c>
      <c r="D35" t="str">
        <f>Dbase_velden_versie4_2!D31</f>
        <v>Naam van de boormeester die de boring heeft uitgevoerd</v>
      </c>
      <c r="E35" t="str">
        <f>Dbase_velden_versie4_2!E31</f>
        <v>String</v>
      </c>
      <c r="F35">
        <f>Dbase_velden_versie4_2!F31</f>
        <v>0</v>
      </c>
      <c r="G35" t="str">
        <f>Dbase_velden_versie4_2!G31</f>
        <v>BORING BOORMEESTER</v>
      </c>
      <c r="H35" t="str">
        <f>Dbase_velden_versie4_2!H31</f>
        <v>[-]</v>
      </c>
      <c r="I35" t="str">
        <f>Dbase_velden_versie4_2!I31</f>
        <v>BORING</v>
      </c>
      <c r="J35" t="str">
        <f>Dbase_velden_versie4_2!J31</f>
        <v>Kenmerken van de boring</v>
      </c>
      <c r="K35">
        <v>31</v>
      </c>
      <c r="L35" t="str">
        <v>BORING_BOORMEESTER</v>
      </c>
      <c r="M35" t="str">
        <v>-</v>
      </c>
      <c r="N35" t="str">
        <v>Naam van de boormeester die de boring heeft uitgevoerd</v>
      </c>
      <c r="O35" t="str">
        <v>String</v>
      </c>
      <c r="P35">
        <v>0</v>
      </c>
      <c r="Q35" t="str">
        <v>BORING BOORMEESTER</v>
      </c>
      <c r="R35" t="str">
        <v>[-]</v>
      </c>
      <c r="S35" t="str">
        <f t="shared" si="9"/>
        <v>OK</v>
      </c>
      <c r="T35" t="str">
        <f t="shared" si="2"/>
        <v>OK</v>
      </c>
      <c r="U35" t="str">
        <f t="shared" si="3"/>
        <v>OK</v>
      </c>
      <c r="V35" t="str">
        <f t="shared" si="4"/>
        <v>OK</v>
      </c>
      <c r="W35" t="str">
        <f t="shared" si="5"/>
        <v>OK</v>
      </c>
      <c r="X35" t="str">
        <f t="shared" si="6"/>
        <v>OK</v>
      </c>
      <c r="Y35" t="str">
        <f t="shared" si="7"/>
        <v>OK</v>
      </c>
      <c r="Z35">
        <v>30</v>
      </c>
      <c r="AA35">
        <v>32</v>
      </c>
      <c r="AB35" t="s">
        <v>2320</v>
      </c>
      <c r="AC35" t="s">
        <v>31</v>
      </c>
      <c r="AD35" t="s">
        <v>463</v>
      </c>
      <c r="AE35" t="s">
        <v>514</v>
      </c>
      <c r="AG35" t="s">
        <v>896</v>
      </c>
      <c r="AI35" t="s">
        <v>2331</v>
      </c>
      <c r="AJ35" t="s">
        <v>1395</v>
      </c>
      <c r="AK35" t="s">
        <v>2320</v>
      </c>
      <c r="AL35" t="s">
        <v>2322</v>
      </c>
      <c r="AN35" t="str">
        <f t="shared" si="10"/>
        <v>OK</v>
      </c>
      <c r="AO35" t="str">
        <f t="shared" si="11"/>
        <v>OK</v>
      </c>
      <c r="AP35" t="str">
        <f t="shared" si="12"/>
        <v>OK</v>
      </c>
      <c r="AR35" t="str">
        <f t="shared" si="13"/>
        <v>OK</v>
      </c>
      <c r="AS35" t="str">
        <f t="shared" si="14"/>
        <v>OK</v>
      </c>
      <c r="AT35" t="str">
        <f t="shared" si="15"/>
        <v>NOK</v>
      </c>
      <c r="AU35" t="str">
        <f t="shared" si="16"/>
        <v>OK</v>
      </c>
      <c r="AV35" t="str">
        <f t="shared" si="17"/>
        <v>OK</v>
      </c>
      <c r="AW35" t="str">
        <f t="shared" si="18"/>
        <v>OK</v>
      </c>
    </row>
    <row r="36" spans="1:49">
      <c r="A36">
        <f>Dbase_velden_versie4_2!A32</f>
        <v>32</v>
      </c>
      <c r="B36" t="str">
        <f>Dbase_velden_versie4_2!B32</f>
        <v>BORING_METHODE</v>
      </c>
      <c r="C36" t="str">
        <f>Dbase_velden_versie4_2!C32</f>
        <v>-</v>
      </c>
      <c r="D36" t="str">
        <f>Dbase_velden_versie4_2!D32</f>
        <v>Methode van boren en monstername</v>
      </c>
      <c r="E36" t="str">
        <f>Dbase_velden_versie4_2!E32</f>
        <v>String</v>
      </c>
      <c r="F36">
        <f>Dbase_velden_versie4_2!F32</f>
        <v>0</v>
      </c>
      <c r="G36" t="str">
        <f>Dbase_velden_versie4_2!G32</f>
        <v>BORING METHODE</v>
      </c>
      <c r="H36" t="str">
        <f>Dbase_velden_versie4_2!H32</f>
        <v>[-]</v>
      </c>
      <c r="I36" t="str">
        <f>Dbase_velden_versie4_2!I32</f>
        <v>BORING</v>
      </c>
      <c r="J36" t="str">
        <f>Dbase_velden_versie4_2!J32</f>
        <v>Kenmerken van de boring</v>
      </c>
      <c r="K36">
        <v>32</v>
      </c>
      <c r="L36" t="str">
        <v>BORING_METHODE</v>
      </c>
      <c r="M36" t="str">
        <v>-</v>
      </c>
      <c r="N36" t="str">
        <v>Methode van boren en monstername</v>
      </c>
      <c r="O36" t="str">
        <v>String</v>
      </c>
      <c r="P36">
        <v>0</v>
      </c>
      <c r="Q36" t="str">
        <v>BORING METHODE</v>
      </c>
      <c r="R36" t="str">
        <v>[-]</v>
      </c>
      <c r="S36" t="str">
        <f t="shared" si="9"/>
        <v>OK</v>
      </c>
      <c r="T36" t="str">
        <f t="shared" si="2"/>
        <v>OK</v>
      </c>
      <c r="U36" t="str">
        <f t="shared" si="3"/>
        <v>OK</v>
      </c>
      <c r="V36" t="str">
        <f t="shared" si="4"/>
        <v>OK</v>
      </c>
      <c r="W36" t="str">
        <f t="shared" si="5"/>
        <v>OK</v>
      </c>
      <c r="X36" t="str">
        <f t="shared" si="6"/>
        <v>OK</v>
      </c>
      <c r="Y36" t="str">
        <f t="shared" si="7"/>
        <v>OK</v>
      </c>
      <c r="Z36">
        <v>31</v>
      </c>
      <c r="AA36">
        <v>33</v>
      </c>
      <c r="AB36" t="s">
        <v>2320</v>
      </c>
      <c r="AC36" t="s">
        <v>32</v>
      </c>
      <c r="AD36" t="s">
        <v>463</v>
      </c>
      <c r="AE36" t="s">
        <v>515</v>
      </c>
      <c r="AG36" t="s">
        <v>896</v>
      </c>
      <c r="AI36" t="s">
        <v>2332</v>
      </c>
      <c r="AJ36" t="s">
        <v>1395</v>
      </c>
      <c r="AK36" t="s">
        <v>2320</v>
      </c>
      <c r="AL36" t="s">
        <v>2322</v>
      </c>
      <c r="AN36" t="str">
        <f t="shared" si="10"/>
        <v>OK</v>
      </c>
      <c r="AO36" t="str">
        <f t="shared" si="11"/>
        <v>OK</v>
      </c>
      <c r="AP36" t="str">
        <f t="shared" si="12"/>
        <v>OK</v>
      </c>
      <c r="AR36" t="str">
        <f t="shared" si="13"/>
        <v>OK</v>
      </c>
      <c r="AS36" t="str">
        <f t="shared" si="14"/>
        <v>OK</v>
      </c>
      <c r="AT36" t="str">
        <f t="shared" si="15"/>
        <v>NOK</v>
      </c>
      <c r="AU36" t="str">
        <f t="shared" si="16"/>
        <v>OK</v>
      </c>
      <c r="AV36" t="str">
        <f t="shared" si="17"/>
        <v>OK</v>
      </c>
      <c r="AW36" t="str">
        <f t="shared" si="18"/>
        <v>OK</v>
      </c>
    </row>
    <row r="37" spans="1:49">
      <c r="A37">
        <f>Dbase_velden_versie4_2!A33</f>
        <v>33</v>
      </c>
      <c r="B37" t="str">
        <f>Dbase_velden_versie4_2!B33</f>
        <v>BORING_OPNAME_GWS</v>
      </c>
      <c r="C37" t="str">
        <f>Dbase_velden_versie4_2!C33</f>
        <v>m NAP</v>
      </c>
      <c r="D37" t="str">
        <f>Dbase_velden_versie4_2!D33</f>
        <v>De tijdens het boren gemeten grondwaterstand in het boorgat</v>
      </c>
      <c r="E37" t="str">
        <f>Dbase_velden_versie4_2!E33</f>
        <v>Double</v>
      </c>
      <c r="F37">
        <f>Dbase_velden_versie4_2!F33</f>
        <v>0</v>
      </c>
      <c r="G37" t="str">
        <f>Dbase_velden_versie4_2!G33</f>
        <v>BORING OPNAME GWS</v>
      </c>
      <c r="H37" t="str">
        <f>Dbase_velden_versie4_2!H33</f>
        <v>[m NAP]</v>
      </c>
      <c r="I37" t="str">
        <f>Dbase_velden_versie4_2!I33</f>
        <v>BORING</v>
      </c>
      <c r="J37" t="str">
        <f>Dbase_velden_versie4_2!J33</f>
        <v>Kenmerken van de boring</v>
      </c>
      <c r="K37">
        <v>33</v>
      </c>
      <c r="L37" t="str">
        <v>BORING_OPNAME_GWS</v>
      </c>
      <c r="M37" t="str">
        <v>m NAP</v>
      </c>
      <c r="N37" t="str">
        <v>De tijdens het boren gemeten grondwaterstand in het boorgat</v>
      </c>
      <c r="O37" t="str">
        <v>Double</v>
      </c>
      <c r="P37">
        <v>0</v>
      </c>
      <c r="Q37" t="str">
        <v>BORING OPNAME GWS</v>
      </c>
      <c r="R37" t="str">
        <v>[m NAP]</v>
      </c>
      <c r="S37" t="str">
        <f t="shared" si="9"/>
        <v>OK</v>
      </c>
      <c r="T37" t="str">
        <f t="shared" si="2"/>
        <v>OK</v>
      </c>
      <c r="U37" t="str">
        <f t="shared" si="3"/>
        <v>OK</v>
      </c>
      <c r="V37" t="str">
        <f t="shared" si="4"/>
        <v>OK</v>
      </c>
      <c r="W37" t="str">
        <f t="shared" si="5"/>
        <v>OK</v>
      </c>
      <c r="X37" t="str">
        <f t="shared" si="6"/>
        <v>OK</v>
      </c>
      <c r="Y37" t="str">
        <f t="shared" si="7"/>
        <v>OK</v>
      </c>
      <c r="Z37">
        <v>32</v>
      </c>
      <c r="AA37">
        <v>34</v>
      </c>
      <c r="AB37" t="s">
        <v>2320</v>
      </c>
      <c r="AC37" t="s">
        <v>33</v>
      </c>
      <c r="AD37" t="s">
        <v>465</v>
      </c>
      <c r="AE37" t="s">
        <v>516</v>
      </c>
      <c r="AG37" t="s">
        <v>897</v>
      </c>
      <c r="AI37" t="s">
        <v>2333</v>
      </c>
      <c r="AJ37" t="s">
        <v>1397</v>
      </c>
      <c r="AK37" t="s">
        <v>2320</v>
      </c>
      <c r="AL37" t="s">
        <v>2322</v>
      </c>
      <c r="AN37" t="str">
        <f t="shared" si="10"/>
        <v>OK</v>
      </c>
      <c r="AO37" t="str">
        <f t="shared" si="11"/>
        <v>OK</v>
      </c>
      <c r="AP37" t="str">
        <f t="shared" si="12"/>
        <v>OK</v>
      </c>
      <c r="AR37" t="str">
        <f t="shared" si="13"/>
        <v>OK</v>
      </c>
      <c r="AS37" t="str">
        <f t="shared" si="14"/>
        <v>OK</v>
      </c>
      <c r="AT37" t="str">
        <f t="shared" si="15"/>
        <v>NOK</v>
      </c>
      <c r="AU37" t="str">
        <f t="shared" si="16"/>
        <v>OK</v>
      </c>
      <c r="AV37" t="str">
        <f t="shared" si="17"/>
        <v>OK</v>
      </c>
      <c r="AW37" t="str">
        <f t="shared" si="18"/>
        <v>OK</v>
      </c>
    </row>
    <row r="38" spans="1:49">
      <c r="A38">
        <f>Dbase_velden_versie4_2!A34</f>
        <v>34</v>
      </c>
      <c r="B38" t="str">
        <f>Dbase_velden_versie4_2!B34</f>
        <v>BORING_GLG</v>
      </c>
      <c r="C38" t="str">
        <f>Dbase_velden_versie4_2!C34</f>
        <v>m NAP</v>
      </c>
      <c r="D38" t="str">
        <f>Dbase_velden_versie4_2!D34</f>
        <v>De tijdens het boren vastgestelde GLG (Gemiddeld Laagste Grondwaterstand)</v>
      </c>
      <c r="E38" t="str">
        <f>Dbase_velden_versie4_2!E34</f>
        <v>Double</v>
      </c>
      <c r="F38" t="str">
        <f>Dbase_velden_versie4_2!F34</f>
        <v>-100,0 - +500,0</v>
      </c>
      <c r="G38" t="str">
        <f>Dbase_velden_versie4_2!G34</f>
        <v>BORING GLG</v>
      </c>
      <c r="H38" t="str">
        <f>Dbase_velden_versie4_2!H34</f>
        <v>[m NAP]</v>
      </c>
      <c r="I38" t="str">
        <f>Dbase_velden_versie4_2!I34</f>
        <v>BORING</v>
      </c>
      <c r="J38" t="str">
        <f>Dbase_velden_versie4_2!J34</f>
        <v>Kenmerken van de boring</v>
      </c>
      <c r="K38">
        <v>34</v>
      </c>
      <c r="L38" t="str">
        <v>BORING_GLG</v>
      </c>
      <c r="M38" t="str">
        <v>m NAP</v>
      </c>
      <c r="N38" t="str">
        <v>De tijdens het boren vastgestelde GLG (Gemiddeld Laagste Grondwaterstand)</v>
      </c>
      <c r="O38" t="str">
        <v>Double</v>
      </c>
      <c r="P38" t="str">
        <v>-100,0 - +500,0</v>
      </c>
      <c r="Q38" t="str">
        <v>BORING GLG</v>
      </c>
      <c r="R38" t="str">
        <v>[m NAP]</v>
      </c>
      <c r="S38" t="str">
        <f t="shared" si="9"/>
        <v>OK</v>
      </c>
      <c r="T38" t="str">
        <f t="shared" si="2"/>
        <v>OK</v>
      </c>
      <c r="U38" t="str">
        <f t="shared" si="3"/>
        <v>OK</v>
      </c>
      <c r="V38" t="str">
        <f t="shared" si="4"/>
        <v>OK</v>
      </c>
      <c r="W38" t="str">
        <f t="shared" si="5"/>
        <v>OK</v>
      </c>
      <c r="X38" t="str">
        <f t="shared" si="6"/>
        <v>OK</v>
      </c>
      <c r="Y38" t="str">
        <f t="shared" si="7"/>
        <v>OK</v>
      </c>
      <c r="Z38">
        <v>33</v>
      </c>
      <c r="AA38">
        <v>35</v>
      </c>
      <c r="AB38" t="s">
        <v>2320</v>
      </c>
      <c r="AC38" t="s">
        <v>34</v>
      </c>
      <c r="AD38" t="s">
        <v>465</v>
      </c>
      <c r="AE38" t="s">
        <v>517</v>
      </c>
      <c r="AG38" t="s">
        <v>897</v>
      </c>
      <c r="AH38" t="s">
        <v>905</v>
      </c>
      <c r="AI38" s="25" t="s">
        <v>2334</v>
      </c>
      <c r="AJ38" t="s">
        <v>1397</v>
      </c>
      <c r="AK38" t="s">
        <v>2320</v>
      </c>
      <c r="AL38" t="s">
        <v>2322</v>
      </c>
      <c r="AN38" t="str">
        <f t="shared" si="10"/>
        <v>OK</v>
      </c>
      <c r="AO38" t="str">
        <f t="shared" si="11"/>
        <v>OK</v>
      </c>
      <c r="AP38" t="str">
        <f t="shared" si="12"/>
        <v>OK</v>
      </c>
      <c r="AR38" t="str">
        <f t="shared" si="13"/>
        <v>OK</v>
      </c>
      <c r="AS38" t="str">
        <f t="shared" si="14"/>
        <v>OK</v>
      </c>
      <c r="AT38" t="str">
        <f t="shared" si="15"/>
        <v>NOK</v>
      </c>
      <c r="AU38" t="str">
        <f t="shared" si="16"/>
        <v>OK</v>
      </c>
      <c r="AV38" t="str">
        <f t="shared" si="17"/>
        <v>OK</v>
      </c>
      <c r="AW38" t="str">
        <f t="shared" si="18"/>
        <v>OK</v>
      </c>
    </row>
    <row r="39" spans="1:49">
      <c r="A39">
        <f>Dbase_velden_versie4_2!A35</f>
        <v>35</v>
      </c>
      <c r="B39" t="str">
        <f>Dbase_velden_versie4_2!B35</f>
        <v>MONSTER_ID</v>
      </c>
      <c r="C39" t="str">
        <f>Dbase_velden_versie4_2!C35</f>
        <v>-</v>
      </c>
      <c r="D39" t="str">
        <f>Dbase_velden_versie4_2!D35</f>
        <v>Monsternummering van de boring</v>
      </c>
      <c r="E39" t="str">
        <f>Dbase_velden_versie4_2!E35</f>
        <v>String</v>
      </c>
      <c r="F39">
        <f>Dbase_velden_versie4_2!F35</f>
        <v>0</v>
      </c>
      <c r="G39" t="str">
        <f>Dbase_velden_versie4_2!G35</f>
        <v>MONSTER ID</v>
      </c>
      <c r="H39" t="str">
        <f>Dbase_velden_versie4_2!H35</f>
        <v>[-]</v>
      </c>
      <c r="I39" t="str">
        <f>Dbase_velden_versie4_2!I35</f>
        <v>MONSTER</v>
      </c>
      <c r="J39" t="str">
        <f>Dbase_velden_versie4_2!J35</f>
        <v>Kenmerken van het monster</v>
      </c>
      <c r="K39">
        <v>35</v>
      </c>
      <c r="L39" t="str">
        <v>MONSTER_ID</v>
      </c>
      <c r="M39" t="str">
        <v>-</v>
      </c>
      <c r="N39" t="str">
        <v>Monsternummering van de boring</v>
      </c>
      <c r="O39" t="str">
        <v>String</v>
      </c>
      <c r="P39">
        <v>0</v>
      </c>
      <c r="Q39" t="str">
        <v>MONSTER ID</v>
      </c>
      <c r="R39" t="str">
        <v>[-]</v>
      </c>
      <c r="S39" t="str">
        <f t="shared" si="9"/>
        <v>OK</v>
      </c>
      <c r="T39" t="str">
        <f t="shared" si="2"/>
        <v>OK</v>
      </c>
      <c r="U39" t="str">
        <f t="shared" si="3"/>
        <v>OK</v>
      </c>
      <c r="V39" t="str">
        <f t="shared" si="4"/>
        <v>OK</v>
      </c>
      <c r="W39" t="str">
        <f t="shared" si="5"/>
        <v>OK</v>
      </c>
      <c r="X39" t="str">
        <f t="shared" si="6"/>
        <v>OK</v>
      </c>
      <c r="Y39" t="str">
        <f t="shared" si="7"/>
        <v>OK</v>
      </c>
      <c r="Z39">
        <v>34</v>
      </c>
      <c r="AA39">
        <v>36</v>
      </c>
      <c r="AB39" t="s">
        <v>2335</v>
      </c>
      <c r="AC39" t="s">
        <v>35</v>
      </c>
      <c r="AD39" t="s">
        <v>463</v>
      </c>
      <c r="AE39" t="s">
        <v>518</v>
      </c>
      <c r="AG39" t="s">
        <v>896</v>
      </c>
      <c r="AI39" t="s">
        <v>2336</v>
      </c>
      <c r="AJ39" t="s">
        <v>1395</v>
      </c>
      <c r="AK39" t="s">
        <v>2335</v>
      </c>
      <c r="AL39" t="s">
        <v>2337</v>
      </c>
      <c r="AN39" t="str">
        <f t="shared" si="10"/>
        <v>OK</v>
      </c>
      <c r="AO39" t="str">
        <f t="shared" si="11"/>
        <v>OK</v>
      </c>
      <c r="AP39" t="str">
        <f t="shared" si="12"/>
        <v>OK</v>
      </c>
      <c r="AR39" t="str">
        <f t="shared" si="13"/>
        <v>OK</v>
      </c>
      <c r="AS39" t="str">
        <f t="shared" si="14"/>
        <v>OK</v>
      </c>
      <c r="AT39" t="str">
        <f t="shared" si="15"/>
        <v>NOK</v>
      </c>
      <c r="AU39" t="str">
        <f t="shared" si="16"/>
        <v>OK</v>
      </c>
      <c r="AV39" t="str">
        <f t="shared" si="17"/>
        <v>OK</v>
      </c>
      <c r="AW39" t="str">
        <f t="shared" si="18"/>
        <v>OK</v>
      </c>
    </row>
    <row r="40" spans="1:49">
      <c r="A40">
        <f>Dbase_velden_versie4_2!A36</f>
        <v>36</v>
      </c>
      <c r="B40" t="str">
        <f>Dbase_velden_versie4_2!B36</f>
        <v>MONSTER_STEEKMETHODE</v>
      </c>
      <c r="C40" t="str">
        <f>Dbase_velden_versie4_2!C36</f>
        <v>-</v>
      </c>
      <c r="D40" t="str">
        <f>Dbase_velden_versie4_2!D36</f>
        <v>Methode van steken / drukken van ongeroerde / geroerde monster. Bijvoorbeeld: Ackerman, dunwandig, ongeroerd, gedrukt</v>
      </c>
      <c r="E40" t="str">
        <f>Dbase_velden_versie4_2!E36</f>
        <v>String</v>
      </c>
      <c r="F40">
        <f>Dbase_velden_versie4_2!F36</f>
        <v>0</v>
      </c>
      <c r="G40" t="str">
        <f>Dbase_velden_versie4_2!G36</f>
        <v>MONSTER STEEKMETHODE</v>
      </c>
      <c r="H40" t="str">
        <f>Dbase_velden_versie4_2!H36</f>
        <v>[-]</v>
      </c>
      <c r="I40" t="str">
        <f>Dbase_velden_versie4_2!I36</f>
        <v>MONSTER</v>
      </c>
      <c r="J40" t="str">
        <f>Dbase_velden_versie4_2!J36</f>
        <v>Kenmerken van het monster</v>
      </c>
      <c r="K40">
        <v>36</v>
      </c>
      <c r="L40" t="str">
        <v>MONSTER_STEEKMETHODE</v>
      </c>
      <c r="M40" t="str">
        <v>-</v>
      </c>
      <c r="N40" t="str">
        <v>Methode van steken / drukken van ongeroerde / geroerde monster. Bijvoorbeeld: Ackerman, dunwandig, ongeroerd, gedrukt</v>
      </c>
      <c r="O40" t="str">
        <v>String</v>
      </c>
      <c r="P40">
        <v>0</v>
      </c>
      <c r="Q40" t="str">
        <v>MONSTER STEEKMETHODE</v>
      </c>
      <c r="R40" t="str">
        <v>[-]</v>
      </c>
      <c r="S40" t="str">
        <f t="shared" si="9"/>
        <v>OK</v>
      </c>
      <c r="T40" t="str">
        <f t="shared" si="2"/>
        <v>OK</v>
      </c>
      <c r="U40" t="str">
        <f t="shared" si="3"/>
        <v>OK</v>
      </c>
      <c r="V40" t="str">
        <f t="shared" si="4"/>
        <v>OK</v>
      </c>
      <c r="W40" t="str">
        <f t="shared" si="5"/>
        <v>OK</v>
      </c>
      <c r="X40" t="str">
        <f t="shared" si="6"/>
        <v>OK</v>
      </c>
      <c r="Y40" t="str">
        <f t="shared" si="7"/>
        <v>OK</v>
      </c>
      <c r="Z40">
        <v>35</v>
      </c>
      <c r="AA40">
        <v>37</v>
      </c>
      <c r="AB40" t="s">
        <v>2335</v>
      </c>
      <c r="AC40" t="s">
        <v>36</v>
      </c>
      <c r="AD40" t="s">
        <v>463</v>
      </c>
      <c r="AE40" t="s">
        <v>519</v>
      </c>
      <c r="AG40" t="s">
        <v>896</v>
      </c>
      <c r="AI40" t="s">
        <v>2338</v>
      </c>
      <c r="AJ40" t="s">
        <v>1395</v>
      </c>
      <c r="AK40" t="s">
        <v>2335</v>
      </c>
      <c r="AL40" t="s">
        <v>2337</v>
      </c>
      <c r="AN40" t="str">
        <f t="shared" si="10"/>
        <v>OK</v>
      </c>
      <c r="AO40" t="str">
        <f t="shared" si="11"/>
        <v>OK</v>
      </c>
      <c r="AP40" t="str">
        <f t="shared" si="12"/>
        <v>OK</v>
      </c>
      <c r="AR40" t="str">
        <f t="shared" si="13"/>
        <v>OK</v>
      </c>
      <c r="AS40" t="str">
        <f t="shared" si="14"/>
        <v>OK</v>
      </c>
      <c r="AT40" t="str">
        <f t="shared" si="15"/>
        <v>NOK</v>
      </c>
      <c r="AU40" t="str">
        <f t="shared" si="16"/>
        <v>OK</v>
      </c>
      <c r="AV40" t="str">
        <f t="shared" si="17"/>
        <v>OK</v>
      </c>
      <c r="AW40" t="str">
        <f t="shared" si="18"/>
        <v>OK</v>
      </c>
    </row>
    <row r="41" spans="1:49">
      <c r="A41">
        <f>Dbase_velden_versie4_2!A37</f>
        <v>37</v>
      </c>
      <c r="B41" t="str">
        <f>Dbase_velden_versie4_2!B37</f>
        <v>MONSTER_OPSLAGWIJZE</v>
      </c>
      <c r="C41" t="str">
        <f>Dbase_velden_versie4_2!C37</f>
        <v>-</v>
      </c>
      <c r="D41" t="str">
        <f>Dbase_velden_versie4_2!D37</f>
        <v>Beschrijving van de manier hoe de monsters in het laboratorium zijn opgeslagen voorafgaand aan de proeven.</v>
      </c>
      <c r="E41" t="str">
        <f>Dbase_velden_versie4_2!E37</f>
        <v>String</v>
      </c>
      <c r="F41">
        <f>Dbase_velden_versie4_2!F37</f>
        <v>0</v>
      </c>
      <c r="G41" t="str">
        <f>Dbase_velden_versie4_2!G37</f>
        <v>MONSTER OPSLAGWIJZE</v>
      </c>
      <c r="H41" t="str">
        <f>Dbase_velden_versie4_2!H37</f>
        <v>[-]</v>
      </c>
      <c r="I41" t="str">
        <f>Dbase_velden_versie4_2!I37</f>
        <v>MONSTER</v>
      </c>
      <c r="J41" t="str">
        <f>Dbase_velden_versie4_2!J37</f>
        <v>Kenmerken van het monster</v>
      </c>
      <c r="K41">
        <v>37</v>
      </c>
      <c r="L41" t="str">
        <v>MONSTER_OPSLAGWIJZE</v>
      </c>
      <c r="M41" t="str">
        <v>-</v>
      </c>
      <c r="N41" t="str">
        <v>Beschrijving van de manier hoe de monsters in het laboratorium zijn opgeslagen voorafgaand aan de proeven.</v>
      </c>
      <c r="O41" t="str">
        <v>String</v>
      </c>
      <c r="P41">
        <v>0</v>
      </c>
      <c r="Q41" t="str">
        <v>MONSTER OPSLAGWIJZE</v>
      </c>
      <c r="R41" t="str">
        <v>[-]</v>
      </c>
      <c r="S41" t="str">
        <f t="shared" si="9"/>
        <v>OK</v>
      </c>
      <c r="T41" t="str">
        <f t="shared" si="2"/>
        <v>OK</v>
      </c>
      <c r="U41" t="str">
        <f t="shared" si="3"/>
        <v>OK</v>
      </c>
      <c r="V41" t="str">
        <f t="shared" si="4"/>
        <v>OK</v>
      </c>
      <c r="W41" t="str">
        <f t="shared" si="5"/>
        <v>OK</v>
      </c>
      <c r="X41" t="str">
        <f t="shared" si="6"/>
        <v>OK</v>
      </c>
      <c r="Y41" t="str">
        <f t="shared" si="7"/>
        <v>OK</v>
      </c>
      <c r="Z41">
        <v>36</v>
      </c>
      <c r="AA41">
        <v>38</v>
      </c>
      <c r="AB41" t="s">
        <v>2335</v>
      </c>
      <c r="AC41" t="s">
        <v>37</v>
      </c>
      <c r="AD41" t="s">
        <v>463</v>
      </c>
      <c r="AE41" t="s">
        <v>520</v>
      </c>
      <c r="AG41" t="s">
        <v>896</v>
      </c>
      <c r="AI41" t="s">
        <v>2339</v>
      </c>
      <c r="AJ41" t="s">
        <v>1395</v>
      </c>
      <c r="AK41" t="s">
        <v>2335</v>
      </c>
      <c r="AL41" t="s">
        <v>2337</v>
      </c>
      <c r="AN41" t="str">
        <f t="shared" si="10"/>
        <v>OK</v>
      </c>
      <c r="AO41" t="str">
        <f t="shared" si="11"/>
        <v>OK</v>
      </c>
      <c r="AP41" t="str">
        <f t="shared" si="12"/>
        <v>OK</v>
      </c>
      <c r="AR41" t="str">
        <f t="shared" si="13"/>
        <v>OK</v>
      </c>
      <c r="AS41" t="str">
        <f t="shared" si="14"/>
        <v>OK</v>
      </c>
      <c r="AT41" t="str">
        <f t="shared" si="15"/>
        <v>NOK</v>
      </c>
      <c r="AU41" t="str">
        <f t="shared" si="16"/>
        <v>OK</v>
      </c>
      <c r="AV41" t="str">
        <f t="shared" si="17"/>
        <v>OK</v>
      </c>
      <c r="AW41" t="str">
        <f t="shared" si="18"/>
        <v>OK</v>
      </c>
    </row>
    <row r="42" spans="1:49">
      <c r="A42">
        <f>Dbase_velden_versie4_2!A38</f>
        <v>38</v>
      </c>
      <c r="B42" t="str">
        <f>Dbase_velden_versie4_2!B38</f>
        <v>MONSTER_NIVEAU_NAP_VANAF</v>
      </c>
      <c r="C42" t="str">
        <f>Dbase_velden_versie4_2!C38</f>
        <v>m NAP</v>
      </c>
      <c r="D42" t="str">
        <f>Dbase_velden_versie4_2!D38</f>
        <v>Niveau van het monster (bovenkant) van de classificatieproeven tov m NAP</v>
      </c>
      <c r="E42" t="str">
        <f>Dbase_velden_versie4_2!E38</f>
        <v>Double</v>
      </c>
      <c r="F42" t="str">
        <f>Dbase_velden_versie4_2!F38</f>
        <v>-100,0 - +500,0</v>
      </c>
      <c r="G42" t="str">
        <f>Dbase_velden_versie4_2!G38</f>
        <v>MONSTER NIVEAU NAP VANAF</v>
      </c>
      <c r="H42" t="str">
        <f>Dbase_velden_versie4_2!H38</f>
        <v>[m NAP]</v>
      </c>
      <c r="I42" t="str">
        <f>Dbase_velden_versie4_2!I38</f>
        <v>MONSTER</v>
      </c>
      <c r="J42" t="str">
        <f>Dbase_velden_versie4_2!J38</f>
        <v>Kenmerken van het monster</v>
      </c>
      <c r="K42">
        <v>38</v>
      </c>
      <c r="L42" t="str">
        <v>MONSTER_NIVEAU_NAP_VANAF</v>
      </c>
      <c r="M42" t="str">
        <v>m NAP</v>
      </c>
      <c r="N42" t="str">
        <v>Niveau van het monster (bovenkant) van de classificatieproeven tov m NAP</v>
      </c>
      <c r="O42" t="str">
        <v>Double</v>
      </c>
      <c r="P42" t="str">
        <v>-100,0 - +500,0</v>
      </c>
      <c r="Q42" t="str">
        <v>MONSTER NIVEAU NAP VANAF</v>
      </c>
      <c r="R42" t="str">
        <v>[m NAP]</v>
      </c>
      <c r="S42" t="str">
        <f t="shared" si="9"/>
        <v>OK</v>
      </c>
      <c r="T42" t="str">
        <f t="shared" si="2"/>
        <v>OK</v>
      </c>
      <c r="U42" t="str">
        <f t="shared" si="3"/>
        <v>OK</v>
      </c>
      <c r="V42" t="str">
        <f t="shared" si="4"/>
        <v>OK</v>
      </c>
      <c r="W42" t="str">
        <f t="shared" si="5"/>
        <v>OK</v>
      </c>
      <c r="X42" t="str">
        <f t="shared" si="6"/>
        <v>OK</v>
      </c>
      <c r="Y42" t="str">
        <f t="shared" si="7"/>
        <v>OK</v>
      </c>
      <c r="Z42">
        <v>37</v>
      </c>
      <c r="AA42">
        <v>39</v>
      </c>
      <c r="AB42" t="s">
        <v>2335</v>
      </c>
      <c r="AC42" t="s">
        <v>38</v>
      </c>
      <c r="AD42" t="s">
        <v>465</v>
      </c>
      <c r="AE42" t="s">
        <v>521</v>
      </c>
      <c r="AG42" t="s">
        <v>897</v>
      </c>
      <c r="AH42" t="s">
        <v>905</v>
      </c>
      <c r="AI42" t="s">
        <v>2340</v>
      </c>
      <c r="AJ42" t="s">
        <v>1397</v>
      </c>
      <c r="AK42" t="s">
        <v>2335</v>
      </c>
      <c r="AL42" t="s">
        <v>2337</v>
      </c>
      <c r="AN42" t="str">
        <f t="shared" si="10"/>
        <v>OK</v>
      </c>
      <c r="AO42" t="str">
        <f t="shared" si="11"/>
        <v>OK</v>
      </c>
      <c r="AP42" t="str">
        <f t="shared" si="12"/>
        <v>OK</v>
      </c>
      <c r="AR42" t="str">
        <f t="shared" si="13"/>
        <v>OK</v>
      </c>
      <c r="AS42" t="str">
        <f t="shared" si="14"/>
        <v>OK</v>
      </c>
      <c r="AT42" t="str">
        <f t="shared" si="15"/>
        <v>NOK</v>
      </c>
      <c r="AU42" t="str">
        <f t="shared" si="16"/>
        <v>OK</v>
      </c>
      <c r="AV42" t="str">
        <f t="shared" si="17"/>
        <v>OK</v>
      </c>
      <c r="AW42" t="str">
        <f t="shared" si="18"/>
        <v>OK</v>
      </c>
    </row>
    <row r="43" spans="1:49">
      <c r="A43">
        <f>Dbase_velden_versie4_2!A39</f>
        <v>39</v>
      </c>
      <c r="B43" t="str">
        <f>Dbase_velden_versie4_2!B39</f>
        <v>MONSTER_NIVEAU_NAP_TOT</v>
      </c>
      <c r="C43" t="str">
        <f>Dbase_velden_versie4_2!C39</f>
        <v>m NAP</v>
      </c>
      <c r="D43" t="str">
        <f>Dbase_velden_versie4_2!D39</f>
        <v>Niveau van het monster (onderkant) van de classificatieproeven tov m NAP</v>
      </c>
      <c r="E43" t="str">
        <f>Dbase_velden_versie4_2!E39</f>
        <v>Double</v>
      </c>
      <c r="F43" t="str">
        <f>Dbase_velden_versie4_2!F39</f>
        <v>-100,0 - +500,0</v>
      </c>
      <c r="G43" t="str">
        <f>Dbase_velden_versie4_2!G39</f>
        <v>MONSTER NIVEAU NAP TOT</v>
      </c>
      <c r="H43" t="str">
        <f>Dbase_velden_versie4_2!H39</f>
        <v>[m NAP]</v>
      </c>
      <c r="I43" t="str">
        <f>Dbase_velden_versie4_2!I39</f>
        <v>MONSTER</v>
      </c>
      <c r="J43" t="str">
        <f>Dbase_velden_versie4_2!J39</f>
        <v>Kenmerken van het monster</v>
      </c>
      <c r="K43">
        <v>39</v>
      </c>
      <c r="L43" t="str">
        <v>MONSTER_NIVEAU_NAP_TOT</v>
      </c>
      <c r="M43" t="str">
        <v>m NAP</v>
      </c>
      <c r="N43" t="str">
        <v>Niveau van het monster (onderkant) van de classificatieproeven tov m NAP</v>
      </c>
      <c r="O43" t="str">
        <v>Double</v>
      </c>
      <c r="P43" t="str">
        <v>-100,0 - +500,0</v>
      </c>
      <c r="Q43" t="str">
        <v>MONSTER NIVEAU NAP TOT</v>
      </c>
      <c r="R43" t="str">
        <v>[m NAP]</v>
      </c>
      <c r="S43" t="str">
        <f t="shared" si="9"/>
        <v>OK</v>
      </c>
      <c r="T43" t="str">
        <f t="shared" si="2"/>
        <v>OK</v>
      </c>
      <c r="U43" t="str">
        <f t="shared" si="3"/>
        <v>OK</v>
      </c>
      <c r="V43" t="str">
        <f t="shared" si="4"/>
        <v>OK</v>
      </c>
      <c r="W43" t="str">
        <f t="shared" si="5"/>
        <v>OK</v>
      </c>
      <c r="X43" t="str">
        <f t="shared" si="6"/>
        <v>OK</v>
      </c>
      <c r="Y43" t="str">
        <f t="shared" si="7"/>
        <v>OK</v>
      </c>
      <c r="Z43">
        <v>38</v>
      </c>
      <c r="AA43">
        <v>40</v>
      </c>
      <c r="AB43" t="s">
        <v>2335</v>
      </c>
      <c r="AC43" t="s">
        <v>39</v>
      </c>
      <c r="AD43" t="s">
        <v>465</v>
      </c>
      <c r="AE43" t="s">
        <v>522</v>
      </c>
      <c r="AG43" t="s">
        <v>897</v>
      </c>
      <c r="AH43" t="s">
        <v>905</v>
      </c>
      <c r="AI43" t="s">
        <v>2341</v>
      </c>
      <c r="AJ43" t="s">
        <v>1397</v>
      </c>
      <c r="AK43" t="s">
        <v>2335</v>
      </c>
      <c r="AL43" t="s">
        <v>2337</v>
      </c>
      <c r="AN43" t="str">
        <f t="shared" si="10"/>
        <v>OK</v>
      </c>
      <c r="AO43" t="str">
        <f t="shared" si="11"/>
        <v>OK</v>
      </c>
      <c r="AP43" t="str">
        <f t="shared" si="12"/>
        <v>OK</v>
      </c>
      <c r="AR43" t="str">
        <f t="shared" si="13"/>
        <v>OK</v>
      </c>
      <c r="AS43" t="str">
        <f t="shared" si="14"/>
        <v>OK</v>
      </c>
      <c r="AT43" t="str">
        <f t="shared" si="15"/>
        <v>NOK</v>
      </c>
      <c r="AU43" t="str">
        <f t="shared" si="16"/>
        <v>OK</v>
      </c>
      <c r="AV43" t="str">
        <f t="shared" si="17"/>
        <v>OK</v>
      </c>
      <c r="AW43" t="str">
        <f t="shared" si="18"/>
        <v>OK</v>
      </c>
    </row>
    <row r="44" spans="1:49">
      <c r="A44">
        <f>Dbase_velden_versie4_2!A40</f>
        <v>40</v>
      </c>
      <c r="B44" t="str">
        <f>Dbase_velden_versie4_2!B40</f>
        <v>MONSTER_NIVEAU_MV_VANAF</v>
      </c>
      <c r="C44" t="str">
        <f>Dbase_velden_versie4_2!C40</f>
        <v>m</v>
      </c>
      <c r="D44" t="str">
        <f>Dbase_velden_versie4_2!D40</f>
        <v>Niveau van het monster (bovenkant) van de classificatieproeven tov m MV</v>
      </c>
      <c r="E44" t="str">
        <f>Dbase_velden_versie4_2!E40</f>
        <v>Double</v>
      </c>
      <c r="F44" t="str">
        <f>Dbase_velden_versie4_2!F40</f>
        <v>+0,0 - +50,0</v>
      </c>
      <c r="G44" t="str">
        <f>Dbase_velden_versie4_2!G40</f>
        <v>MONSTER NIVEAU MV VANAF</v>
      </c>
      <c r="H44" t="str">
        <f>Dbase_velden_versie4_2!H40</f>
        <v>[m]</v>
      </c>
      <c r="I44" t="str">
        <f>Dbase_velden_versie4_2!I40</f>
        <v>MONSTER</v>
      </c>
      <c r="J44" t="str">
        <f>Dbase_velden_versie4_2!J40</f>
        <v>Kenmerken van het monster</v>
      </c>
      <c r="K44">
        <v>40</v>
      </c>
      <c r="L44" t="str">
        <v>MONSTER_NIVEAU_MV_VANAF</v>
      </c>
      <c r="M44" t="str">
        <v>m</v>
      </c>
      <c r="N44" t="str">
        <v>Niveau van het monster (bovenkant) van de classificatieproeven tov m MV</v>
      </c>
      <c r="O44" t="str">
        <v>Double</v>
      </c>
      <c r="P44" t="str">
        <v>+0,0 - +50,0</v>
      </c>
      <c r="Q44" t="str">
        <v>MONSTER NIVEAU MV VANAF</v>
      </c>
      <c r="R44" t="str">
        <v>[m]</v>
      </c>
      <c r="S44" t="str">
        <f t="shared" si="9"/>
        <v>OK</v>
      </c>
      <c r="T44" t="str">
        <f t="shared" si="2"/>
        <v>OK</v>
      </c>
      <c r="U44" t="str">
        <f t="shared" si="3"/>
        <v>OK</v>
      </c>
      <c r="V44" t="str">
        <f t="shared" si="4"/>
        <v>OK</v>
      </c>
      <c r="W44" t="str">
        <f t="shared" si="5"/>
        <v>OK</v>
      </c>
      <c r="X44" t="str">
        <f t="shared" si="6"/>
        <v>OK</v>
      </c>
      <c r="Y44" t="str">
        <f t="shared" si="7"/>
        <v>OK</v>
      </c>
      <c r="Z44">
        <v>39</v>
      </c>
      <c r="AA44">
        <v>41</v>
      </c>
      <c r="AB44" t="s">
        <v>2335</v>
      </c>
      <c r="AC44" t="s">
        <v>40</v>
      </c>
      <c r="AD44" t="s">
        <v>464</v>
      </c>
      <c r="AE44" t="s">
        <v>523</v>
      </c>
      <c r="AG44" t="s">
        <v>897</v>
      </c>
      <c r="AH44" t="s">
        <v>906</v>
      </c>
      <c r="AI44" t="s">
        <v>2342</v>
      </c>
      <c r="AJ44" t="s">
        <v>1396</v>
      </c>
      <c r="AK44" t="s">
        <v>2335</v>
      </c>
      <c r="AL44" t="s">
        <v>2337</v>
      </c>
      <c r="AN44" t="str">
        <f t="shared" si="10"/>
        <v>OK</v>
      </c>
      <c r="AO44" t="str">
        <f t="shared" si="11"/>
        <v>OK</v>
      </c>
      <c r="AP44" t="str">
        <f t="shared" si="12"/>
        <v>OK</v>
      </c>
      <c r="AR44" t="str">
        <f t="shared" si="13"/>
        <v>OK</v>
      </c>
      <c r="AS44" t="str">
        <f t="shared" si="14"/>
        <v>OK</v>
      </c>
      <c r="AT44" t="str">
        <f t="shared" si="15"/>
        <v>NOK</v>
      </c>
      <c r="AU44" t="str">
        <f t="shared" si="16"/>
        <v>OK</v>
      </c>
      <c r="AV44" t="str">
        <f t="shared" si="17"/>
        <v>OK</v>
      </c>
      <c r="AW44" t="str">
        <f t="shared" si="18"/>
        <v>OK</v>
      </c>
    </row>
    <row r="45" spans="1:49">
      <c r="A45">
        <f>Dbase_velden_versie4_2!A41</f>
        <v>41</v>
      </c>
      <c r="B45" t="str">
        <f>Dbase_velden_versie4_2!B41</f>
        <v>MONSTER_NIVEAU_MV_TOT</v>
      </c>
      <c r="C45" t="str">
        <f>Dbase_velden_versie4_2!C41</f>
        <v>m</v>
      </c>
      <c r="D45" t="str">
        <f>Dbase_velden_versie4_2!D41</f>
        <v>Niveau van het monster (onderkant) van de classificatieproeven tov m MV</v>
      </c>
      <c r="E45" t="str">
        <f>Dbase_velden_versie4_2!E41</f>
        <v>Double</v>
      </c>
      <c r="F45" t="str">
        <f>Dbase_velden_versie4_2!F41</f>
        <v>+0,0 - +50,0</v>
      </c>
      <c r="G45" t="str">
        <f>Dbase_velden_versie4_2!G41</f>
        <v>MONSTER NIVEAU MV TOT</v>
      </c>
      <c r="H45" t="str">
        <f>Dbase_velden_versie4_2!H41</f>
        <v>[m]</v>
      </c>
      <c r="I45" t="str">
        <f>Dbase_velden_versie4_2!I41</f>
        <v>MONSTER</v>
      </c>
      <c r="J45" t="str">
        <f>Dbase_velden_versie4_2!J41</f>
        <v>Kenmerken van het monster</v>
      </c>
      <c r="K45">
        <v>41</v>
      </c>
      <c r="L45" t="str">
        <v>MONSTER_NIVEAU_MV_TOT</v>
      </c>
      <c r="M45" t="str">
        <v>m</v>
      </c>
      <c r="N45" t="str">
        <v>Niveau van het monster (onderkant) van de classificatieproeven tov m MV</v>
      </c>
      <c r="O45" t="str">
        <v>Double</v>
      </c>
      <c r="P45" t="str">
        <v>+0,0 - +50,0</v>
      </c>
      <c r="Q45" t="str">
        <v>MONSTER NIVEAU MV TOT</v>
      </c>
      <c r="R45" t="str">
        <v>[m]</v>
      </c>
      <c r="S45" t="str">
        <f t="shared" si="9"/>
        <v>OK</v>
      </c>
      <c r="T45" t="str">
        <f t="shared" si="2"/>
        <v>OK</v>
      </c>
      <c r="U45" t="str">
        <f t="shared" si="3"/>
        <v>OK</v>
      </c>
      <c r="V45" t="str">
        <f t="shared" si="4"/>
        <v>OK</v>
      </c>
      <c r="W45" t="str">
        <f t="shared" si="5"/>
        <v>OK</v>
      </c>
      <c r="X45" t="str">
        <f t="shared" si="6"/>
        <v>OK</v>
      </c>
      <c r="Y45" t="str">
        <f t="shared" si="7"/>
        <v>OK</v>
      </c>
      <c r="Z45">
        <v>40</v>
      </c>
      <c r="AA45">
        <v>42</v>
      </c>
      <c r="AB45" t="s">
        <v>2335</v>
      </c>
      <c r="AC45" t="s">
        <v>41</v>
      </c>
      <c r="AD45" t="s">
        <v>464</v>
      </c>
      <c r="AE45" t="s">
        <v>524</v>
      </c>
      <c r="AG45" t="s">
        <v>897</v>
      </c>
      <c r="AH45" t="s">
        <v>906</v>
      </c>
      <c r="AI45" t="s">
        <v>2343</v>
      </c>
      <c r="AJ45" t="s">
        <v>1396</v>
      </c>
      <c r="AK45" t="s">
        <v>2335</v>
      </c>
      <c r="AL45" t="s">
        <v>2337</v>
      </c>
      <c r="AN45" t="str">
        <f t="shared" si="10"/>
        <v>OK</v>
      </c>
      <c r="AO45" t="str">
        <f t="shared" si="11"/>
        <v>OK</v>
      </c>
      <c r="AP45" t="str">
        <f t="shared" si="12"/>
        <v>OK</v>
      </c>
      <c r="AR45" t="str">
        <f t="shared" si="13"/>
        <v>OK</v>
      </c>
      <c r="AS45" t="str">
        <f t="shared" si="14"/>
        <v>OK</v>
      </c>
      <c r="AT45" t="str">
        <f t="shared" si="15"/>
        <v>NOK</v>
      </c>
      <c r="AU45" t="str">
        <f t="shared" si="16"/>
        <v>OK</v>
      </c>
      <c r="AV45" t="str">
        <f t="shared" si="17"/>
        <v>OK</v>
      </c>
      <c r="AW45" t="str">
        <f t="shared" si="18"/>
        <v>OK</v>
      </c>
    </row>
    <row r="46" spans="1:49">
      <c r="A46">
        <f>Dbase_velden_versie4_2!A42</f>
        <v>42</v>
      </c>
      <c r="B46" t="str">
        <f>Dbase_velden_versie4_2!B42</f>
        <v>MONSTER_TOTAAL_VOLUMEGEWICHT</v>
      </c>
      <c r="C46" t="str">
        <f>Dbase_velden_versie4_2!C42</f>
        <v>kN/m3</v>
      </c>
      <c r="D46" t="str">
        <f>Dbase_velden_versie4_2!D42</f>
        <v>Meting van het totale volumegewicht van het monstermateriaal (gecorrigeerd o.b.v. volume monster)</v>
      </c>
      <c r="E46" t="str">
        <f>Dbase_velden_versie4_2!E42</f>
        <v>Double</v>
      </c>
      <c r="F46">
        <f>Dbase_velden_versie4_2!F42</f>
        <v>0</v>
      </c>
      <c r="G46" t="str">
        <f>Dbase_velden_versie4_2!G42</f>
        <v>MONSTER TOTAAL VOLUMEGEWICHT</v>
      </c>
      <c r="H46" t="str">
        <f>Dbase_velden_versie4_2!H42</f>
        <v>[kN/m3]</v>
      </c>
      <c r="I46" t="str">
        <f>Dbase_velden_versie4_2!I42</f>
        <v>MONSTER</v>
      </c>
      <c r="J46" t="str">
        <f>Dbase_velden_versie4_2!J42</f>
        <v>Kenmerken van het monster</v>
      </c>
      <c r="K46">
        <v>42</v>
      </c>
      <c r="L46" t="str">
        <v>MONSTER_TOTAAL_VOLUMEGEWICHT</v>
      </c>
      <c r="M46" t="str">
        <v>kN/m3</v>
      </c>
      <c r="N46" t="str">
        <v>Meting van het totale volumegewicht van het monstermateriaal (gecorrigeerd o.b.v. volume monster)</v>
      </c>
      <c r="O46" t="str">
        <v>Double</v>
      </c>
      <c r="P46">
        <v>0</v>
      </c>
      <c r="Q46" t="str">
        <v>MONSTER TOTAAL VOLUMEGEWICHT</v>
      </c>
      <c r="R46" t="str">
        <v>[kN/m3]</v>
      </c>
      <c r="S46" t="str">
        <f t="shared" si="9"/>
        <v>OK</v>
      </c>
      <c r="T46" t="str">
        <f t="shared" si="2"/>
        <v>OK</v>
      </c>
      <c r="U46" t="str">
        <f t="shared" si="3"/>
        <v>OK</v>
      </c>
      <c r="V46" t="str">
        <f t="shared" si="4"/>
        <v>OK</v>
      </c>
      <c r="W46" t="str">
        <f t="shared" si="5"/>
        <v>OK</v>
      </c>
      <c r="X46" t="str">
        <f t="shared" si="6"/>
        <v>OK</v>
      </c>
      <c r="Y46" t="str">
        <f t="shared" si="7"/>
        <v>OK</v>
      </c>
      <c r="Z46">
        <v>41</v>
      </c>
      <c r="AA46">
        <v>43</v>
      </c>
      <c r="AB46" t="s">
        <v>2335</v>
      </c>
      <c r="AC46" t="s">
        <v>42</v>
      </c>
      <c r="AD46" t="s">
        <v>467</v>
      </c>
      <c r="AE46" t="s">
        <v>525</v>
      </c>
      <c r="AG46" t="s">
        <v>897</v>
      </c>
      <c r="AI46" t="s">
        <v>2344</v>
      </c>
      <c r="AJ46" t="s">
        <v>1399</v>
      </c>
      <c r="AK46" t="s">
        <v>2335</v>
      </c>
      <c r="AL46" t="s">
        <v>2337</v>
      </c>
      <c r="AN46" t="str">
        <f t="shared" si="10"/>
        <v>OK</v>
      </c>
      <c r="AO46" t="str">
        <f t="shared" si="11"/>
        <v>OK</v>
      </c>
      <c r="AP46" t="str">
        <f t="shared" si="12"/>
        <v>OK</v>
      </c>
      <c r="AR46" t="str">
        <f t="shared" si="13"/>
        <v>OK</v>
      </c>
      <c r="AS46" t="str">
        <f t="shared" si="14"/>
        <v>OK</v>
      </c>
      <c r="AT46" t="str">
        <f t="shared" si="15"/>
        <v>NOK</v>
      </c>
      <c r="AU46" t="str">
        <f t="shared" si="16"/>
        <v>OK</v>
      </c>
      <c r="AV46" t="str">
        <f t="shared" si="17"/>
        <v>OK</v>
      </c>
      <c r="AW46" t="str">
        <f t="shared" si="18"/>
        <v>OK</v>
      </c>
    </row>
    <row r="47" spans="1:49">
      <c r="A47">
        <f>Dbase_velden_versie4_2!A43</f>
        <v>43</v>
      </c>
      <c r="B47" t="str">
        <f>Dbase_velden_versie4_2!B43</f>
        <v>CLAS_FILENAAM_PDF</v>
      </c>
      <c r="C47" t="str">
        <f>Dbase_velden_versie4_2!C43</f>
        <v>-</v>
      </c>
      <c r="D47" t="str">
        <f>Dbase_velden_versie4_2!D43</f>
        <v>Bestandnaam van de pdf waarin de classificatieproeven zijn gerapporteerd</v>
      </c>
      <c r="E47" t="str">
        <f>Dbase_velden_versie4_2!E43</f>
        <v>String</v>
      </c>
      <c r="F47">
        <f>Dbase_velden_versie4_2!F43</f>
        <v>0</v>
      </c>
      <c r="G47" t="str">
        <f>Dbase_velden_versie4_2!G43</f>
        <v>CLAS FILENAAM PDF</v>
      </c>
      <c r="H47" t="str">
        <f>Dbase_velden_versie4_2!H43</f>
        <v>[-]</v>
      </c>
      <c r="I47" t="str">
        <f>Dbase_velden_versie4_2!I43</f>
        <v>CLAS</v>
      </c>
      <c r="J47" t="str">
        <f>Dbase_velden_versie4_2!J43</f>
        <v>Classificatieproeven</v>
      </c>
      <c r="K47">
        <v>43</v>
      </c>
      <c r="L47" t="str">
        <v>CLAS_FILENAAM_PDF</v>
      </c>
      <c r="M47" t="str">
        <v>-</v>
      </c>
      <c r="N47" t="str">
        <v>Bestandnaam van de pdf waarin de classificatieproeven zijn gerapporteerd</v>
      </c>
      <c r="O47" t="str">
        <v>String</v>
      </c>
      <c r="P47">
        <v>0</v>
      </c>
      <c r="Q47" t="str">
        <v>CLAS FILENAAM PDF</v>
      </c>
      <c r="R47" t="str">
        <v>[-]</v>
      </c>
      <c r="S47" t="str">
        <f t="shared" si="9"/>
        <v>OK</v>
      </c>
      <c r="T47" t="str">
        <f t="shared" si="2"/>
        <v>OK</v>
      </c>
      <c r="U47" t="str">
        <f t="shared" si="3"/>
        <v>OK</v>
      </c>
      <c r="V47" t="str">
        <f t="shared" si="4"/>
        <v>OK</v>
      </c>
      <c r="W47" t="str">
        <f t="shared" si="5"/>
        <v>OK</v>
      </c>
      <c r="X47" t="str">
        <f t="shared" si="6"/>
        <v>OK</v>
      </c>
      <c r="Y47" t="str">
        <f t="shared" si="7"/>
        <v>OK</v>
      </c>
      <c r="Z47">
        <v>42</v>
      </c>
      <c r="AA47">
        <v>44</v>
      </c>
      <c r="AB47" t="s">
        <v>2345</v>
      </c>
      <c r="AC47" t="s">
        <v>43</v>
      </c>
      <c r="AD47" t="s">
        <v>463</v>
      </c>
      <c r="AE47" t="s">
        <v>526</v>
      </c>
      <c r="AG47" t="s">
        <v>896</v>
      </c>
      <c r="AI47" t="s">
        <v>2328</v>
      </c>
      <c r="AJ47" t="s">
        <v>1395</v>
      </c>
      <c r="AK47" t="s">
        <v>2345</v>
      </c>
      <c r="AL47" t="s">
        <v>2346</v>
      </c>
      <c r="AN47" t="str">
        <f t="shared" si="10"/>
        <v>OK</v>
      </c>
      <c r="AO47" t="str">
        <f t="shared" si="11"/>
        <v>OK</v>
      </c>
      <c r="AP47" t="str">
        <f t="shared" si="12"/>
        <v>OK</v>
      </c>
      <c r="AR47" t="str">
        <f t="shared" si="13"/>
        <v>OK</v>
      </c>
      <c r="AS47" t="str">
        <f t="shared" si="14"/>
        <v>OK</v>
      </c>
      <c r="AT47" t="str">
        <f t="shared" si="15"/>
        <v>NOK</v>
      </c>
      <c r="AU47" t="str">
        <f t="shared" si="16"/>
        <v>OK</v>
      </c>
      <c r="AV47" t="str">
        <f t="shared" si="17"/>
        <v>OK</v>
      </c>
      <c r="AW47" t="str">
        <f t="shared" si="18"/>
        <v>OK</v>
      </c>
    </row>
    <row r="48" spans="1:49">
      <c r="A48">
        <f>Dbase_velden_versie4_2!A44</f>
        <v>44</v>
      </c>
      <c r="B48" t="str">
        <f>Dbase_velden_versie4_2!B44</f>
        <v>CLAS_FILENAAM_DIGITAAL</v>
      </c>
      <c r="C48" t="str">
        <f>Dbase_velden_versie4_2!C44</f>
        <v>-</v>
      </c>
      <c r="D48" t="str">
        <f>Dbase_velden_versie4_2!D44</f>
        <v>Bestandsnaam van de file waarin de gegevens van de classificatie conform het STOWA-format is opgenomen</v>
      </c>
      <c r="E48" t="str">
        <f>Dbase_velden_versie4_2!E44</f>
        <v>String</v>
      </c>
      <c r="F48">
        <f>Dbase_velden_versie4_2!F44</f>
        <v>0</v>
      </c>
      <c r="G48" t="str">
        <f>Dbase_velden_versie4_2!G44</f>
        <v>CLAS FILENAAM DIGITAAL</v>
      </c>
      <c r="H48" t="str">
        <f>Dbase_velden_versie4_2!H44</f>
        <v>[-]</v>
      </c>
      <c r="I48" t="str">
        <f>Dbase_velden_versie4_2!I44</f>
        <v>CLAS</v>
      </c>
      <c r="J48" t="str">
        <f>Dbase_velden_versie4_2!J44</f>
        <v>Classificatieproeven</v>
      </c>
      <c r="K48">
        <v>44</v>
      </c>
      <c r="L48" t="str">
        <v>CLAS_FILENAAM_DIGITAAL</v>
      </c>
      <c r="M48" t="str">
        <v>-</v>
      </c>
      <c r="N48" t="str">
        <v>Bestandsnaam van de file waarin de gegevens van de classificatie conform het STOWA-format is opgenomen</v>
      </c>
      <c r="O48" t="str">
        <v>String</v>
      </c>
      <c r="P48">
        <v>0</v>
      </c>
      <c r="Q48" t="str">
        <v>CLAS FILENAAM DIGITAAL</v>
      </c>
      <c r="R48" t="str">
        <v>[-]</v>
      </c>
      <c r="S48" t="str">
        <f t="shared" si="9"/>
        <v>OK</v>
      </c>
      <c r="T48" t="str">
        <f t="shared" si="2"/>
        <v>OK</v>
      </c>
      <c r="U48" t="str">
        <f t="shared" si="3"/>
        <v>OK</v>
      </c>
      <c r="V48" t="str">
        <f t="shared" si="4"/>
        <v>OK</v>
      </c>
      <c r="W48" t="str">
        <f t="shared" si="5"/>
        <v>OK</v>
      </c>
      <c r="X48" t="str">
        <f t="shared" si="6"/>
        <v>OK</v>
      </c>
      <c r="Y48" t="str">
        <f t="shared" si="7"/>
        <v>OK</v>
      </c>
      <c r="Z48">
        <v>43</v>
      </c>
      <c r="AA48">
        <v>45</v>
      </c>
      <c r="AB48" t="s">
        <v>2345</v>
      </c>
      <c r="AC48" t="s">
        <v>44</v>
      </c>
      <c r="AD48" t="s">
        <v>463</v>
      </c>
      <c r="AE48" t="s">
        <v>527</v>
      </c>
      <c r="AG48" t="s">
        <v>896</v>
      </c>
      <c r="AI48" t="s">
        <v>2347</v>
      </c>
      <c r="AJ48" t="s">
        <v>1395</v>
      </c>
      <c r="AK48" t="s">
        <v>2345</v>
      </c>
      <c r="AL48" t="s">
        <v>2346</v>
      </c>
      <c r="AN48" t="str">
        <f t="shared" si="10"/>
        <v>OK</v>
      </c>
      <c r="AO48" t="str">
        <f t="shared" si="11"/>
        <v>OK</v>
      </c>
      <c r="AP48" t="str">
        <f t="shared" si="12"/>
        <v>OK</v>
      </c>
      <c r="AR48" t="str">
        <f t="shared" si="13"/>
        <v>OK</v>
      </c>
      <c r="AS48" t="str">
        <f t="shared" si="14"/>
        <v>OK</v>
      </c>
      <c r="AT48" t="str">
        <f t="shared" si="15"/>
        <v>NOK</v>
      </c>
      <c r="AU48" t="str">
        <f t="shared" si="16"/>
        <v>OK</v>
      </c>
      <c r="AV48" t="str">
        <f t="shared" si="17"/>
        <v>OK</v>
      </c>
      <c r="AW48" t="str">
        <f t="shared" si="18"/>
        <v>OK</v>
      </c>
    </row>
    <row r="49" spans="1:51">
      <c r="A49">
        <f>Dbase_velden_versie4_2!A45</f>
        <v>45</v>
      </c>
      <c r="B49" t="str">
        <f>Dbase_velden_versie4_2!B45</f>
        <v>CLAS_MONSTERID</v>
      </c>
      <c r="C49" t="str">
        <f>Dbase_velden_versie4_2!C45</f>
        <v>-</v>
      </c>
      <c r="D49" t="str">
        <f>Dbase_velden_versie4_2!D45</f>
        <v>Monsternummering van de classificatieproeven</v>
      </c>
      <c r="E49" t="str">
        <f>Dbase_velden_versie4_2!E45</f>
        <v>String</v>
      </c>
      <c r="F49">
        <f>Dbase_velden_versie4_2!F45</f>
        <v>0</v>
      </c>
      <c r="G49" t="str">
        <f>Dbase_velden_versie4_2!G45</f>
        <v>CLAS MONSTERID</v>
      </c>
      <c r="H49" t="str">
        <f>Dbase_velden_versie4_2!H45</f>
        <v>[-]</v>
      </c>
      <c r="I49" t="str">
        <f>Dbase_velden_versie4_2!I45</f>
        <v>CLAS</v>
      </c>
      <c r="J49" t="str">
        <f>Dbase_velden_versie4_2!J45</f>
        <v>Classificatieproeven</v>
      </c>
      <c r="K49">
        <v>45</v>
      </c>
      <c r="L49" t="str">
        <v>CLAS_MONSTERID</v>
      </c>
      <c r="M49" t="str">
        <v>-</v>
      </c>
      <c r="N49" t="str">
        <v>Monsternummering van de classificatieproeven</v>
      </c>
      <c r="O49" t="str">
        <v>String</v>
      </c>
      <c r="P49">
        <v>0</v>
      </c>
      <c r="Q49" t="str">
        <v>CLAS MONSTERID</v>
      </c>
      <c r="R49" t="str">
        <v>[-]</v>
      </c>
      <c r="S49" t="str">
        <f t="shared" si="9"/>
        <v>OK</v>
      </c>
      <c r="T49" t="str">
        <f t="shared" si="2"/>
        <v>OK</v>
      </c>
      <c r="U49" t="str">
        <f t="shared" si="3"/>
        <v>OK</v>
      </c>
      <c r="V49" t="str">
        <f t="shared" si="4"/>
        <v>OK</v>
      </c>
      <c r="W49" t="str">
        <f t="shared" si="5"/>
        <v>OK</v>
      </c>
      <c r="X49" t="str">
        <f t="shared" si="6"/>
        <v>OK</v>
      </c>
      <c r="Y49" t="str">
        <f t="shared" si="7"/>
        <v>OK</v>
      </c>
      <c r="Z49">
        <v>44</v>
      </c>
      <c r="AA49">
        <v>46</v>
      </c>
      <c r="AB49" t="s">
        <v>2345</v>
      </c>
      <c r="AC49" t="s">
        <v>45</v>
      </c>
      <c r="AD49" t="s">
        <v>463</v>
      </c>
      <c r="AE49" t="s">
        <v>528</v>
      </c>
      <c r="AG49" t="s">
        <v>896</v>
      </c>
      <c r="AI49" t="s">
        <v>2348</v>
      </c>
      <c r="AJ49" t="s">
        <v>1395</v>
      </c>
      <c r="AK49" t="s">
        <v>2345</v>
      </c>
      <c r="AL49" t="s">
        <v>2346</v>
      </c>
      <c r="AN49" t="str">
        <f t="shared" si="10"/>
        <v>OK</v>
      </c>
      <c r="AO49" t="str">
        <f t="shared" si="11"/>
        <v>OK</v>
      </c>
      <c r="AP49" t="str">
        <f t="shared" si="12"/>
        <v>OK</v>
      </c>
      <c r="AR49" t="str">
        <f t="shared" si="13"/>
        <v>OK</v>
      </c>
      <c r="AS49" t="str">
        <f t="shared" si="14"/>
        <v>OK</v>
      </c>
      <c r="AT49" t="str">
        <f t="shared" si="15"/>
        <v>NOK</v>
      </c>
      <c r="AU49" t="str">
        <f t="shared" si="16"/>
        <v>OK</v>
      </c>
      <c r="AV49" t="str">
        <f t="shared" si="17"/>
        <v>OK</v>
      </c>
      <c r="AW49" t="str">
        <f t="shared" si="18"/>
        <v>OK</v>
      </c>
    </row>
    <row r="50" spans="1:51">
      <c r="A50">
        <f>Dbase_velden_versie4_2!A46</f>
        <v>46</v>
      </c>
      <c r="B50" t="str">
        <f>Dbase_velden_versie4_2!B46</f>
        <v>CLAS_LABORATORIUM</v>
      </c>
      <c r="C50" t="str">
        <f>Dbase_velden_versie4_2!C46</f>
        <v>-</v>
      </c>
      <c r="D50" t="str">
        <f>Dbase_velden_versie4_2!D46</f>
        <v>Laboratorium waar de classificatie en veenclassificatie uitgevoerd zijn.</v>
      </c>
      <c r="E50" t="str">
        <f>Dbase_velden_versie4_2!E46</f>
        <v>String</v>
      </c>
      <c r="F50">
        <f>Dbase_velden_versie4_2!F46</f>
        <v>0</v>
      </c>
      <c r="G50" t="str">
        <f>Dbase_velden_versie4_2!G46</f>
        <v>CLAS LABORATORIUM</v>
      </c>
      <c r="H50" t="str">
        <f>Dbase_velden_versie4_2!H46</f>
        <v>[-]</v>
      </c>
      <c r="I50" t="str">
        <f>Dbase_velden_versie4_2!I46</f>
        <v>CLAS</v>
      </c>
      <c r="J50" t="str">
        <f>Dbase_velden_versie4_2!J46</f>
        <v>Classificatieproeven</v>
      </c>
      <c r="K50">
        <v>46</v>
      </c>
      <c r="L50" t="str">
        <v>CLAS_LABORATORIUM</v>
      </c>
      <c r="M50" t="str">
        <v>-</v>
      </c>
      <c r="N50" t="str">
        <v>Laboratorium waar de classificatie en veenclassificatie uitgevoerd zijn.</v>
      </c>
      <c r="O50" t="str">
        <v>String</v>
      </c>
      <c r="P50">
        <v>0</v>
      </c>
      <c r="Q50" t="str">
        <v>CLAS LABORATORIUM</v>
      </c>
      <c r="R50" t="str">
        <v>[-]</v>
      </c>
      <c r="S50" t="str">
        <f t="shared" si="9"/>
        <v>OK</v>
      </c>
      <c r="T50" t="str">
        <f t="shared" si="2"/>
        <v>OK</v>
      </c>
      <c r="U50" t="str">
        <f t="shared" si="3"/>
        <v>OK</v>
      </c>
      <c r="V50" t="str">
        <f t="shared" si="4"/>
        <v>OK</v>
      </c>
      <c r="W50" t="str">
        <f t="shared" si="5"/>
        <v>OK</v>
      </c>
      <c r="X50" t="str">
        <f t="shared" si="6"/>
        <v>OK</v>
      </c>
      <c r="Y50" t="str">
        <f t="shared" si="7"/>
        <v>OK</v>
      </c>
      <c r="Z50">
        <v>45</v>
      </c>
      <c r="AA50">
        <v>47</v>
      </c>
      <c r="AB50" t="s">
        <v>2345</v>
      </c>
      <c r="AC50" t="s">
        <v>46</v>
      </c>
      <c r="AD50" t="s">
        <v>463</v>
      </c>
      <c r="AE50" t="s">
        <v>529</v>
      </c>
      <c r="AG50" t="s">
        <v>896</v>
      </c>
      <c r="AI50" t="s">
        <v>2349</v>
      </c>
      <c r="AJ50" t="s">
        <v>1395</v>
      </c>
      <c r="AK50" t="s">
        <v>2345</v>
      </c>
      <c r="AL50" t="s">
        <v>2346</v>
      </c>
      <c r="AN50" t="str">
        <f t="shared" si="10"/>
        <v>OK</v>
      </c>
      <c r="AO50" t="str">
        <f t="shared" si="11"/>
        <v>OK</v>
      </c>
      <c r="AP50" t="str">
        <f t="shared" si="12"/>
        <v>OK</v>
      </c>
      <c r="AR50" t="str">
        <f t="shared" si="13"/>
        <v>OK</v>
      </c>
      <c r="AS50" t="str">
        <f t="shared" si="14"/>
        <v>OK</v>
      </c>
      <c r="AT50" t="str">
        <f t="shared" si="15"/>
        <v>NOK</v>
      </c>
      <c r="AU50" t="str">
        <f t="shared" si="16"/>
        <v>OK</v>
      </c>
      <c r="AV50" t="str">
        <f t="shared" si="17"/>
        <v>OK</v>
      </c>
      <c r="AW50" t="str">
        <f t="shared" si="18"/>
        <v>OK</v>
      </c>
      <c r="AY50" t="s">
        <v>2350</v>
      </c>
    </row>
    <row r="51" spans="1:51">
      <c r="A51">
        <f>Dbase_velden_versie4_2!A47</f>
        <v>47</v>
      </c>
      <c r="B51" t="str">
        <f>Dbase_velden_versie4_2!B47</f>
        <v>CLAS_NORMEN</v>
      </c>
      <c r="C51" t="str">
        <f>Dbase_velden_versie4_2!C47</f>
        <v>-</v>
      </c>
      <c r="D51" t="str">
        <f>Dbase_velden_versie4_2!D47</f>
        <v>Bij de classificatie aangehouden normen</v>
      </c>
      <c r="E51" t="str">
        <f>Dbase_velden_versie4_2!E47</f>
        <v>String</v>
      </c>
      <c r="F51">
        <f>Dbase_velden_versie4_2!F47</f>
        <v>0</v>
      </c>
      <c r="G51" t="str">
        <f>Dbase_velden_versie4_2!G47</f>
        <v>CLAS NORMEN</v>
      </c>
      <c r="H51" t="str">
        <f>Dbase_velden_versie4_2!H47</f>
        <v>[-]</v>
      </c>
      <c r="I51" t="str">
        <f>Dbase_velden_versie4_2!I47</f>
        <v>CLAS</v>
      </c>
      <c r="J51" t="str">
        <f>Dbase_velden_versie4_2!J47</f>
        <v>Classificatieproeven</v>
      </c>
      <c r="K51">
        <v>47</v>
      </c>
      <c r="L51" t="str">
        <v>CLAS_NORMEN</v>
      </c>
      <c r="M51" t="str">
        <v>-</v>
      </c>
      <c r="N51" t="str">
        <v>Bij de classificatie aangehouden normen</v>
      </c>
      <c r="O51" t="str">
        <v>String</v>
      </c>
      <c r="P51">
        <v>0</v>
      </c>
      <c r="Q51" t="str">
        <v>CLAS NORMEN</v>
      </c>
      <c r="R51" t="str">
        <v>[-]</v>
      </c>
      <c r="S51" t="str">
        <f t="shared" si="9"/>
        <v>OK</v>
      </c>
      <c r="T51" t="str">
        <f t="shared" si="2"/>
        <v>OK</v>
      </c>
      <c r="U51" t="str">
        <f t="shared" si="3"/>
        <v>OK</v>
      </c>
      <c r="V51" t="str">
        <f t="shared" si="4"/>
        <v>OK</v>
      </c>
      <c r="W51" t="str">
        <f t="shared" si="5"/>
        <v>OK</v>
      </c>
      <c r="X51" t="str">
        <f t="shared" si="6"/>
        <v>OK</v>
      </c>
      <c r="Y51" t="str">
        <f t="shared" si="7"/>
        <v>OK</v>
      </c>
      <c r="Z51">
        <v>46</v>
      </c>
      <c r="AA51">
        <v>48</v>
      </c>
      <c r="AB51" t="s">
        <v>2345</v>
      </c>
      <c r="AC51" t="s">
        <v>47</v>
      </c>
      <c r="AD51" t="s">
        <v>463</v>
      </c>
      <c r="AE51" t="s">
        <v>530</v>
      </c>
      <c r="AG51" t="s">
        <v>896</v>
      </c>
      <c r="AI51" t="s">
        <v>2351</v>
      </c>
      <c r="AJ51" t="s">
        <v>1395</v>
      </c>
      <c r="AK51" t="s">
        <v>2345</v>
      </c>
      <c r="AL51" t="s">
        <v>2346</v>
      </c>
      <c r="AN51" t="str">
        <f t="shared" si="10"/>
        <v>OK</v>
      </c>
      <c r="AO51" t="str">
        <f t="shared" si="11"/>
        <v>OK</v>
      </c>
      <c r="AP51" t="str">
        <f t="shared" si="12"/>
        <v>OK</v>
      </c>
      <c r="AR51" t="str">
        <f t="shared" si="13"/>
        <v>OK</v>
      </c>
      <c r="AS51" t="str">
        <f t="shared" si="14"/>
        <v>OK</v>
      </c>
      <c r="AT51" t="str">
        <f t="shared" si="15"/>
        <v>NOK</v>
      </c>
      <c r="AU51" t="str">
        <f t="shared" si="16"/>
        <v>OK</v>
      </c>
      <c r="AV51" t="str">
        <f t="shared" si="17"/>
        <v>OK</v>
      </c>
      <c r="AW51" t="str">
        <f t="shared" si="18"/>
        <v>OK</v>
      </c>
    </row>
    <row r="52" spans="1:51">
      <c r="A52">
        <f>Dbase_velden_versie4_2!A48</f>
        <v>48</v>
      </c>
      <c r="B52" t="str">
        <f>Dbase_velden_versie4_2!B48</f>
        <v>CLAS_DATUM</v>
      </c>
      <c r="C52" t="str">
        <f>Dbase_velden_versie4_2!C48</f>
        <v>DD-MM-JJJJ</v>
      </c>
      <c r="D52" t="str">
        <f>Dbase_velden_versie4_2!D48</f>
        <v>Datum waarop de classificatieproeven zijn uitgevoerd</v>
      </c>
      <c r="E52" t="str">
        <f>Dbase_velden_versie4_2!E48</f>
        <v>Date</v>
      </c>
      <c r="F52">
        <f>Dbase_velden_versie4_2!F48</f>
        <v>0</v>
      </c>
      <c r="G52" t="str">
        <f>Dbase_velden_versie4_2!G48</f>
        <v>CLAS DATUM</v>
      </c>
      <c r="H52" t="str">
        <f>Dbase_velden_versie4_2!H48</f>
        <v>[DD-MM-JJJJ]</v>
      </c>
      <c r="I52" t="str">
        <f>Dbase_velden_versie4_2!I48</f>
        <v>CLAS</v>
      </c>
      <c r="J52" t="str">
        <f>Dbase_velden_versie4_2!J48</f>
        <v>Classificatieproeven</v>
      </c>
      <c r="K52">
        <v>48</v>
      </c>
      <c r="L52" t="str">
        <v>CLAS_DATUM</v>
      </c>
      <c r="M52" t="str">
        <v>DD-MM-JJJJ</v>
      </c>
      <c r="N52" t="str">
        <v>Datum waarop de classificatieproeven zijn uitgevoerd</v>
      </c>
      <c r="O52" t="str">
        <v>Date</v>
      </c>
      <c r="P52">
        <v>0</v>
      </c>
      <c r="Q52" t="str">
        <v>CLAS DATUM</v>
      </c>
      <c r="R52" t="str">
        <v>[DD-MM-JJJJ]</v>
      </c>
      <c r="S52" t="str">
        <f t="shared" si="9"/>
        <v>OK</v>
      </c>
      <c r="T52" t="str">
        <f t="shared" si="2"/>
        <v>OK</v>
      </c>
      <c r="U52" t="str">
        <f t="shared" si="3"/>
        <v>OK</v>
      </c>
      <c r="V52" t="str">
        <f t="shared" si="4"/>
        <v>OK</v>
      </c>
      <c r="W52" t="str">
        <f t="shared" si="5"/>
        <v>OK</v>
      </c>
      <c r="X52" t="str">
        <f t="shared" si="6"/>
        <v>OK</v>
      </c>
      <c r="Y52" t="str">
        <f t="shared" si="7"/>
        <v>OK</v>
      </c>
      <c r="Z52">
        <v>47</v>
      </c>
      <c r="AA52">
        <v>49</v>
      </c>
      <c r="AB52" t="s">
        <v>2345</v>
      </c>
      <c r="AC52" t="s">
        <v>48</v>
      </c>
      <c r="AD52" t="s">
        <v>466</v>
      </c>
      <c r="AE52" t="s">
        <v>531</v>
      </c>
      <c r="AG52" t="s">
        <v>898</v>
      </c>
      <c r="AI52" t="s">
        <v>2327</v>
      </c>
      <c r="AJ52" t="s">
        <v>1398</v>
      </c>
      <c r="AK52" t="s">
        <v>2345</v>
      </c>
      <c r="AL52" t="s">
        <v>2346</v>
      </c>
      <c r="AN52" t="str">
        <f t="shared" si="10"/>
        <v>OK</v>
      </c>
      <c r="AO52" t="str">
        <f t="shared" si="11"/>
        <v>OK</v>
      </c>
      <c r="AP52" t="str">
        <f t="shared" si="12"/>
        <v>OK</v>
      </c>
      <c r="AR52" t="str">
        <f t="shared" si="13"/>
        <v>OK</v>
      </c>
      <c r="AS52" t="str">
        <f t="shared" si="14"/>
        <v>OK</v>
      </c>
      <c r="AT52" t="str">
        <f t="shared" si="15"/>
        <v>NOK</v>
      </c>
      <c r="AU52" t="str">
        <f t="shared" si="16"/>
        <v>OK</v>
      </c>
      <c r="AV52" t="str">
        <f t="shared" si="17"/>
        <v>OK</v>
      </c>
      <c r="AW52" t="str">
        <f t="shared" si="18"/>
        <v>OK</v>
      </c>
    </row>
    <row r="53" spans="1:51">
      <c r="A53">
        <f>Dbase_velden_versie4_2!A49</f>
        <v>49</v>
      </c>
      <c r="B53" t="str">
        <f>Dbase_velden_versie4_2!B49</f>
        <v>CLAS_CLASSIFICATIE</v>
      </c>
      <c r="C53" t="str">
        <f>Dbase_velden_versie4_2!C49</f>
        <v>-</v>
      </c>
      <c r="D53" t="str">
        <f>Dbase_velden_versie4_2!D49</f>
        <v>Classificatie van de grond conform de gehanteerde norm</v>
      </c>
      <c r="E53" t="str">
        <f>Dbase_velden_versie4_2!E49</f>
        <v>String</v>
      </c>
      <c r="F53">
        <f>Dbase_velden_versie4_2!F49</f>
        <v>0</v>
      </c>
      <c r="G53" t="str">
        <f>Dbase_velden_versie4_2!G49</f>
        <v>CLAS CLASSIFICATIE</v>
      </c>
      <c r="H53" t="str">
        <f>Dbase_velden_versie4_2!H49</f>
        <v>[-]</v>
      </c>
      <c r="I53" t="str">
        <f>Dbase_velden_versie4_2!I49</f>
        <v>CLAS</v>
      </c>
      <c r="J53" t="str">
        <f>Dbase_velden_versie4_2!J49</f>
        <v>Classificatieproeven</v>
      </c>
      <c r="K53">
        <v>49</v>
      </c>
      <c r="L53" t="str">
        <v>CLAS_GRONDSOORT</v>
      </c>
      <c r="M53" t="str">
        <v>-</v>
      </c>
      <c r="N53" t="str">
        <v>Classificatie van de grond conform de gehanteerde norm</v>
      </c>
      <c r="O53" t="str">
        <v>String</v>
      </c>
      <c r="P53">
        <v>0</v>
      </c>
      <c r="Q53" t="str">
        <v>CLAS GRONDSOORT</v>
      </c>
      <c r="R53" t="str">
        <v>[-]</v>
      </c>
      <c r="S53" t="str">
        <f t="shared" si="9"/>
        <v>OK</v>
      </c>
      <c r="T53" t="str">
        <f t="shared" si="2"/>
        <v>NOK</v>
      </c>
      <c r="U53" t="str">
        <f t="shared" si="3"/>
        <v>OK</v>
      </c>
      <c r="V53" t="str">
        <f t="shared" si="4"/>
        <v>OK</v>
      </c>
      <c r="W53" t="str">
        <f t="shared" si="5"/>
        <v>OK</v>
      </c>
      <c r="X53" t="str">
        <f t="shared" si="6"/>
        <v>OK</v>
      </c>
      <c r="Y53" t="str">
        <f t="shared" si="7"/>
        <v>NOK</v>
      </c>
      <c r="Z53">
        <v>48</v>
      </c>
      <c r="AA53">
        <v>50</v>
      </c>
      <c r="AB53" t="s">
        <v>2345</v>
      </c>
      <c r="AC53" t="s">
        <v>2352</v>
      </c>
      <c r="AD53" t="s">
        <v>463</v>
      </c>
      <c r="AE53" t="s">
        <v>2353</v>
      </c>
      <c r="AG53" t="s">
        <v>896</v>
      </c>
      <c r="AH53" t="s">
        <v>2354</v>
      </c>
      <c r="AI53" t="s">
        <v>2355</v>
      </c>
      <c r="AJ53" t="s">
        <v>1395</v>
      </c>
      <c r="AK53" t="s">
        <v>2345</v>
      </c>
      <c r="AL53" t="s">
        <v>2346</v>
      </c>
      <c r="AN53" t="str">
        <f t="shared" si="10"/>
        <v>NOK</v>
      </c>
      <c r="AO53" t="str">
        <f t="shared" si="11"/>
        <v>OK</v>
      </c>
      <c r="AP53" t="str">
        <f t="shared" si="12"/>
        <v>NOK</v>
      </c>
      <c r="AR53" t="str">
        <f t="shared" si="13"/>
        <v>OK</v>
      </c>
      <c r="AS53" t="str">
        <f t="shared" si="14"/>
        <v>NOK</v>
      </c>
      <c r="AT53" t="str">
        <f t="shared" si="15"/>
        <v>NOK</v>
      </c>
      <c r="AU53" t="str">
        <f t="shared" si="16"/>
        <v>OK</v>
      </c>
      <c r="AV53" t="str">
        <f t="shared" si="17"/>
        <v>OK</v>
      </c>
      <c r="AW53" t="str">
        <f t="shared" si="18"/>
        <v>OK</v>
      </c>
    </row>
    <row r="54" spans="1:51">
      <c r="A54">
        <f>Dbase_velden_versie4_2!A50</f>
        <v>50</v>
      </c>
      <c r="B54" t="str">
        <f>Dbase_velden_versie4_2!B50</f>
        <v>CLAS_CLASSIFICATIE_BIJMENGING</v>
      </c>
      <c r="C54" t="str">
        <f>Dbase_velden_versie4_2!C50</f>
        <v>-</v>
      </c>
      <c r="D54" t="str">
        <f>Dbase_velden_versie4_2!D50</f>
        <v>Beschrijving van de bijzondere bestanddelen of secundaire of tertiaire fracties</v>
      </c>
      <c r="E54" t="str">
        <f>Dbase_velden_versie4_2!E50</f>
        <v>String</v>
      </c>
      <c r="F54">
        <f>Dbase_velden_versie4_2!F50</f>
        <v>0</v>
      </c>
      <c r="G54" t="str">
        <f>Dbase_velden_versie4_2!G50</f>
        <v>CLAS CLASSIFICATIE BIJMENGING</v>
      </c>
      <c r="H54" t="str">
        <f>Dbase_velden_versie4_2!H50</f>
        <v>[-]</v>
      </c>
      <c r="I54" t="str">
        <f>Dbase_velden_versie4_2!I50</f>
        <v>CLAS</v>
      </c>
      <c r="J54" t="str">
        <f>Dbase_velden_versie4_2!J50</f>
        <v>Classificatieproeven</v>
      </c>
      <c r="K54">
        <v>50</v>
      </c>
      <c r="L54" t="str">
        <v>CLAS_OVERIGE_BESTANDDELEN</v>
      </c>
      <c r="M54" t="str">
        <v>-</v>
      </c>
      <c r="N54" t="str">
        <v>Beschrijving van de bijzondere bestanddelen of secundaire of tertiaire fracties</v>
      </c>
      <c r="O54" t="str">
        <v>String</v>
      </c>
      <c r="P54">
        <v>0</v>
      </c>
      <c r="Q54" t="str">
        <v>CLAS OVERIGE BESTANDDELEN</v>
      </c>
      <c r="R54" t="str">
        <v>[-]</v>
      </c>
      <c r="S54" t="str">
        <f t="shared" si="9"/>
        <v>OK</v>
      </c>
      <c r="T54" t="str">
        <f t="shared" si="2"/>
        <v>NOK</v>
      </c>
      <c r="U54" t="str">
        <f t="shared" si="3"/>
        <v>OK</v>
      </c>
      <c r="V54" t="str">
        <f t="shared" si="4"/>
        <v>OK</v>
      </c>
      <c r="W54" t="str">
        <f t="shared" si="5"/>
        <v>OK</v>
      </c>
      <c r="X54" t="str">
        <f t="shared" si="6"/>
        <v>OK</v>
      </c>
      <c r="Y54" t="str">
        <f t="shared" si="7"/>
        <v>NOK</v>
      </c>
      <c r="Z54">
        <v>49</v>
      </c>
      <c r="AA54">
        <v>51</v>
      </c>
      <c r="AB54" t="s">
        <v>2345</v>
      </c>
      <c r="AC54" t="s">
        <v>2356</v>
      </c>
      <c r="AD54" t="s">
        <v>463</v>
      </c>
      <c r="AE54" t="s">
        <v>2357</v>
      </c>
      <c r="AG54" t="s">
        <v>896</v>
      </c>
      <c r="AI54" t="s">
        <v>2358</v>
      </c>
      <c r="AJ54" t="s">
        <v>1395</v>
      </c>
      <c r="AK54" t="s">
        <v>2345</v>
      </c>
      <c r="AL54" t="s">
        <v>2346</v>
      </c>
      <c r="AN54" t="str">
        <f t="shared" si="10"/>
        <v>NOK</v>
      </c>
      <c r="AO54" t="str">
        <f t="shared" si="11"/>
        <v>OK</v>
      </c>
      <c r="AP54" t="str">
        <f t="shared" si="12"/>
        <v>NOK</v>
      </c>
      <c r="AR54" t="str">
        <f t="shared" si="13"/>
        <v>OK</v>
      </c>
      <c r="AS54" t="str">
        <f t="shared" si="14"/>
        <v>OK</v>
      </c>
      <c r="AT54" t="str">
        <f t="shared" si="15"/>
        <v>NOK</v>
      </c>
      <c r="AU54" t="str">
        <f t="shared" si="16"/>
        <v>OK</v>
      </c>
      <c r="AV54" t="str">
        <f t="shared" si="17"/>
        <v>OK</v>
      </c>
      <c r="AW54" t="str">
        <f t="shared" si="18"/>
        <v>OK</v>
      </c>
    </row>
    <row r="55" spans="1:51">
      <c r="A55">
        <f>Dbase_velden_versie4_2!A51</f>
        <v>51</v>
      </c>
      <c r="B55" t="str">
        <f>Dbase_velden_versie4_2!B51</f>
        <v>CLAS_MONSTERNIVEAU</v>
      </c>
      <c r="C55" t="str">
        <f>Dbase_velden_versie4_2!C51</f>
        <v>m NAP</v>
      </c>
      <c r="D55" t="str">
        <f>Dbase_velden_versie4_2!D51</f>
        <v>Niveau van het monster van de classificatie-proef</v>
      </c>
      <c r="E55" t="str">
        <f>Dbase_velden_versie4_2!E51</f>
        <v>Double</v>
      </c>
      <c r="F55" t="str">
        <f>Dbase_velden_versie4_2!F51</f>
        <v>+10 / - 50</v>
      </c>
      <c r="G55" t="str">
        <f>Dbase_velden_versie4_2!G51</f>
        <v>CLAS MONSTERNIVEAU</v>
      </c>
      <c r="H55" t="str">
        <f>Dbase_velden_versie4_2!H51</f>
        <v>[m NAP]</v>
      </c>
      <c r="I55" t="str">
        <f>Dbase_velden_versie4_2!I51</f>
        <v>CLAS</v>
      </c>
      <c r="J55" t="str">
        <f>Dbase_velden_versie4_2!J51</f>
        <v>Classificatieproeven</v>
      </c>
      <c r="K55">
        <v>51</v>
      </c>
      <c r="L55" t="str">
        <v>CLAS_MONSTERNIVEAU</v>
      </c>
      <c r="M55" t="str">
        <v>m NAP</v>
      </c>
      <c r="N55" t="str">
        <v>Niveau van het monster van de classificatie-proef</v>
      </c>
      <c r="O55" t="str">
        <v>Double</v>
      </c>
      <c r="P55" t="str">
        <v>+10 / - 50</v>
      </c>
      <c r="Q55" t="str">
        <v>CLAS MONSTERNIVEAU</v>
      </c>
      <c r="R55" t="str">
        <v>[m NAP]</v>
      </c>
      <c r="S55" t="str">
        <f t="shared" si="9"/>
        <v>OK</v>
      </c>
      <c r="T55" t="str">
        <f t="shared" si="2"/>
        <v>OK</v>
      </c>
      <c r="U55" t="str">
        <f t="shared" si="3"/>
        <v>OK</v>
      </c>
      <c r="V55" t="str">
        <f t="shared" si="4"/>
        <v>OK</v>
      </c>
      <c r="W55" t="str">
        <f t="shared" si="5"/>
        <v>OK</v>
      </c>
      <c r="X55" t="str">
        <f t="shared" si="6"/>
        <v>OK</v>
      </c>
      <c r="Y55" t="str">
        <f t="shared" si="7"/>
        <v>OK</v>
      </c>
      <c r="Z55">
        <v>50</v>
      </c>
      <c r="AA55">
        <v>52</v>
      </c>
      <c r="AB55" t="s">
        <v>2345</v>
      </c>
      <c r="AC55" t="s">
        <v>51</v>
      </c>
      <c r="AD55" t="s">
        <v>465</v>
      </c>
      <c r="AE55" t="s">
        <v>534</v>
      </c>
      <c r="AG55" t="s">
        <v>897</v>
      </c>
      <c r="AH55" t="s">
        <v>907</v>
      </c>
      <c r="AI55" t="s">
        <v>2359</v>
      </c>
      <c r="AJ55" t="s">
        <v>1397</v>
      </c>
      <c r="AK55" t="s">
        <v>2345</v>
      </c>
      <c r="AL55" t="s">
        <v>2346</v>
      </c>
      <c r="AN55" t="str">
        <f t="shared" si="10"/>
        <v>OK</v>
      </c>
      <c r="AO55" t="str">
        <f t="shared" si="11"/>
        <v>OK</v>
      </c>
      <c r="AP55" t="str">
        <f t="shared" si="12"/>
        <v>OK</v>
      </c>
      <c r="AR55" t="str">
        <f t="shared" si="13"/>
        <v>OK</v>
      </c>
      <c r="AS55" t="str">
        <f t="shared" si="14"/>
        <v>OK</v>
      </c>
      <c r="AT55" t="str">
        <f t="shared" si="15"/>
        <v>NOK</v>
      </c>
      <c r="AU55" t="str">
        <f t="shared" si="16"/>
        <v>OK</v>
      </c>
      <c r="AV55" t="str">
        <f t="shared" si="17"/>
        <v>OK</v>
      </c>
      <c r="AW55" t="str">
        <f t="shared" si="18"/>
        <v>OK</v>
      </c>
    </row>
    <row r="56" spans="1:51">
      <c r="A56">
        <f>Dbase_velden_versie4_2!A52</f>
        <v>52</v>
      </c>
      <c r="B56" t="str">
        <f>Dbase_velden_versie4_2!B52</f>
        <v>CLAS_VOLUMEGEWICHT_NAT</v>
      </c>
      <c r="C56" t="str">
        <f>Dbase_velden_versie4_2!C52</f>
        <v>kN/m3</v>
      </c>
      <c r="D56" t="str">
        <f>Dbase_velden_versie4_2!D52</f>
        <v>Resultaat van de bepaling van het initiele volumieke gewicht conform NEN5110/5111</v>
      </c>
      <c r="E56" t="str">
        <f>Dbase_velden_versie4_2!E52</f>
        <v>Double</v>
      </c>
      <c r="F56" t="str">
        <f>Dbase_velden_versie4_2!F52</f>
        <v>+5,0 - +30,0</v>
      </c>
      <c r="G56" t="str">
        <f>Dbase_velden_versie4_2!G52</f>
        <v>CLAS VOLUMEGEWICHT NAT</v>
      </c>
      <c r="H56" t="str">
        <f>Dbase_velden_versie4_2!H52</f>
        <v>[kN/m3]</v>
      </c>
      <c r="I56" t="str">
        <f>Dbase_velden_versie4_2!I52</f>
        <v>CLAS</v>
      </c>
      <c r="J56" t="str">
        <f>Dbase_velden_versie4_2!J52</f>
        <v>Classificatieproeven</v>
      </c>
      <c r="K56">
        <v>52</v>
      </c>
      <c r="L56" t="str">
        <v>CLAS_VOLUMEGEWICHT_NAT</v>
      </c>
      <c r="M56" t="str">
        <v>kN/m3</v>
      </c>
      <c r="N56" t="str">
        <v>Resultaat van de bepaling van het initiele volumieke gewicht conform NEN5110/5111</v>
      </c>
      <c r="O56" t="str">
        <v>Double</v>
      </c>
      <c r="P56" t="str">
        <v>+5,0 - +30,0</v>
      </c>
      <c r="Q56" t="str">
        <v>CLAS VOLUMEGEWICHT NAT</v>
      </c>
      <c r="R56" t="str">
        <v>[kN/m3]</v>
      </c>
      <c r="S56" t="str">
        <f t="shared" si="9"/>
        <v>OK</v>
      </c>
      <c r="T56" t="str">
        <f t="shared" si="2"/>
        <v>OK</v>
      </c>
      <c r="U56" t="str">
        <f t="shared" si="3"/>
        <v>OK</v>
      </c>
      <c r="V56" t="str">
        <f t="shared" si="4"/>
        <v>OK</v>
      </c>
      <c r="W56" t="str">
        <f t="shared" si="5"/>
        <v>OK</v>
      </c>
      <c r="X56" t="str">
        <f t="shared" si="6"/>
        <v>OK</v>
      </c>
      <c r="Y56" t="str">
        <f t="shared" si="7"/>
        <v>OK</v>
      </c>
      <c r="Z56">
        <v>51</v>
      </c>
      <c r="AA56">
        <v>53</v>
      </c>
      <c r="AB56" t="s">
        <v>2345</v>
      </c>
      <c r="AC56" t="s">
        <v>52</v>
      </c>
      <c r="AD56" t="s">
        <v>467</v>
      </c>
      <c r="AE56" t="s">
        <v>535</v>
      </c>
      <c r="AG56" t="s">
        <v>897</v>
      </c>
      <c r="AH56" t="s">
        <v>908</v>
      </c>
      <c r="AI56" t="s">
        <v>2360</v>
      </c>
      <c r="AJ56" t="s">
        <v>1399</v>
      </c>
      <c r="AK56" t="s">
        <v>2345</v>
      </c>
      <c r="AL56" t="s">
        <v>2346</v>
      </c>
      <c r="AN56" t="str">
        <f t="shared" si="10"/>
        <v>OK</v>
      </c>
      <c r="AO56" t="str">
        <f t="shared" si="11"/>
        <v>OK</v>
      </c>
      <c r="AP56" t="str">
        <f t="shared" si="12"/>
        <v>OK</v>
      </c>
      <c r="AR56" t="str">
        <f t="shared" si="13"/>
        <v>OK</v>
      </c>
      <c r="AS56" t="str">
        <f t="shared" si="14"/>
        <v>OK</v>
      </c>
      <c r="AT56" t="str">
        <f t="shared" si="15"/>
        <v>NOK</v>
      </c>
      <c r="AU56" t="str">
        <f t="shared" si="16"/>
        <v>OK</v>
      </c>
      <c r="AV56" t="str">
        <f t="shared" si="17"/>
        <v>OK</v>
      </c>
      <c r="AW56" t="str">
        <f t="shared" si="18"/>
        <v>OK</v>
      </c>
    </row>
    <row r="57" spans="1:51">
      <c r="A57">
        <f>Dbase_velden_versie4_2!A53</f>
        <v>53</v>
      </c>
      <c r="B57" t="str">
        <f>Dbase_velden_versie4_2!B53</f>
        <v>CLAS_VOLUMEGEWICHT_DRG</v>
      </c>
      <c r="C57" t="str">
        <f>Dbase_velden_versie4_2!C53</f>
        <v>kN/m3</v>
      </c>
      <c r="D57" t="str">
        <f>Dbase_velden_versie4_2!D53</f>
        <v>Resultaat van de bepaling van het droge volumieke gewicht conform NEN5110/5111</v>
      </c>
      <c r="E57" t="str">
        <f>Dbase_velden_versie4_2!E53</f>
        <v>Double</v>
      </c>
      <c r="F57" t="str">
        <f>Dbase_velden_versie4_2!F53</f>
        <v>+0,0 - +30,0</v>
      </c>
      <c r="G57" t="str">
        <f>Dbase_velden_versie4_2!G53</f>
        <v>CLAS VOLUMEGEWICHT DRG</v>
      </c>
      <c r="H57" t="str">
        <f>Dbase_velden_versie4_2!H53</f>
        <v>[kN/m3]</v>
      </c>
      <c r="I57" t="str">
        <f>Dbase_velden_versie4_2!I53</f>
        <v>CLAS</v>
      </c>
      <c r="J57" t="str">
        <f>Dbase_velden_versie4_2!J53</f>
        <v>Classificatieproeven</v>
      </c>
      <c r="K57">
        <v>53</v>
      </c>
      <c r="L57" t="str">
        <v>CLAS_VOLUMEGEWICHT_DRG</v>
      </c>
      <c r="M57" t="str">
        <v>kN/m3</v>
      </c>
      <c r="N57" t="str">
        <v>Resultaat van de bepaling van het droge volumieke gewicht conform NEN5110/5111</v>
      </c>
      <c r="O57" t="str">
        <v>Double</v>
      </c>
      <c r="P57" t="str">
        <v>+0,0 - +30,0</v>
      </c>
      <c r="Q57" t="str">
        <v>CLAS VOLUMEGEWICHT DRG</v>
      </c>
      <c r="R57" t="str">
        <v>[kN/m3]</v>
      </c>
      <c r="S57" t="str">
        <f t="shared" si="9"/>
        <v>OK</v>
      </c>
      <c r="T57" t="str">
        <f t="shared" si="2"/>
        <v>OK</v>
      </c>
      <c r="U57" t="str">
        <f t="shared" si="3"/>
        <v>OK</v>
      </c>
      <c r="V57" t="str">
        <f t="shared" si="4"/>
        <v>OK</v>
      </c>
      <c r="W57" t="str">
        <f t="shared" si="5"/>
        <v>OK</v>
      </c>
      <c r="X57" t="str">
        <f t="shared" si="6"/>
        <v>OK</v>
      </c>
      <c r="Y57" t="str">
        <f t="shared" si="7"/>
        <v>OK</v>
      </c>
      <c r="Z57">
        <v>52</v>
      </c>
      <c r="AA57">
        <v>54</v>
      </c>
      <c r="AB57" t="s">
        <v>2345</v>
      </c>
      <c r="AC57" t="s">
        <v>53</v>
      </c>
      <c r="AD57" t="s">
        <v>467</v>
      </c>
      <c r="AE57" t="s">
        <v>536</v>
      </c>
      <c r="AG57" t="s">
        <v>897</v>
      </c>
      <c r="AH57" t="s">
        <v>909</v>
      </c>
      <c r="AI57" t="s">
        <v>2361</v>
      </c>
      <c r="AJ57" t="s">
        <v>1399</v>
      </c>
      <c r="AK57" t="s">
        <v>2345</v>
      </c>
      <c r="AL57" t="s">
        <v>2346</v>
      </c>
      <c r="AN57" t="str">
        <f t="shared" si="10"/>
        <v>OK</v>
      </c>
      <c r="AO57" t="str">
        <f t="shared" si="11"/>
        <v>OK</v>
      </c>
      <c r="AP57" t="str">
        <f t="shared" si="12"/>
        <v>OK</v>
      </c>
      <c r="AR57" t="str">
        <f t="shared" si="13"/>
        <v>OK</v>
      </c>
      <c r="AS57" t="str">
        <f t="shared" si="14"/>
        <v>OK</v>
      </c>
      <c r="AT57" t="str">
        <f t="shared" si="15"/>
        <v>NOK</v>
      </c>
      <c r="AU57" t="str">
        <f t="shared" si="16"/>
        <v>OK</v>
      </c>
      <c r="AV57" t="str">
        <f t="shared" si="17"/>
        <v>OK</v>
      </c>
      <c r="AW57" t="str">
        <f t="shared" si="18"/>
        <v>OK</v>
      </c>
    </row>
    <row r="58" spans="1:51">
      <c r="A58">
        <f>Dbase_velden_versie4_2!A54</f>
        <v>54</v>
      </c>
      <c r="B58" t="str">
        <f>Dbase_velden_versie4_2!B54</f>
        <v>CLAS_WATERGEHALTE</v>
      </c>
      <c r="C58" t="str">
        <f>Dbase_velden_versie4_2!C54</f>
        <v>%</v>
      </c>
      <c r="D58" t="str">
        <f>Dbase_velden_versie4_2!D54</f>
        <v>Resultaat van de bepaling van het initiele watergehalte conform NEN5112/5113</v>
      </c>
      <c r="E58" t="str">
        <f>Dbase_velden_versie4_2!E54</f>
        <v>Double</v>
      </c>
      <c r="F58" t="str">
        <f>Dbase_velden_versie4_2!F54</f>
        <v>0,0 - 1000,0</v>
      </c>
      <c r="G58" t="str">
        <f>Dbase_velden_versie4_2!G54</f>
        <v>CLAS WATERGEHALTE</v>
      </c>
      <c r="H58" t="str">
        <f>Dbase_velden_versie4_2!H54</f>
        <v>[%]</v>
      </c>
      <c r="I58" t="str">
        <f>Dbase_velden_versie4_2!I54</f>
        <v>CLAS</v>
      </c>
      <c r="J58" t="str">
        <f>Dbase_velden_versie4_2!J54</f>
        <v>Classificatieproeven</v>
      </c>
      <c r="K58">
        <v>54</v>
      </c>
      <c r="L58" t="str">
        <v>CLAS_WATERGEHALTE</v>
      </c>
      <c r="M58" t="str">
        <v>%</v>
      </c>
      <c r="N58" t="str">
        <v>Resultaat van de bepaling van het initiele watergehalte conform NEN5112/5113</v>
      </c>
      <c r="O58" t="str">
        <v>Double</v>
      </c>
      <c r="P58" t="str">
        <v>0,0 - 1000,0</v>
      </c>
      <c r="Q58" t="str">
        <v>CLAS WATERGEHALTE</v>
      </c>
      <c r="R58" t="str">
        <v>[%]</v>
      </c>
      <c r="S58" t="str">
        <f t="shared" si="9"/>
        <v>OK</v>
      </c>
      <c r="T58" t="str">
        <f t="shared" si="2"/>
        <v>OK</v>
      </c>
      <c r="U58" t="str">
        <f t="shared" si="3"/>
        <v>OK</v>
      </c>
      <c r="V58" t="str">
        <f t="shared" si="4"/>
        <v>OK</v>
      </c>
      <c r="W58" t="str">
        <f t="shared" si="5"/>
        <v>OK</v>
      </c>
      <c r="X58" t="str">
        <f t="shared" si="6"/>
        <v>OK</v>
      </c>
      <c r="Y58" t="str">
        <f t="shared" si="7"/>
        <v>OK</v>
      </c>
      <c r="Z58">
        <v>53</v>
      </c>
      <c r="AA58">
        <v>55</v>
      </c>
      <c r="AB58" t="s">
        <v>2345</v>
      </c>
      <c r="AC58" t="s">
        <v>54</v>
      </c>
      <c r="AD58" t="s">
        <v>468</v>
      </c>
      <c r="AE58" t="s">
        <v>537</v>
      </c>
      <c r="AG58" t="s">
        <v>897</v>
      </c>
      <c r="AH58" t="s">
        <v>910</v>
      </c>
      <c r="AI58" t="s">
        <v>2362</v>
      </c>
      <c r="AJ58" t="s">
        <v>1400</v>
      </c>
      <c r="AK58" t="s">
        <v>2345</v>
      </c>
      <c r="AL58" t="s">
        <v>2346</v>
      </c>
      <c r="AN58" t="str">
        <f t="shared" si="10"/>
        <v>OK</v>
      </c>
      <c r="AO58" t="str">
        <f t="shared" si="11"/>
        <v>OK</v>
      </c>
      <c r="AP58" t="str">
        <f t="shared" si="12"/>
        <v>OK</v>
      </c>
      <c r="AR58" t="str">
        <f t="shared" si="13"/>
        <v>OK</v>
      </c>
      <c r="AS58" t="str">
        <f t="shared" si="14"/>
        <v>OK</v>
      </c>
      <c r="AT58" t="str">
        <f t="shared" si="15"/>
        <v>NOK</v>
      </c>
      <c r="AU58" t="str">
        <f t="shared" si="16"/>
        <v>OK</v>
      </c>
      <c r="AV58" t="str">
        <f t="shared" si="17"/>
        <v>OK</v>
      </c>
      <c r="AW58" t="str">
        <f t="shared" si="18"/>
        <v>OK</v>
      </c>
    </row>
    <row r="59" spans="1:51">
      <c r="A59">
        <f>Dbase_velden_versie4_2!A55</f>
        <v>55</v>
      </c>
      <c r="B59" t="str">
        <f>Dbase_velden_versie4_2!B55</f>
        <v>CLAS_POROSITEIT</v>
      </c>
      <c r="C59" t="str">
        <f>Dbase_velden_versie4_2!C55</f>
        <v>%</v>
      </c>
      <c r="D59" t="str">
        <f>Dbase_velden_versie4_2!D55</f>
        <v>Resultaat van de bepaling van de porositeit</v>
      </c>
      <c r="E59" t="str">
        <f>Dbase_velden_versie4_2!E55</f>
        <v>Double</v>
      </c>
      <c r="F59" t="str">
        <f>Dbase_velden_versie4_2!F55</f>
        <v>0% - 100%</v>
      </c>
      <c r="G59" t="str">
        <f>Dbase_velden_versie4_2!G55</f>
        <v>CLAS POROSITEIT</v>
      </c>
      <c r="H59" t="str">
        <f>Dbase_velden_versie4_2!H55</f>
        <v>[%]</v>
      </c>
      <c r="I59" t="str">
        <f>Dbase_velden_versie4_2!I55</f>
        <v>CLAS</v>
      </c>
      <c r="J59" t="str">
        <f>Dbase_velden_versie4_2!J55</f>
        <v>Classificatieproeven</v>
      </c>
      <c r="K59">
        <v>55</v>
      </c>
      <c r="L59" t="str">
        <v>CLAS_POROSITEIT</v>
      </c>
      <c r="M59" t="str">
        <v>%</v>
      </c>
      <c r="N59" t="str">
        <v>Resultaat van de bepaling van de porositeit</v>
      </c>
      <c r="O59" t="str">
        <v>Double</v>
      </c>
      <c r="P59" t="str">
        <v>0% - 100%</v>
      </c>
      <c r="Q59" t="str">
        <v>CLAS POROSITEIT</v>
      </c>
      <c r="R59" t="str">
        <v>[%]</v>
      </c>
      <c r="S59" t="str">
        <f t="shared" si="9"/>
        <v>OK</v>
      </c>
      <c r="T59" t="str">
        <f t="shared" si="2"/>
        <v>OK</v>
      </c>
      <c r="U59" t="str">
        <f t="shared" si="3"/>
        <v>OK</v>
      </c>
      <c r="V59" t="str">
        <f t="shared" si="4"/>
        <v>OK</v>
      </c>
      <c r="W59" t="str">
        <f t="shared" si="5"/>
        <v>OK</v>
      </c>
      <c r="X59" t="str">
        <f t="shared" si="6"/>
        <v>OK</v>
      </c>
      <c r="Y59" t="str">
        <f t="shared" si="7"/>
        <v>OK</v>
      </c>
      <c r="Z59">
        <v>54</v>
      </c>
      <c r="AA59">
        <v>56</v>
      </c>
      <c r="AB59" t="s">
        <v>2345</v>
      </c>
      <c r="AC59" t="s">
        <v>55</v>
      </c>
      <c r="AD59" t="s">
        <v>468</v>
      </c>
      <c r="AE59" t="s">
        <v>538</v>
      </c>
      <c r="AG59" t="s">
        <v>897</v>
      </c>
      <c r="AH59" t="s">
        <v>911</v>
      </c>
      <c r="AI59" t="s">
        <v>2363</v>
      </c>
      <c r="AJ59" t="s">
        <v>1400</v>
      </c>
      <c r="AK59" t="s">
        <v>2345</v>
      </c>
      <c r="AL59" t="s">
        <v>2346</v>
      </c>
      <c r="AN59" t="str">
        <f t="shared" si="10"/>
        <v>OK</v>
      </c>
      <c r="AO59" t="str">
        <f t="shared" si="11"/>
        <v>OK</v>
      </c>
      <c r="AP59" t="str">
        <f t="shared" si="12"/>
        <v>OK</v>
      </c>
      <c r="AR59" t="str">
        <f t="shared" si="13"/>
        <v>OK</v>
      </c>
      <c r="AS59" t="str">
        <f t="shared" si="14"/>
        <v>OK</v>
      </c>
      <c r="AT59" t="str">
        <f t="shared" si="15"/>
        <v>NOK</v>
      </c>
      <c r="AU59" t="str">
        <f t="shared" si="16"/>
        <v>OK</v>
      </c>
      <c r="AV59" t="str">
        <f t="shared" si="17"/>
        <v>OK</v>
      </c>
      <c r="AW59" t="str">
        <f t="shared" si="18"/>
        <v>OK</v>
      </c>
    </row>
    <row r="60" spans="1:51">
      <c r="A60">
        <f>Dbase_velden_versie4_2!A56</f>
        <v>56</v>
      </c>
      <c r="B60" t="str">
        <f>Dbase_velden_versie4_2!B56</f>
        <v>CLAS_PORIENGETAL</v>
      </c>
      <c r="C60" t="str">
        <f>Dbase_velden_versie4_2!C56</f>
        <v>-</v>
      </c>
      <c r="D60" t="str">
        <f>Dbase_velden_versie4_2!D56</f>
        <v>Resultaat van de bepaling van het poriengetal conform ...</v>
      </c>
      <c r="E60" t="str">
        <f>Dbase_velden_versie4_2!E56</f>
        <v>Double</v>
      </c>
      <c r="F60" t="str">
        <f>Dbase_velden_versie4_2!F56</f>
        <v>0 - 10</v>
      </c>
      <c r="G60" t="str">
        <f>Dbase_velden_versie4_2!G56</f>
        <v>CLAS PORIENGETAL</v>
      </c>
      <c r="H60" t="str">
        <f>Dbase_velden_versie4_2!H56</f>
        <v>[-]</v>
      </c>
      <c r="I60" t="str">
        <f>Dbase_velden_versie4_2!I56</f>
        <v>CLAS</v>
      </c>
      <c r="J60" t="str">
        <f>Dbase_velden_versie4_2!J56</f>
        <v>Classificatieproeven</v>
      </c>
      <c r="K60">
        <v>56</v>
      </c>
      <c r="L60" t="str">
        <v>CLAS_PORIENGETAL</v>
      </c>
      <c r="M60" t="str">
        <v>-</v>
      </c>
      <c r="N60" t="str">
        <v>Resultaat van de bepaling van het poriengetal conform ...</v>
      </c>
      <c r="O60" t="str">
        <v>Double</v>
      </c>
      <c r="P60" t="str">
        <v>0 - 10</v>
      </c>
      <c r="Q60" t="str">
        <v>CLAS PORIENGETAL</v>
      </c>
      <c r="R60" t="str">
        <v>[-]</v>
      </c>
      <c r="S60" t="str">
        <f t="shared" si="9"/>
        <v>OK</v>
      </c>
      <c r="T60" t="str">
        <f t="shared" si="2"/>
        <v>OK</v>
      </c>
      <c r="U60" t="str">
        <f t="shared" si="3"/>
        <v>OK</v>
      </c>
      <c r="V60" t="str">
        <f t="shared" si="4"/>
        <v>OK</v>
      </c>
      <c r="W60" t="str">
        <f t="shared" si="5"/>
        <v>OK</v>
      </c>
      <c r="X60" t="str">
        <f t="shared" si="6"/>
        <v>OK</v>
      </c>
      <c r="Y60" t="str">
        <f t="shared" si="7"/>
        <v>OK</v>
      </c>
      <c r="Z60">
        <v>55</v>
      </c>
      <c r="AA60">
        <v>57</v>
      </c>
      <c r="AB60" t="s">
        <v>2345</v>
      </c>
      <c r="AC60" t="s">
        <v>56</v>
      </c>
      <c r="AD60" t="s">
        <v>463</v>
      </c>
      <c r="AE60" t="s">
        <v>539</v>
      </c>
      <c r="AG60" t="s">
        <v>897</v>
      </c>
      <c r="AH60" t="s">
        <v>912</v>
      </c>
      <c r="AI60" t="s">
        <v>2364</v>
      </c>
      <c r="AJ60" t="s">
        <v>1395</v>
      </c>
      <c r="AK60" t="s">
        <v>2345</v>
      </c>
      <c r="AL60" t="s">
        <v>2346</v>
      </c>
      <c r="AN60" t="str">
        <f t="shared" si="10"/>
        <v>OK</v>
      </c>
      <c r="AO60" t="str">
        <f t="shared" si="11"/>
        <v>OK</v>
      </c>
      <c r="AP60" t="str">
        <f t="shared" si="12"/>
        <v>OK</v>
      </c>
      <c r="AR60" t="str">
        <f t="shared" si="13"/>
        <v>OK</v>
      </c>
      <c r="AS60" t="str">
        <f t="shared" si="14"/>
        <v>OK</v>
      </c>
      <c r="AT60" t="str">
        <f t="shared" si="15"/>
        <v>NOK</v>
      </c>
      <c r="AU60" t="str">
        <f t="shared" si="16"/>
        <v>OK</v>
      </c>
      <c r="AV60" t="str">
        <f t="shared" si="17"/>
        <v>OK</v>
      </c>
      <c r="AW60" t="str">
        <f t="shared" si="18"/>
        <v>OK</v>
      </c>
    </row>
    <row r="61" spans="1:51">
      <c r="A61">
        <f>Dbase_velden_versie4_2!A57</f>
        <v>57</v>
      </c>
      <c r="B61" t="str">
        <f>Dbase_velden_versie4_2!B57</f>
        <v>CLAS_VERZADIGINGSGRAAD</v>
      </c>
      <c r="C61" t="str">
        <f>Dbase_velden_versie4_2!C57</f>
        <v>%</v>
      </c>
      <c r="D61" t="str">
        <f>Dbase_velden_versie4_2!D57</f>
        <v>Verzadigingsgraad van het monster (0-100%)</v>
      </c>
      <c r="E61" t="str">
        <f>Dbase_velden_versie4_2!E57</f>
        <v>Double</v>
      </c>
      <c r="F61" t="str">
        <f>Dbase_velden_versie4_2!F57</f>
        <v>0% - 110%</v>
      </c>
      <c r="G61" t="str">
        <f>Dbase_velden_versie4_2!G57</f>
        <v>CLAS VERZADIGINGSGRAAD</v>
      </c>
      <c r="H61" t="str">
        <f>Dbase_velden_versie4_2!H57</f>
        <v>[%]</v>
      </c>
      <c r="I61" t="str">
        <f>Dbase_velden_versie4_2!I57</f>
        <v>CLAS</v>
      </c>
      <c r="J61" t="str">
        <f>Dbase_velden_versie4_2!J57</f>
        <v>Classificatieproeven</v>
      </c>
      <c r="K61">
        <v>57</v>
      </c>
      <c r="L61" t="str">
        <v>CLAS_VERZADIGINGSGRAAD</v>
      </c>
      <c r="M61" t="str">
        <v>%</v>
      </c>
      <c r="N61" t="str">
        <v>Verzadigingsgraad van het monster (0-100%)</v>
      </c>
      <c r="O61" t="str">
        <v>Double</v>
      </c>
      <c r="P61" t="str">
        <v>0% - 110%</v>
      </c>
      <c r="Q61" t="str">
        <v>CLAS VERZADIGINGSGRAAD</v>
      </c>
      <c r="R61" t="str">
        <v>[%]</v>
      </c>
      <c r="S61" t="str">
        <f t="shared" si="9"/>
        <v>OK</v>
      </c>
      <c r="T61" t="str">
        <f t="shared" si="2"/>
        <v>OK</v>
      </c>
      <c r="U61" t="str">
        <f t="shared" si="3"/>
        <v>OK</v>
      </c>
      <c r="V61" t="str">
        <f t="shared" si="4"/>
        <v>OK</v>
      </c>
      <c r="W61" t="str">
        <f t="shared" si="5"/>
        <v>OK</v>
      </c>
      <c r="X61" t="str">
        <f t="shared" si="6"/>
        <v>OK</v>
      </c>
      <c r="Y61" t="str">
        <f t="shared" si="7"/>
        <v>OK</v>
      </c>
      <c r="Z61">
        <v>56</v>
      </c>
      <c r="AA61">
        <v>58</v>
      </c>
      <c r="AB61" t="s">
        <v>2345</v>
      </c>
      <c r="AC61" t="s">
        <v>57</v>
      </c>
      <c r="AD61" t="s">
        <v>468</v>
      </c>
      <c r="AE61" t="s">
        <v>540</v>
      </c>
      <c r="AG61" t="s">
        <v>897</v>
      </c>
      <c r="AH61" t="s">
        <v>913</v>
      </c>
      <c r="AI61" t="s">
        <v>2365</v>
      </c>
      <c r="AJ61" t="s">
        <v>1400</v>
      </c>
      <c r="AK61" t="s">
        <v>2345</v>
      </c>
      <c r="AL61" t="s">
        <v>2346</v>
      </c>
      <c r="AN61" t="str">
        <f t="shared" si="10"/>
        <v>OK</v>
      </c>
      <c r="AO61" t="str">
        <f t="shared" si="11"/>
        <v>OK</v>
      </c>
      <c r="AP61" t="str">
        <f t="shared" si="12"/>
        <v>OK</v>
      </c>
      <c r="AR61" t="str">
        <f t="shared" si="13"/>
        <v>OK</v>
      </c>
      <c r="AS61" t="str">
        <f t="shared" si="14"/>
        <v>OK</v>
      </c>
      <c r="AT61" t="str">
        <f t="shared" si="15"/>
        <v>NOK</v>
      </c>
      <c r="AU61" t="str">
        <f t="shared" si="16"/>
        <v>OK</v>
      </c>
      <c r="AV61" t="str">
        <f t="shared" si="17"/>
        <v>OK</v>
      </c>
      <c r="AW61" t="str">
        <f t="shared" si="18"/>
        <v>OK</v>
      </c>
    </row>
    <row r="62" spans="1:51">
      <c r="A62">
        <f>Dbase_velden_versie4_2!A58</f>
        <v>58</v>
      </c>
      <c r="B62" t="str">
        <f>Dbase_velden_versie4_2!B58</f>
        <v>CLAS_VOLUMEGEWICHT_VERZADIGD</v>
      </c>
      <c r="C62" t="str">
        <f>Dbase_velden_versie4_2!C58</f>
        <v>kN/m3</v>
      </c>
      <c r="D62" t="str">
        <f>Dbase_velden_versie4_2!D58</f>
        <v>Inschatting van het verzadigde volumegewicht</v>
      </c>
      <c r="E62" t="str">
        <f>Dbase_velden_versie4_2!E58</f>
        <v>Double</v>
      </c>
      <c r="F62" t="str">
        <f>Dbase_velden_versie4_2!F58</f>
        <v>+0,0 - +50,0</v>
      </c>
      <c r="G62" t="str">
        <f>Dbase_velden_versie4_2!G58</f>
        <v>CLAS VOLUMEGEWICHT VERZADIGD</v>
      </c>
      <c r="H62" t="str">
        <f>Dbase_velden_versie4_2!H58</f>
        <v>[kN/m3]</v>
      </c>
      <c r="I62" t="str">
        <f>Dbase_velden_versie4_2!I58</f>
        <v>CLAS</v>
      </c>
      <c r="J62" t="str">
        <f>Dbase_velden_versie4_2!J58</f>
        <v>Classificatieproeven</v>
      </c>
      <c r="K62">
        <v>58</v>
      </c>
      <c r="L62" t="str">
        <v>CLAS_VOLUMEGEWICHT_VERZADIGD</v>
      </c>
      <c r="M62" t="str">
        <v>kN/m3</v>
      </c>
      <c r="N62" t="str">
        <v>Inschatting van het verzadigde volumegewicht</v>
      </c>
      <c r="O62" t="str">
        <v>Double</v>
      </c>
      <c r="P62" t="str">
        <v>+0,0 - +50,0</v>
      </c>
      <c r="Q62" t="str">
        <v>CLAS VOLUMEGEWICHT VERZADIGD</v>
      </c>
      <c r="R62" t="str">
        <v>[kN/m3]</v>
      </c>
      <c r="S62" t="str">
        <f t="shared" si="9"/>
        <v>OK</v>
      </c>
      <c r="T62" t="str">
        <f t="shared" si="2"/>
        <v>OK</v>
      </c>
      <c r="U62" t="str">
        <f t="shared" si="3"/>
        <v>OK</v>
      </c>
      <c r="V62" t="str">
        <f t="shared" si="4"/>
        <v>OK</v>
      </c>
      <c r="W62" t="str">
        <f t="shared" si="5"/>
        <v>OK</v>
      </c>
      <c r="X62" t="str">
        <f t="shared" si="6"/>
        <v>OK</v>
      </c>
      <c r="Y62" t="str">
        <f t="shared" si="7"/>
        <v>OK</v>
      </c>
      <c r="Z62">
        <v>57</v>
      </c>
      <c r="AA62">
        <v>59</v>
      </c>
      <c r="AB62" t="s">
        <v>2345</v>
      </c>
      <c r="AC62" t="s">
        <v>58</v>
      </c>
      <c r="AD62" t="s">
        <v>467</v>
      </c>
      <c r="AE62" t="s">
        <v>541</v>
      </c>
      <c r="AG62" t="s">
        <v>897</v>
      </c>
      <c r="AH62" t="s">
        <v>906</v>
      </c>
      <c r="AI62" t="s">
        <v>2366</v>
      </c>
      <c r="AJ62" t="s">
        <v>1399</v>
      </c>
      <c r="AK62" t="s">
        <v>2345</v>
      </c>
      <c r="AL62" t="s">
        <v>2346</v>
      </c>
      <c r="AN62" t="str">
        <f t="shared" si="10"/>
        <v>OK</v>
      </c>
      <c r="AO62" t="str">
        <f t="shared" si="11"/>
        <v>OK</v>
      </c>
      <c r="AP62" t="str">
        <f t="shared" si="12"/>
        <v>OK</v>
      </c>
      <c r="AR62" t="str">
        <f t="shared" si="13"/>
        <v>OK</v>
      </c>
      <c r="AS62" t="str">
        <f t="shared" si="14"/>
        <v>OK</v>
      </c>
      <c r="AT62" t="str">
        <f t="shared" si="15"/>
        <v>NOK</v>
      </c>
      <c r="AU62" t="str">
        <f t="shared" si="16"/>
        <v>OK</v>
      </c>
      <c r="AV62" t="str">
        <f t="shared" si="17"/>
        <v>OK</v>
      </c>
      <c r="AW62" t="str">
        <f t="shared" si="18"/>
        <v>OK</v>
      </c>
    </row>
    <row r="63" spans="1:51">
      <c r="A63">
        <f>Dbase_velden_versie4_2!A59</f>
        <v>59</v>
      </c>
      <c r="B63" t="str">
        <f>Dbase_velden_versie4_2!B59</f>
        <v>CLAS_SPECIFIEKE_MASSA_INSCHATTING</v>
      </c>
      <c r="C63" t="str">
        <f>Dbase_velden_versie4_2!C59</f>
        <v>kg/m3</v>
      </c>
      <c r="D63" t="str">
        <f>Dbase_velden_versie4_2!D59</f>
        <v>Inschatting van de dichtheid of specifieke massa volgens standaardgetal (2650 kg/m3), relaties of ervaringsdatabases</v>
      </c>
      <c r="E63" t="str">
        <f>Dbase_velden_versie4_2!E59</f>
        <v>Double</v>
      </c>
      <c r="F63" t="str">
        <f>Dbase_velden_versie4_2!F59</f>
        <v>0 - 3000</v>
      </c>
      <c r="G63" t="str">
        <f>Dbase_velden_versie4_2!G59</f>
        <v>CLAS SPECIFIEKE MASSA INSCHATTING</v>
      </c>
      <c r="H63" t="str">
        <f>Dbase_velden_versie4_2!H59</f>
        <v>[kg/m3]</v>
      </c>
      <c r="I63" t="str">
        <f>Dbase_velden_versie4_2!I59</f>
        <v>CLAS</v>
      </c>
      <c r="J63" t="str">
        <f>Dbase_velden_versie4_2!J59</f>
        <v>Classificatieproeven</v>
      </c>
      <c r="K63">
        <v>59</v>
      </c>
      <c r="L63" t="str">
        <v>CLAS_SPECIFIEKE_MASSA_INSCHATTING</v>
      </c>
      <c r="M63" t="str">
        <v>kg/m3</v>
      </c>
      <c r="N63" t="str">
        <v>Inschatting van de dichtheid of specifieke massa volgens standaardgetal (2650 kg/m3), relaties of ervaringsdatabases</v>
      </c>
      <c r="O63" t="str">
        <v>Double</v>
      </c>
      <c r="P63" t="str">
        <v>0 - 3000</v>
      </c>
      <c r="Q63" t="str">
        <v>CLAS SPECIFIEKE MASSA INSCHATTING</v>
      </c>
      <c r="R63" t="str">
        <v>[kg/m3]</v>
      </c>
      <c r="S63" t="str">
        <f t="shared" si="9"/>
        <v>OK</v>
      </c>
      <c r="T63" t="str">
        <f t="shared" si="2"/>
        <v>OK</v>
      </c>
      <c r="U63" t="str">
        <f t="shared" si="3"/>
        <v>OK</v>
      </c>
      <c r="V63" t="str">
        <f t="shared" si="4"/>
        <v>OK</v>
      </c>
      <c r="W63" t="str">
        <f t="shared" si="5"/>
        <v>OK</v>
      </c>
      <c r="X63" t="str">
        <f t="shared" si="6"/>
        <v>OK</v>
      </c>
      <c r="Y63" t="str">
        <f t="shared" si="7"/>
        <v>OK</v>
      </c>
      <c r="Z63">
        <v>58</v>
      </c>
      <c r="AA63">
        <v>60</v>
      </c>
      <c r="AB63" t="s">
        <v>2345</v>
      </c>
      <c r="AC63" t="s">
        <v>59</v>
      </c>
      <c r="AD63" t="s">
        <v>469</v>
      </c>
      <c r="AE63" t="s">
        <v>542</v>
      </c>
      <c r="AG63" t="s">
        <v>897</v>
      </c>
      <c r="AH63" t="s">
        <v>914</v>
      </c>
      <c r="AI63" t="s">
        <v>2367</v>
      </c>
      <c r="AJ63" t="s">
        <v>1401</v>
      </c>
      <c r="AK63" t="s">
        <v>2345</v>
      </c>
      <c r="AL63" t="s">
        <v>2346</v>
      </c>
      <c r="AN63" t="str">
        <f t="shared" si="10"/>
        <v>OK</v>
      </c>
      <c r="AO63" t="str">
        <f t="shared" si="11"/>
        <v>OK</v>
      </c>
      <c r="AP63" t="str">
        <f t="shared" si="12"/>
        <v>OK</v>
      </c>
      <c r="AR63" t="str">
        <f t="shared" si="13"/>
        <v>OK</v>
      </c>
      <c r="AS63" t="str">
        <f t="shared" si="14"/>
        <v>OK</v>
      </c>
      <c r="AT63" t="str">
        <f t="shared" si="15"/>
        <v>NOK</v>
      </c>
      <c r="AU63" t="str">
        <f t="shared" si="16"/>
        <v>OK</v>
      </c>
      <c r="AV63" t="str">
        <f t="shared" si="17"/>
        <v>OK</v>
      </c>
      <c r="AW63" t="str">
        <f t="shared" si="18"/>
        <v>OK</v>
      </c>
    </row>
    <row r="64" spans="1:51">
      <c r="A64">
        <f>Dbase_velden_versie4_2!A60</f>
        <v>60</v>
      </c>
      <c r="B64" t="str">
        <f>Dbase_velden_versie4_2!B60</f>
        <v>CLAS_SPECIFIEKE_MASSA</v>
      </c>
      <c r="C64" t="str">
        <f>Dbase_velden_versie4_2!C60</f>
        <v>kg/m3</v>
      </c>
      <c r="D64" t="str">
        <f>Dbase_velden_versie4_2!D60</f>
        <v>Resultaat van de bepaling van de dichtheid of specifieke massa conform ...</v>
      </c>
      <c r="E64" t="str">
        <f>Dbase_velden_versie4_2!E60</f>
        <v>Double</v>
      </c>
      <c r="F64" t="str">
        <f>Dbase_velden_versie4_2!F60</f>
        <v>0 - 3000</v>
      </c>
      <c r="G64" t="str">
        <f>Dbase_velden_versie4_2!G60</f>
        <v>CLAS SPECIFIEKE MASSA</v>
      </c>
      <c r="H64" t="str">
        <f>Dbase_velden_versie4_2!H60</f>
        <v>[kg/m3]</v>
      </c>
      <c r="I64" t="str">
        <f>Dbase_velden_versie4_2!I60</f>
        <v>CLAS</v>
      </c>
      <c r="J64" t="str">
        <f>Dbase_velden_versie4_2!J60</f>
        <v>Classificatieproeven</v>
      </c>
      <c r="K64">
        <v>60</v>
      </c>
      <c r="L64" t="str">
        <v>CLAS_SPECIFIEKE_MASSA</v>
      </c>
      <c r="M64" t="str">
        <v>kg/m3</v>
      </c>
      <c r="N64" t="str">
        <v>Resultaat van de bepaling van de dichtheid of specifieke massa conform ...</v>
      </c>
      <c r="O64" t="str">
        <v>Double</v>
      </c>
      <c r="P64" t="str">
        <v>0 - 3000</v>
      </c>
      <c r="Q64" t="str">
        <v>CLAS SPECIFIEKE MASSA</v>
      </c>
      <c r="R64" t="str">
        <v>[kg/m3]</v>
      </c>
      <c r="S64" t="str">
        <f t="shared" si="9"/>
        <v>OK</v>
      </c>
      <c r="T64" t="str">
        <f t="shared" si="2"/>
        <v>OK</v>
      </c>
      <c r="U64" t="str">
        <f t="shared" si="3"/>
        <v>OK</v>
      </c>
      <c r="V64" t="str">
        <f t="shared" si="4"/>
        <v>OK</v>
      </c>
      <c r="W64" t="str">
        <f t="shared" si="5"/>
        <v>OK</v>
      </c>
      <c r="X64" t="str">
        <f t="shared" si="6"/>
        <v>OK</v>
      </c>
      <c r="Y64" t="str">
        <f t="shared" si="7"/>
        <v>OK</v>
      </c>
      <c r="Z64">
        <v>59</v>
      </c>
      <c r="AA64">
        <v>61</v>
      </c>
      <c r="AB64" t="s">
        <v>2345</v>
      </c>
      <c r="AC64" t="s">
        <v>60</v>
      </c>
      <c r="AD64" t="s">
        <v>469</v>
      </c>
      <c r="AE64" t="s">
        <v>543</v>
      </c>
      <c r="AG64" t="s">
        <v>897</v>
      </c>
      <c r="AH64" t="s">
        <v>914</v>
      </c>
      <c r="AI64" t="s">
        <v>2368</v>
      </c>
      <c r="AJ64" t="s">
        <v>1401</v>
      </c>
      <c r="AK64" t="s">
        <v>2345</v>
      </c>
      <c r="AL64" t="s">
        <v>2346</v>
      </c>
      <c r="AN64" t="str">
        <f t="shared" si="10"/>
        <v>OK</v>
      </c>
      <c r="AO64" t="str">
        <f t="shared" si="11"/>
        <v>OK</v>
      </c>
      <c r="AP64" t="str">
        <f t="shared" si="12"/>
        <v>OK</v>
      </c>
      <c r="AR64" t="str">
        <f t="shared" si="13"/>
        <v>OK</v>
      </c>
      <c r="AS64" t="str">
        <f t="shared" si="14"/>
        <v>OK</v>
      </c>
      <c r="AT64" t="str">
        <f t="shared" si="15"/>
        <v>NOK</v>
      </c>
      <c r="AU64" t="str">
        <f t="shared" si="16"/>
        <v>OK</v>
      </c>
      <c r="AV64" t="str">
        <f t="shared" si="17"/>
        <v>OK</v>
      </c>
      <c r="AW64" t="str">
        <f t="shared" si="18"/>
        <v>OK</v>
      </c>
    </row>
    <row r="65" spans="1:49">
      <c r="A65">
        <f>Dbase_velden_versie4_2!A61</f>
        <v>61</v>
      </c>
      <c r="B65" t="str">
        <f>Dbase_velden_versie4_2!B61</f>
        <v>CLAS_GLOEIVERLIES</v>
      </c>
      <c r="C65" t="str">
        <f>Dbase_velden_versie4_2!C61</f>
        <v>%</v>
      </c>
      <c r="D65" t="str">
        <f>Dbase_velden_versie4_2!D61</f>
        <v>Resultaat van de bepaling van het verlies aan organisch materiaal bij verhitting tot 500°C/550°C. Het gloeiverlies wordt hiermee bepaald. Het gloeiverlies is niet gelijk aan het asgehalte. Het asgehalte kan bepaald worden aan de hand van het gloeiverlies:  asgehalte = 1.04 x (100 - gloeiverlies [%])</v>
      </c>
      <c r="E65" t="str">
        <f>Dbase_velden_versie4_2!E61</f>
        <v>Double</v>
      </c>
      <c r="F65">
        <f>Dbase_velden_versie4_2!F61</f>
        <v>0</v>
      </c>
      <c r="G65" t="str">
        <f>Dbase_velden_versie4_2!G61</f>
        <v>CLAS GLOEIVERLIES</v>
      </c>
      <c r="H65" t="str">
        <f>Dbase_velden_versie4_2!H61</f>
        <v>[%]</v>
      </c>
      <c r="I65" t="str">
        <f>Dbase_velden_versie4_2!I61</f>
        <v>CLAS</v>
      </c>
      <c r="J65" t="str">
        <f>Dbase_velden_versie4_2!J61</f>
        <v>Classificatieproeven</v>
      </c>
      <c r="K65">
        <v>61</v>
      </c>
      <c r="L65" t="str">
        <v>CLAS_GLOEIVERLIES</v>
      </c>
      <c r="M65" t="str">
        <v>%</v>
      </c>
      <c r="N65" t="str">
        <v>Resultaat van de bepaling van het verlies aan organisch materiaal bij verhitting tot 500°C/550°C. Het gloeiverlies wordt hiermee bepaald. Het gloeiverlies is niet gelijk aan het asgehalte. Het asgehalte kan bepaald worden aan de hand van het gloeiverlies:  asgehalte = 1.04 x (100 - gloeiverlies [%])</v>
      </c>
      <c r="O65" t="str">
        <v>Double</v>
      </c>
      <c r="P65">
        <v>0</v>
      </c>
      <c r="Q65" t="str">
        <v>CLAS GLOEIVERLIES</v>
      </c>
      <c r="R65" t="str">
        <v>[%]</v>
      </c>
      <c r="S65" t="str">
        <f t="shared" si="9"/>
        <v>OK</v>
      </c>
      <c r="T65" t="str">
        <f t="shared" si="2"/>
        <v>OK</v>
      </c>
      <c r="U65" t="str">
        <f t="shared" si="3"/>
        <v>OK</v>
      </c>
      <c r="V65" t="str">
        <f t="shared" si="4"/>
        <v>OK</v>
      </c>
      <c r="W65" t="str">
        <f t="shared" si="5"/>
        <v>OK</v>
      </c>
      <c r="X65" t="str">
        <f t="shared" si="6"/>
        <v>OK</v>
      </c>
      <c r="Y65" t="str">
        <f t="shared" si="7"/>
        <v>OK</v>
      </c>
      <c r="Z65">
        <v>60</v>
      </c>
      <c r="AA65">
        <v>62</v>
      </c>
      <c r="AB65" t="s">
        <v>2345</v>
      </c>
      <c r="AC65" t="s">
        <v>61</v>
      </c>
      <c r="AD65" t="s">
        <v>468</v>
      </c>
      <c r="AE65" t="s">
        <v>544</v>
      </c>
      <c r="AG65" t="s">
        <v>897</v>
      </c>
      <c r="AI65" t="s">
        <v>2369</v>
      </c>
      <c r="AJ65" t="s">
        <v>1400</v>
      </c>
      <c r="AK65" t="s">
        <v>2345</v>
      </c>
      <c r="AL65" t="s">
        <v>2346</v>
      </c>
      <c r="AN65" t="str">
        <f t="shared" si="10"/>
        <v>OK</v>
      </c>
      <c r="AO65" t="str">
        <f t="shared" si="11"/>
        <v>OK</v>
      </c>
      <c r="AP65" t="str">
        <f t="shared" si="12"/>
        <v>OK</v>
      </c>
      <c r="AR65" t="str">
        <f t="shared" si="13"/>
        <v>OK</v>
      </c>
      <c r="AS65" t="str">
        <f t="shared" si="14"/>
        <v>OK</v>
      </c>
      <c r="AT65" t="str">
        <f t="shared" si="15"/>
        <v>NOK</v>
      </c>
      <c r="AU65" t="str">
        <f t="shared" si="16"/>
        <v>OK</v>
      </c>
      <c r="AV65" t="str">
        <f t="shared" si="17"/>
        <v>OK</v>
      </c>
      <c r="AW65" t="str">
        <f t="shared" si="18"/>
        <v>OK</v>
      </c>
    </row>
    <row r="66" spans="1:49">
      <c r="A66">
        <f>Dbase_velden_versie4_2!A62</f>
        <v>62</v>
      </c>
      <c r="B66" t="str">
        <f>Dbase_velden_versie4_2!B62</f>
        <v>CLAS_KALKGEHALTE</v>
      </c>
      <c r="C66" t="str">
        <f>Dbase_velden_versie4_2!C62</f>
        <v>%</v>
      </c>
      <c r="D66" t="str">
        <f>Dbase_velden_versie4_2!D62</f>
        <v>Resultaat van de bepaling van het verlies aan kalk bij verhitting tot 900°C</v>
      </c>
      <c r="E66" t="str">
        <f>Dbase_velden_versie4_2!E62</f>
        <v>Double</v>
      </c>
      <c r="F66">
        <f>Dbase_velden_versie4_2!F62</f>
        <v>0</v>
      </c>
      <c r="G66" t="str">
        <f>Dbase_velden_versie4_2!G62</f>
        <v>CLAS KALKGEHALTE</v>
      </c>
      <c r="H66" t="str">
        <f>Dbase_velden_versie4_2!H62</f>
        <v>[%]</v>
      </c>
      <c r="I66" t="str">
        <f>Dbase_velden_versie4_2!I62</f>
        <v>CLAS</v>
      </c>
      <c r="J66" t="str">
        <f>Dbase_velden_versie4_2!J62</f>
        <v>Classificatieproeven</v>
      </c>
      <c r="K66">
        <v>62</v>
      </c>
      <c r="L66" t="str">
        <v>CLAS_KALKGEHALTE</v>
      </c>
      <c r="M66" t="str">
        <v>%</v>
      </c>
      <c r="N66" t="str">
        <v>Resultaat van de bepaling van het verlies aan kalk bij verhitting tot 900°C</v>
      </c>
      <c r="O66" t="str">
        <v>Double</v>
      </c>
      <c r="P66">
        <v>0</v>
      </c>
      <c r="Q66" t="str">
        <v>CLAS KALKGEHALTE</v>
      </c>
      <c r="R66" t="str">
        <v>[%]</v>
      </c>
      <c r="S66" t="str">
        <f t="shared" si="9"/>
        <v>OK</v>
      </c>
      <c r="T66" t="str">
        <f t="shared" si="2"/>
        <v>OK</v>
      </c>
      <c r="U66" t="str">
        <f t="shared" si="3"/>
        <v>OK</v>
      </c>
      <c r="V66" t="str">
        <f t="shared" si="4"/>
        <v>OK</v>
      </c>
      <c r="W66" t="str">
        <f t="shared" si="5"/>
        <v>OK</v>
      </c>
      <c r="X66" t="str">
        <f t="shared" si="6"/>
        <v>OK</v>
      </c>
      <c r="Y66" t="str">
        <f t="shared" si="7"/>
        <v>OK</v>
      </c>
      <c r="Z66">
        <v>61</v>
      </c>
      <c r="AA66">
        <v>63</v>
      </c>
      <c r="AB66" t="s">
        <v>2345</v>
      </c>
      <c r="AC66" t="s">
        <v>62</v>
      </c>
      <c r="AD66" t="s">
        <v>468</v>
      </c>
      <c r="AE66" t="s">
        <v>545</v>
      </c>
      <c r="AG66" t="s">
        <v>897</v>
      </c>
      <c r="AI66" t="s">
        <v>2370</v>
      </c>
      <c r="AJ66" t="s">
        <v>1400</v>
      </c>
      <c r="AK66" t="s">
        <v>2345</v>
      </c>
      <c r="AL66" t="s">
        <v>2346</v>
      </c>
      <c r="AN66" t="str">
        <f t="shared" si="10"/>
        <v>OK</v>
      </c>
      <c r="AO66" t="str">
        <f t="shared" si="11"/>
        <v>OK</v>
      </c>
      <c r="AP66" t="str">
        <f t="shared" si="12"/>
        <v>OK</v>
      </c>
      <c r="AR66" t="str">
        <f t="shared" si="13"/>
        <v>OK</v>
      </c>
      <c r="AS66" t="str">
        <f t="shared" si="14"/>
        <v>OK</v>
      </c>
      <c r="AT66" t="str">
        <f t="shared" si="15"/>
        <v>NOK</v>
      </c>
      <c r="AU66" t="str">
        <f t="shared" si="16"/>
        <v>OK</v>
      </c>
      <c r="AV66" t="str">
        <f t="shared" si="17"/>
        <v>OK</v>
      </c>
      <c r="AW66" t="str">
        <f t="shared" si="18"/>
        <v>OK</v>
      </c>
    </row>
    <row r="67" spans="1:49">
      <c r="A67">
        <f>Dbase_velden_versie4_2!A63</f>
        <v>63</v>
      </c>
      <c r="B67" t="str">
        <f>Dbase_velden_versie4_2!B63</f>
        <v>CLAS_POCKETPENETRO</v>
      </c>
      <c r="C67" t="str">
        <f>Dbase_velden_versie4_2!C63</f>
        <v>kPa</v>
      </c>
      <c r="D67" t="str">
        <f>Dbase_velden_versie4_2!D63</f>
        <v>Resultaat van de bepaling van de sterkte met de pocket penetrometer conform ...</v>
      </c>
      <c r="E67" t="str">
        <f>Dbase_velden_versie4_2!E63</f>
        <v>Double</v>
      </c>
      <c r="F67">
        <f>Dbase_velden_versie4_2!F63</f>
        <v>0</v>
      </c>
      <c r="G67" t="str">
        <f>Dbase_velden_versie4_2!G63</f>
        <v>CLAS POCKETPENETRO</v>
      </c>
      <c r="H67" t="str">
        <f>Dbase_velden_versie4_2!H63</f>
        <v>[kPa]</v>
      </c>
      <c r="I67" t="str">
        <f>Dbase_velden_versie4_2!I63</f>
        <v>CLAS</v>
      </c>
      <c r="J67" t="str">
        <f>Dbase_velden_versie4_2!J63</f>
        <v>Classificatieproeven</v>
      </c>
      <c r="K67">
        <v>63</v>
      </c>
      <c r="L67" t="str">
        <v>CLAS_POCKETPENETRO</v>
      </c>
      <c r="M67" t="str">
        <v>kPa</v>
      </c>
      <c r="N67" t="str">
        <v>Resultaat van de bepaling van de sterkte met de pocket penetrometer conform ...</v>
      </c>
      <c r="O67" t="str">
        <v>Double</v>
      </c>
      <c r="P67">
        <v>0</v>
      </c>
      <c r="Q67" t="str">
        <v>CLAS POCKETPENETRO</v>
      </c>
      <c r="R67" t="str">
        <v>[kPa]</v>
      </c>
      <c r="S67" t="str">
        <f t="shared" si="9"/>
        <v>OK</v>
      </c>
      <c r="T67" t="str">
        <f t="shared" si="2"/>
        <v>OK</v>
      </c>
      <c r="U67" t="str">
        <f t="shared" si="3"/>
        <v>OK</v>
      </c>
      <c r="V67" t="str">
        <f t="shared" si="4"/>
        <v>OK</v>
      </c>
      <c r="W67" t="str">
        <f t="shared" si="5"/>
        <v>OK</v>
      </c>
      <c r="X67" t="str">
        <f t="shared" si="6"/>
        <v>OK</v>
      </c>
      <c r="Y67" t="str">
        <f t="shared" si="7"/>
        <v>OK</v>
      </c>
      <c r="Z67">
        <v>62</v>
      </c>
      <c r="AA67">
        <v>64</v>
      </c>
      <c r="AB67" t="s">
        <v>2345</v>
      </c>
      <c r="AC67" t="s">
        <v>63</v>
      </c>
      <c r="AD67" t="s">
        <v>470</v>
      </c>
      <c r="AE67" t="s">
        <v>546</v>
      </c>
      <c r="AG67" t="s">
        <v>897</v>
      </c>
      <c r="AI67" t="s">
        <v>2371</v>
      </c>
      <c r="AJ67" t="s">
        <v>1402</v>
      </c>
      <c r="AK67" t="s">
        <v>2345</v>
      </c>
      <c r="AL67" t="s">
        <v>2346</v>
      </c>
      <c r="AN67" t="str">
        <f t="shared" si="10"/>
        <v>OK</v>
      </c>
      <c r="AO67" t="str">
        <f t="shared" si="11"/>
        <v>OK</v>
      </c>
      <c r="AP67" t="str">
        <f t="shared" si="12"/>
        <v>OK</v>
      </c>
      <c r="AR67" t="str">
        <f t="shared" si="13"/>
        <v>OK</v>
      </c>
      <c r="AS67" t="str">
        <f t="shared" si="14"/>
        <v>OK</v>
      </c>
      <c r="AT67" t="str">
        <f t="shared" si="15"/>
        <v>NOK</v>
      </c>
      <c r="AU67" t="str">
        <f t="shared" si="16"/>
        <v>OK</v>
      </c>
      <c r="AV67" t="str">
        <f t="shared" si="17"/>
        <v>OK</v>
      </c>
      <c r="AW67" t="str">
        <f t="shared" si="18"/>
        <v>OK</v>
      </c>
    </row>
    <row r="68" spans="1:49">
      <c r="A68">
        <f>Dbase_velden_versie4_2!A64</f>
        <v>64</v>
      </c>
      <c r="B68" t="str">
        <f>Dbase_velden_versie4_2!B64</f>
        <v>CLAS_TORVANE</v>
      </c>
      <c r="C68" t="str">
        <f>Dbase_velden_versie4_2!C64</f>
        <v>kPa</v>
      </c>
      <c r="D68" t="str">
        <f>Dbase_velden_versie4_2!D64</f>
        <v>Resultaat van de bepaling van de sterkte met de torvaneproef conform NEN5106</v>
      </c>
      <c r="E68" t="str">
        <f>Dbase_velden_versie4_2!E64</f>
        <v>Double</v>
      </c>
      <c r="F68" t="str">
        <f>Dbase_velden_versie4_2!F64</f>
        <v>0 - 1000</v>
      </c>
      <c r="G68" t="str">
        <f>Dbase_velden_versie4_2!G64</f>
        <v>CLAS TORVANE</v>
      </c>
      <c r="H68" t="str">
        <f>Dbase_velden_versie4_2!H64</f>
        <v>[kPa]</v>
      </c>
      <c r="I68" t="str">
        <f>Dbase_velden_versie4_2!I64</f>
        <v>CLAS</v>
      </c>
      <c r="J68" t="str">
        <f>Dbase_velden_versie4_2!J64</f>
        <v>Classificatieproeven</v>
      </c>
      <c r="K68">
        <v>64</v>
      </c>
      <c r="L68" t="str">
        <v>CLAS_TORVANE</v>
      </c>
      <c r="M68" t="str">
        <v>kPa</v>
      </c>
      <c r="N68" t="str">
        <v>Resultaat van de bepaling van de sterkte met de torvaneproef conform NEN5106</v>
      </c>
      <c r="O68" t="str">
        <v>Double</v>
      </c>
      <c r="P68" t="str">
        <v>0 - 1000</v>
      </c>
      <c r="Q68" t="str">
        <v>CLAS TORVANE</v>
      </c>
      <c r="R68" t="str">
        <v>[kPa]</v>
      </c>
      <c r="S68" t="str">
        <f t="shared" si="9"/>
        <v>OK</v>
      </c>
      <c r="T68" t="str">
        <f t="shared" si="2"/>
        <v>OK</v>
      </c>
      <c r="U68" t="str">
        <f t="shared" si="3"/>
        <v>OK</v>
      </c>
      <c r="V68" t="str">
        <f t="shared" si="4"/>
        <v>OK</v>
      </c>
      <c r="W68" t="str">
        <f t="shared" si="5"/>
        <v>OK</v>
      </c>
      <c r="X68" t="str">
        <f t="shared" si="6"/>
        <v>OK</v>
      </c>
      <c r="Y68" t="str">
        <f t="shared" si="7"/>
        <v>OK</v>
      </c>
      <c r="Z68">
        <v>63</v>
      </c>
      <c r="AA68">
        <v>65</v>
      </c>
      <c r="AB68" t="s">
        <v>2345</v>
      </c>
      <c r="AC68" t="s">
        <v>64</v>
      </c>
      <c r="AD68" t="s">
        <v>470</v>
      </c>
      <c r="AE68" t="s">
        <v>547</v>
      </c>
      <c r="AG68" t="s">
        <v>897</v>
      </c>
      <c r="AH68" t="s">
        <v>915</v>
      </c>
      <c r="AI68" t="s">
        <v>2372</v>
      </c>
      <c r="AJ68" t="s">
        <v>1402</v>
      </c>
      <c r="AK68" t="s">
        <v>2345</v>
      </c>
      <c r="AL68" t="s">
        <v>2346</v>
      </c>
      <c r="AN68" t="str">
        <f t="shared" si="10"/>
        <v>OK</v>
      </c>
      <c r="AO68" t="str">
        <f t="shared" si="11"/>
        <v>OK</v>
      </c>
      <c r="AP68" t="str">
        <f t="shared" si="12"/>
        <v>OK</v>
      </c>
      <c r="AR68" t="str">
        <f t="shared" si="13"/>
        <v>OK</v>
      </c>
      <c r="AS68" t="str">
        <f t="shared" si="14"/>
        <v>OK</v>
      </c>
      <c r="AT68" t="str">
        <f t="shared" si="15"/>
        <v>NOK</v>
      </c>
      <c r="AU68" t="str">
        <f t="shared" si="16"/>
        <v>OK</v>
      </c>
      <c r="AV68" t="str">
        <f t="shared" si="17"/>
        <v>OK</v>
      </c>
      <c r="AW68" t="str">
        <f t="shared" si="18"/>
        <v>OK</v>
      </c>
    </row>
    <row r="69" spans="1:49">
      <c r="A69">
        <f>Dbase_velden_versie4_2!A65</f>
        <v>65</v>
      </c>
      <c r="B69" t="str">
        <f>Dbase_velden_versie4_2!B65</f>
        <v>CLAS_FALLINGHEAD_K10</v>
      </c>
      <c r="C69" t="str">
        <f>Dbase_velden_versie4_2!C65</f>
        <v>m/s</v>
      </c>
      <c r="D69" t="str">
        <f>Dbase_velden_versie4_2!D65</f>
        <v>Falling headk10</v>
      </c>
      <c r="E69" t="str">
        <f>Dbase_velden_versie4_2!E65</f>
        <v>Double</v>
      </c>
      <c r="F69">
        <f>Dbase_velden_versie4_2!F65</f>
        <v>0</v>
      </c>
      <c r="G69" t="str">
        <f>Dbase_velden_versie4_2!G65</f>
        <v>CLAS FALLINGHEAD K10</v>
      </c>
      <c r="H69" t="str">
        <f>Dbase_velden_versie4_2!H65</f>
        <v>[m/s]</v>
      </c>
      <c r="I69" t="str">
        <f>Dbase_velden_versie4_2!I65</f>
        <v>CLAS</v>
      </c>
      <c r="J69" t="str">
        <f>Dbase_velden_versie4_2!J65</f>
        <v>Classificatieproeven</v>
      </c>
      <c r="K69">
        <v>65</v>
      </c>
      <c r="L69" t="str">
        <v>CLAS_FALLINGHEAD_K10</v>
      </c>
      <c r="M69" t="str">
        <v>m/s</v>
      </c>
      <c r="N69" t="str">
        <v>Falling headk10</v>
      </c>
      <c r="O69" t="str">
        <v>Double</v>
      </c>
      <c r="P69">
        <v>0</v>
      </c>
      <c r="Q69" t="str">
        <v>CLAS FALLINGHEAD K10</v>
      </c>
      <c r="R69" t="str">
        <v>[m/s]</v>
      </c>
      <c r="S69" t="str">
        <f t="shared" si="9"/>
        <v>OK</v>
      </c>
      <c r="T69" t="str">
        <f t="shared" si="2"/>
        <v>OK</v>
      </c>
      <c r="U69" t="str">
        <f t="shared" si="3"/>
        <v>OK</v>
      </c>
      <c r="V69" t="str">
        <f t="shared" si="4"/>
        <v>OK</v>
      </c>
      <c r="W69" t="str">
        <f t="shared" si="5"/>
        <v>OK</v>
      </c>
      <c r="X69" t="str">
        <f t="shared" si="6"/>
        <v>OK</v>
      </c>
      <c r="Y69" t="str">
        <f t="shared" si="7"/>
        <v>OK</v>
      </c>
      <c r="Z69">
        <v>64</v>
      </c>
      <c r="AA69">
        <v>66</v>
      </c>
      <c r="AB69" t="s">
        <v>2345</v>
      </c>
      <c r="AC69" t="s">
        <v>65</v>
      </c>
      <c r="AD69" t="s">
        <v>471</v>
      </c>
      <c r="AE69" t="s">
        <v>548</v>
      </c>
      <c r="AG69" t="s">
        <v>897</v>
      </c>
      <c r="AI69" t="s">
        <v>2373</v>
      </c>
      <c r="AJ69" t="s">
        <v>1403</v>
      </c>
      <c r="AK69" t="s">
        <v>2345</v>
      </c>
      <c r="AL69" t="s">
        <v>2346</v>
      </c>
      <c r="AN69" t="str">
        <f t="shared" si="10"/>
        <v>OK</v>
      </c>
      <c r="AO69" t="str">
        <f t="shared" si="11"/>
        <v>OK</v>
      </c>
      <c r="AP69" t="str">
        <f t="shared" si="12"/>
        <v>OK</v>
      </c>
      <c r="AR69" t="str">
        <f t="shared" si="13"/>
        <v>OK</v>
      </c>
      <c r="AS69" t="str">
        <f t="shared" si="14"/>
        <v>OK</v>
      </c>
      <c r="AT69" t="str">
        <f t="shared" si="15"/>
        <v>NOK</v>
      </c>
      <c r="AU69" t="str">
        <f t="shared" si="16"/>
        <v>OK</v>
      </c>
      <c r="AV69" t="str">
        <f t="shared" si="17"/>
        <v>OK</v>
      </c>
      <c r="AW69" t="str">
        <f t="shared" si="18"/>
        <v>OK</v>
      </c>
    </row>
    <row r="70" spans="1:49">
      <c r="A70">
        <f>Dbase_velden_versie4_2!A66</f>
        <v>66</v>
      </c>
      <c r="B70" t="str">
        <f>Dbase_velden_versie4_2!B66</f>
        <v>CLAS_CONSTANTHEAD_K10</v>
      </c>
      <c r="C70" t="str">
        <f>Dbase_velden_versie4_2!C66</f>
        <v>m/s</v>
      </c>
      <c r="D70" t="str">
        <f>Dbase_velden_versie4_2!D66</f>
        <v>Constant head k10</v>
      </c>
      <c r="E70" t="str">
        <f>Dbase_velden_versie4_2!E66</f>
        <v>Double</v>
      </c>
      <c r="F70">
        <f>Dbase_velden_versie4_2!F66</f>
        <v>0</v>
      </c>
      <c r="G70" t="str">
        <f>Dbase_velden_versie4_2!G66</f>
        <v>CLAS CONSTANTHEAD K10</v>
      </c>
      <c r="H70" t="str">
        <f>Dbase_velden_versie4_2!H66</f>
        <v>[m/s]</v>
      </c>
      <c r="I70" t="str">
        <f>Dbase_velden_versie4_2!I66</f>
        <v>CLAS</v>
      </c>
      <c r="J70" t="str">
        <f>Dbase_velden_versie4_2!J66</f>
        <v>Classificatieproeven</v>
      </c>
      <c r="K70">
        <v>66</v>
      </c>
      <c r="L70" t="str">
        <v>CLAS_CONSTANTHEAD_K10</v>
      </c>
      <c r="M70" t="str">
        <v>m/s</v>
      </c>
      <c r="N70" t="str">
        <v>Constant head k10</v>
      </c>
      <c r="O70" t="str">
        <v>Double</v>
      </c>
      <c r="P70">
        <v>0</v>
      </c>
      <c r="Q70" t="str">
        <v>CLAS CONSTANTHEAD K10</v>
      </c>
      <c r="R70" t="str">
        <v>[m/s]</v>
      </c>
      <c r="S70" t="str">
        <f t="shared" si="9"/>
        <v>OK</v>
      </c>
      <c r="T70" t="str">
        <f t="shared" ref="T70:T133" si="19">IF(B70=L70,"OK","NOK")</f>
        <v>OK</v>
      </c>
      <c r="U70" t="str">
        <f t="shared" ref="U70:U133" si="20">IF(C70=M70,"OK","NOK")</f>
        <v>OK</v>
      </c>
      <c r="V70" t="str">
        <f t="shared" ref="V70:V133" si="21">IF(D70=N70,"OK","NOK")</f>
        <v>OK</v>
      </c>
      <c r="W70" t="str">
        <f t="shared" ref="W70:W133" si="22">IF(E70=O70,"OK","NOK")</f>
        <v>OK</v>
      </c>
      <c r="X70" t="str">
        <f t="shared" ref="X70:X133" si="23">IF(F70=P70,"OK","NOK")</f>
        <v>OK</v>
      </c>
      <c r="Y70" t="str">
        <f t="shared" ref="Y70:Y133" si="24">IF(G70=Q70,"OK","NOK")</f>
        <v>OK</v>
      </c>
      <c r="Z70">
        <v>65</v>
      </c>
      <c r="AA70">
        <v>67</v>
      </c>
      <c r="AB70" t="s">
        <v>2345</v>
      </c>
      <c r="AC70" t="s">
        <v>66</v>
      </c>
      <c r="AD70" t="s">
        <v>471</v>
      </c>
      <c r="AE70" t="s">
        <v>549</v>
      </c>
      <c r="AG70" t="s">
        <v>897</v>
      </c>
      <c r="AI70" t="s">
        <v>2374</v>
      </c>
      <c r="AJ70" t="s">
        <v>1403</v>
      </c>
      <c r="AK70" t="s">
        <v>2345</v>
      </c>
      <c r="AL70" t="s">
        <v>2346</v>
      </c>
      <c r="AN70" t="str">
        <f t="shared" si="10"/>
        <v>OK</v>
      </c>
      <c r="AO70" t="str">
        <f t="shared" si="11"/>
        <v>OK</v>
      </c>
      <c r="AP70" t="str">
        <f t="shared" si="12"/>
        <v>OK</v>
      </c>
      <c r="AR70" t="str">
        <f t="shared" si="13"/>
        <v>OK</v>
      </c>
      <c r="AS70" t="str">
        <f t="shared" si="14"/>
        <v>OK</v>
      </c>
      <c r="AT70" t="str">
        <f t="shared" si="15"/>
        <v>NOK</v>
      </c>
      <c r="AU70" t="str">
        <f t="shared" si="16"/>
        <v>OK</v>
      </c>
      <c r="AV70" t="str">
        <f t="shared" si="17"/>
        <v>OK</v>
      </c>
      <c r="AW70" t="str">
        <f t="shared" si="18"/>
        <v>OK</v>
      </c>
    </row>
    <row r="71" spans="1:49">
      <c r="A71">
        <f>Dbase_velden_versie4_2!A67</f>
        <v>67</v>
      </c>
      <c r="B71" t="str">
        <f>Dbase_velden_versie4_2!B67</f>
        <v>CLAS_OPMERKING</v>
      </c>
      <c r="C71" t="str">
        <f>Dbase_velden_versie4_2!C67</f>
        <v>-</v>
      </c>
      <c r="D71" t="str">
        <f>Dbase_velden_versie4_2!D67</f>
        <v>Opmerkingen</v>
      </c>
      <c r="E71" t="str">
        <f>Dbase_velden_versie4_2!E67</f>
        <v>String</v>
      </c>
      <c r="F71">
        <f>Dbase_velden_versie4_2!F67</f>
        <v>0</v>
      </c>
      <c r="G71" t="str">
        <f>Dbase_velden_versie4_2!G67</f>
        <v>CLAS OPMERKING</v>
      </c>
      <c r="H71" t="str">
        <f>Dbase_velden_versie4_2!H67</f>
        <v>[-]</v>
      </c>
      <c r="I71" t="str">
        <f>Dbase_velden_versie4_2!I67</f>
        <v>CLAS</v>
      </c>
      <c r="J71" t="str">
        <f>Dbase_velden_versie4_2!J67</f>
        <v>Classificatieproeven</v>
      </c>
      <c r="K71">
        <v>67</v>
      </c>
      <c r="L71" t="str">
        <v>CLAS_OPMERKING</v>
      </c>
      <c r="M71" t="str">
        <v>-</v>
      </c>
      <c r="N71" t="str">
        <v>Opmerkingen</v>
      </c>
      <c r="O71" t="str">
        <v>String</v>
      </c>
      <c r="P71">
        <v>0</v>
      </c>
      <c r="Q71" t="str">
        <v>CLAS OPMERKING</v>
      </c>
      <c r="R71" t="str">
        <v>[-]</v>
      </c>
      <c r="S71" t="str">
        <f t="shared" ref="S71:S134" si="25">IF(A71=K71,"OK","NOK")</f>
        <v>OK</v>
      </c>
      <c r="T71" t="str">
        <f t="shared" si="19"/>
        <v>OK</v>
      </c>
      <c r="U71" t="str">
        <f t="shared" si="20"/>
        <v>OK</v>
      </c>
      <c r="V71" t="str">
        <f t="shared" si="21"/>
        <v>OK</v>
      </c>
      <c r="W71" t="str">
        <f t="shared" si="22"/>
        <v>OK</v>
      </c>
      <c r="X71" t="str">
        <f t="shared" si="23"/>
        <v>OK</v>
      </c>
      <c r="Y71" t="str">
        <f t="shared" si="24"/>
        <v>OK</v>
      </c>
      <c r="Z71">
        <v>66</v>
      </c>
      <c r="AA71">
        <v>68</v>
      </c>
      <c r="AB71" t="s">
        <v>2345</v>
      </c>
      <c r="AC71" t="s">
        <v>67</v>
      </c>
      <c r="AD71" t="s">
        <v>463</v>
      </c>
      <c r="AE71" t="s">
        <v>550</v>
      </c>
      <c r="AG71" t="s">
        <v>896</v>
      </c>
      <c r="AI71" t="s">
        <v>2375</v>
      </c>
      <c r="AJ71" t="s">
        <v>1395</v>
      </c>
      <c r="AK71" t="s">
        <v>2345</v>
      </c>
      <c r="AL71" t="s">
        <v>2346</v>
      </c>
      <c r="AN71" t="str">
        <f t="shared" ref="AN71:AN134" si="26">IF(B71=AC71,"OK","NOK")</f>
        <v>OK</v>
      </c>
      <c r="AO71" t="str">
        <f t="shared" ref="AO71:AO134" si="27">IF(C71=AD71,"OK","NOK")</f>
        <v>OK</v>
      </c>
      <c r="AP71" t="str">
        <f t="shared" ref="AP71:AP134" si="28">IF(D71=AE71,"OK","NOK")</f>
        <v>OK</v>
      </c>
      <c r="AR71" t="str">
        <f t="shared" ref="AR71:AR134" si="29">IF(E71=AG71,"OK","NOK")</f>
        <v>OK</v>
      </c>
      <c r="AS71" t="str">
        <f t="shared" ref="AS71:AS134" si="30">IF(F71=AH71,"OK","NOK")</f>
        <v>OK</v>
      </c>
      <c r="AT71" t="str">
        <f t="shared" ref="AT71:AT134" si="31">IF(G71=AI71,"OK","NOK")</f>
        <v>NOK</v>
      </c>
      <c r="AU71" t="str">
        <f t="shared" ref="AU71:AU134" si="32">IF(H71=AJ71,"OK","NOK")</f>
        <v>OK</v>
      </c>
      <c r="AV71" t="str">
        <f t="shared" ref="AV71:AV134" si="33">IF(I71=AK71,"OK","NOK")</f>
        <v>OK</v>
      </c>
      <c r="AW71" t="str">
        <f t="shared" ref="AW71:AW134" si="34">IF(J71=AL71,"OK","NOK")</f>
        <v>OK</v>
      </c>
    </row>
    <row r="72" spans="1:49">
      <c r="A72">
        <f>Dbase_velden_versie4_2!A68</f>
        <v>68</v>
      </c>
      <c r="B72" t="str">
        <f>Dbase_velden_versie4_2!B68</f>
        <v>CLAS_AT_VLOEIGRENS_CAS</v>
      </c>
      <c r="C72" t="str">
        <f>Dbase_velden_versie4_2!C68</f>
        <v>%</v>
      </c>
      <c r="D72" t="str">
        <f>Dbase_velden_versie4_2!D68</f>
        <v>Resultaat van de bepaling van de vloeigrens conform ...</v>
      </c>
      <c r="E72" t="str">
        <f>Dbase_velden_versie4_2!E68</f>
        <v>Double</v>
      </c>
      <c r="F72">
        <f>Dbase_velden_versie4_2!F68</f>
        <v>0</v>
      </c>
      <c r="G72" t="str">
        <f>Dbase_velden_versie4_2!G68</f>
        <v>CLAS AT VLOEIGRENS CAS</v>
      </c>
      <c r="H72" t="str">
        <f>Dbase_velden_versie4_2!H68</f>
        <v>[%]</v>
      </c>
      <c r="I72" t="str">
        <f>Dbase_velden_versie4_2!I68</f>
        <v>CLAS_AT</v>
      </c>
      <c r="J72" t="str">
        <f>Dbase_velden_versie4_2!J68</f>
        <v>Atterbergsche grenzen</v>
      </c>
      <c r="K72">
        <v>68</v>
      </c>
      <c r="L72" t="str">
        <v>CLAS_AT_VLOEIGRENS_CAS</v>
      </c>
      <c r="M72" t="str">
        <v>%</v>
      </c>
      <c r="N72" t="str">
        <v>Resultaat van de bepaling van de vloeigrens conform ...</v>
      </c>
      <c r="O72" t="str">
        <v>Double</v>
      </c>
      <c r="P72">
        <v>0</v>
      </c>
      <c r="Q72" t="str">
        <v>CLAS AT VLOEIGRENS CAS</v>
      </c>
      <c r="R72" t="str">
        <v>[%]</v>
      </c>
      <c r="S72" t="str">
        <f t="shared" si="25"/>
        <v>OK</v>
      </c>
      <c r="T72" t="str">
        <f t="shared" si="19"/>
        <v>OK</v>
      </c>
      <c r="U72" t="str">
        <f t="shared" si="20"/>
        <v>OK</v>
      </c>
      <c r="V72" t="str">
        <f t="shared" si="21"/>
        <v>OK</v>
      </c>
      <c r="W72" t="str">
        <f t="shared" si="22"/>
        <v>OK</v>
      </c>
      <c r="X72" t="str">
        <f t="shared" si="23"/>
        <v>OK</v>
      </c>
      <c r="Y72" t="str">
        <f t="shared" si="24"/>
        <v>OK</v>
      </c>
      <c r="Z72">
        <v>67</v>
      </c>
      <c r="AA72">
        <v>69</v>
      </c>
      <c r="AB72" t="s">
        <v>2376</v>
      </c>
      <c r="AC72" t="s">
        <v>68</v>
      </c>
      <c r="AD72" t="s">
        <v>468</v>
      </c>
      <c r="AE72" t="s">
        <v>551</v>
      </c>
      <c r="AG72" t="s">
        <v>897</v>
      </c>
      <c r="AI72" t="s">
        <v>2377</v>
      </c>
      <c r="AJ72" t="s">
        <v>1400</v>
      </c>
      <c r="AK72" t="s">
        <v>2376</v>
      </c>
      <c r="AL72" t="s">
        <v>2378</v>
      </c>
      <c r="AN72" t="str">
        <f t="shared" si="26"/>
        <v>OK</v>
      </c>
      <c r="AO72" t="str">
        <f t="shared" si="27"/>
        <v>OK</v>
      </c>
      <c r="AP72" t="str">
        <f t="shared" si="28"/>
        <v>OK</v>
      </c>
      <c r="AR72" t="str">
        <f t="shared" si="29"/>
        <v>OK</v>
      </c>
      <c r="AS72" t="str">
        <f t="shared" si="30"/>
        <v>OK</v>
      </c>
      <c r="AT72" t="str">
        <f t="shared" si="31"/>
        <v>NOK</v>
      </c>
      <c r="AU72" t="str">
        <f t="shared" si="32"/>
        <v>OK</v>
      </c>
      <c r="AV72" t="str">
        <f t="shared" si="33"/>
        <v>OK</v>
      </c>
      <c r="AW72" t="str">
        <f t="shared" si="34"/>
        <v>OK</v>
      </c>
    </row>
    <row r="73" spans="1:49">
      <c r="A73">
        <f>Dbase_velden_versie4_2!A69</f>
        <v>69</v>
      </c>
      <c r="B73" t="str">
        <f>Dbase_velden_versie4_2!B69</f>
        <v>CLAS_AT_UITROLGRENS</v>
      </c>
      <c r="C73" t="str">
        <f>Dbase_velden_versie4_2!C69</f>
        <v>%</v>
      </c>
      <c r="D73" t="str">
        <f>Dbase_velden_versie4_2!D69</f>
        <v>Resultaat van de bepaling van de uitrolgrens conform ...</v>
      </c>
      <c r="E73" t="str">
        <f>Dbase_velden_versie4_2!E69</f>
        <v>Double</v>
      </c>
      <c r="F73">
        <f>Dbase_velden_versie4_2!F69</f>
        <v>0</v>
      </c>
      <c r="G73" t="str">
        <f>Dbase_velden_versie4_2!G69</f>
        <v>CLAS AT UITROLGRENS</v>
      </c>
      <c r="H73" t="str">
        <f>Dbase_velden_versie4_2!H69</f>
        <v>[%]</v>
      </c>
      <c r="I73" t="str">
        <f>Dbase_velden_versie4_2!I69</f>
        <v>CLAS_AT</v>
      </c>
      <c r="J73" t="str">
        <f>Dbase_velden_versie4_2!J69</f>
        <v>Atterbergsche grenzen</v>
      </c>
      <c r="K73">
        <v>69</v>
      </c>
      <c r="L73" t="str">
        <v>CLAS_AT_UITROLGRENS</v>
      </c>
      <c r="M73" t="str">
        <v>%</v>
      </c>
      <c r="N73" t="str">
        <v>Resultaat van de bepaling van de uitrolgrens conform ...</v>
      </c>
      <c r="O73" t="str">
        <v>Double</v>
      </c>
      <c r="P73">
        <v>0</v>
      </c>
      <c r="Q73" t="str">
        <v>CLAS AT UITROLGRENS</v>
      </c>
      <c r="R73" t="str">
        <v>[%]</v>
      </c>
      <c r="S73" t="str">
        <f t="shared" si="25"/>
        <v>OK</v>
      </c>
      <c r="T73" t="str">
        <f t="shared" si="19"/>
        <v>OK</v>
      </c>
      <c r="U73" t="str">
        <f t="shared" si="20"/>
        <v>OK</v>
      </c>
      <c r="V73" t="str">
        <f t="shared" si="21"/>
        <v>OK</v>
      </c>
      <c r="W73" t="str">
        <f t="shared" si="22"/>
        <v>OK</v>
      </c>
      <c r="X73" t="str">
        <f t="shared" si="23"/>
        <v>OK</v>
      </c>
      <c r="Y73" t="str">
        <f t="shared" si="24"/>
        <v>OK</v>
      </c>
      <c r="Z73">
        <v>68</v>
      </c>
      <c r="AA73">
        <v>70</v>
      </c>
      <c r="AB73" t="s">
        <v>2376</v>
      </c>
      <c r="AC73" t="s">
        <v>69</v>
      </c>
      <c r="AD73" t="s">
        <v>468</v>
      </c>
      <c r="AE73" t="s">
        <v>552</v>
      </c>
      <c r="AG73" t="s">
        <v>897</v>
      </c>
      <c r="AI73" t="s">
        <v>2379</v>
      </c>
      <c r="AJ73" t="s">
        <v>1400</v>
      </c>
      <c r="AK73" t="s">
        <v>2376</v>
      </c>
      <c r="AL73" t="s">
        <v>2378</v>
      </c>
      <c r="AN73" t="str">
        <f t="shared" si="26"/>
        <v>OK</v>
      </c>
      <c r="AO73" t="str">
        <f t="shared" si="27"/>
        <v>OK</v>
      </c>
      <c r="AP73" t="str">
        <f t="shared" si="28"/>
        <v>OK</v>
      </c>
      <c r="AR73" t="str">
        <f t="shared" si="29"/>
        <v>OK</v>
      </c>
      <c r="AS73" t="str">
        <f t="shared" si="30"/>
        <v>OK</v>
      </c>
      <c r="AT73" t="str">
        <f t="shared" si="31"/>
        <v>NOK</v>
      </c>
      <c r="AU73" t="str">
        <f t="shared" si="32"/>
        <v>OK</v>
      </c>
      <c r="AV73" t="str">
        <f t="shared" si="33"/>
        <v>OK</v>
      </c>
      <c r="AW73" t="str">
        <f t="shared" si="34"/>
        <v>OK</v>
      </c>
    </row>
    <row r="74" spans="1:49">
      <c r="A74">
        <f>Dbase_velden_versie4_2!A70</f>
        <v>70</v>
      </c>
      <c r="B74" t="str">
        <f>Dbase_velden_versie4_2!B70</f>
        <v>CLAS_AT_PI</v>
      </c>
      <c r="C74" t="str">
        <f>Dbase_velden_versie4_2!C70</f>
        <v>%</v>
      </c>
      <c r="D74" t="str">
        <f>Dbase_velden_versie4_2!D70</f>
        <v>Plasticiteitsindex</v>
      </c>
      <c r="E74" t="str">
        <f>Dbase_velden_versie4_2!E70</f>
        <v>Double</v>
      </c>
      <c r="F74">
        <f>Dbase_velden_versie4_2!F70</f>
        <v>0</v>
      </c>
      <c r="G74" t="str">
        <f>Dbase_velden_versie4_2!G70</f>
        <v>CLAS AT PI</v>
      </c>
      <c r="H74" t="str">
        <f>Dbase_velden_versie4_2!H70</f>
        <v>[%]</v>
      </c>
      <c r="I74" t="str">
        <f>Dbase_velden_versie4_2!I70</f>
        <v>CLAS_AT</v>
      </c>
      <c r="J74" t="str">
        <f>Dbase_velden_versie4_2!J70</f>
        <v>Atterbergsche grenzen</v>
      </c>
      <c r="K74">
        <v>70</v>
      </c>
      <c r="L74" t="str">
        <v>CLAS_AT_PI</v>
      </c>
      <c r="M74" t="str">
        <v>%</v>
      </c>
      <c r="N74" t="str">
        <v>Plasticiteitsindex</v>
      </c>
      <c r="O74" t="str">
        <v>Double</v>
      </c>
      <c r="P74">
        <v>0</v>
      </c>
      <c r="Q74" t="str">
        <v>CLAS AT PI</v>
      </c>
      <c r="R74" t="str">
        <v>[%]</v>
      </c>
      <c r="S74" t="str">
        <f t="shared" si="25"/>
        <v>OK</v>
      </c>
      <c r="T74" t="str">
        <f t="shared" si="19"/>
        <v>OK</v>
      </c>
      <c r="U74" t="str">
        <f t="shared" si="20"/>
        <v>OK</v>
      </c>
      <c r="V74" t="str">
        <f t="shared" si="21"/>
        <v>OK</v>
      </c>
      <c r="W74" t="str">
        <f t="shared" si="22"/>
        <v>OK</v>
      </c>
      <c r="X74" t="str">
        <f t="shared" si="23"/>
        <v>OK</v>
      </c>
      <c r="Y74" t="str">
        <f t="shared" si="24"/>
        <v>OK</v>
      </c>
      <c r="Z74">
        <v>69</v>
      </c>
      <c r="AA74">
        <v>71</v>
      </c>
      <c r="AB74" t="s">
        <v>2376</v>
      </c>
      <c r="AC74" t="s">
        <v>70</v>
      </c>
      <c r="AD74" t="s">
        <v>468</v>
      </c>
      <c r="AE74" t="s">
        <v>553</v>
      </c>
      <c r="AG74" t="s">
        <v>897</v>
      </c>
      <c r="AI74" t="s">
        <v>553</v>
      </c>
      <c r="AJ74" t="s">
        <v>1400</v>
      </c>
      <c r="AK74" t="s">
        <v>2376</v>
      </c>
      <c r="AL74" t="s">
        <v>2378</v>
      </c>
      <c r="AN74" t="str">
        <f t="shared" si="26"/>
        <v>OK</v>
      </c>
      <c r="AO74" t="str">
        <f t="shared" si="27"/>
        <v>OK</v>
      </c>
      <c r="AP74" t="str">
        <f t="shared" si="28"/>
        <v>OK</v>
      </c>
      <c r="AR74" t="str">
        <f t="shared" si="29"/>
        <v>OK</v>
      </c>
      <c r="AS74" t="str">
        <f t="shared" si="30"/>
        <v>OK</v>
      </c>
      <c r="AT74" t="str">
        <f t="shared" si="31"/>
        <v>NOK</v>
      </c>
      <c r="AU74" t="str">
        <f t="shared" si="32"/>
        <v>OK</v>
      </c>
      <c r="AV74" t="str">
        <f t="shared" si="33"/>
        <v>OK</v>
      </c>
      <c r="AW74" t="str">
        <f t="shared" si="34"/>
        <v>OK</v>
      </c>
    </row>
    <row r="75" spans="1:49">
      <c r="A75">
        <f>Dbase_velden_versie4_2!A71</f>
        <v>71</v>
      </c>
      <c r="B75" t="str">
        <f>Dbase_velden_versie4_2!B71</f>
        <v>CLAS_AT_IC</v>
      </c>
      <c r="C75" t="str">
        <f>Dbase_velden_versie4_2!C71</f>
        <v>-</v>
      </c>
      <c r="D75" t="str">
        <f>Dbase_velden_versie4_2!D71</f>
        <v>Consistentieindex</v>
      </c>
      <c r="E75" t="str">
        <f>Dbase_velden_versie4_2!E71</f>
        <v>Double</v>
      </c>
      <c r="F75">
        <f>Dbase_velden_versie4_2!F71</f>
        <v>0</v>
      </c>
      <c r="G75" t="str">
        <f>Dbase_velden_versie4_2!G71</f>
        <v>CLAS AT IC</v>
      </c>
      <c r="H75" t="str">
        <f>Dbase_velden_versie4_2!H71</f>
        <v>[-]</v>
      </c>
      <c r="I75" t="str">
        <f>Dbase_velden_versie4_2!I71</f>
        <v>CLAS_AT</v>
      </c>
      <c r="J75" t="str">
        <f>Dbase_velden_versie4_2!J71</f>
        <v>Atterbergsche grenzen</v>
      </c>
      <c r="K75">
        <v>71</v>
      </c>
      <c r="L75" t="str">
        <v>CLAS_AT_IC</v>
      </c>
      <c r="M75" t="str">
        <v>-</v>
      </c>
      <c r="N75" t="str">
        <v>Consistentieindex</v>
      </c>
      <c r="O75" t="str">
        <v>Double</v>
      </c>
      <c r="P75">
        <v>0</v>
      </c>
      <c r="Q75" t="str">
        <v>CLAS AT IC</v>
      </c>
      <c r="R75" t="str">
        <v>[-]</v>
      </c>
      <c r="S75" t="str">
        <f t="shared" si="25"/>
        <v>OK</v>
      </c>
      <c r="T75" t="str">
        <f t="shared" si="19"/>
        <v>OK</v>
      </c>
      <c r="U75" t="str">
        <f t="shared" si="20"/>
        <v>OK</v>
      </c>
      <c r="V75" t="str">
        <f t="shared" si="21"/>
        <v>OK</v>
      </c>
      <c r="W75" t="str">
        <f t="shared" si="22"/>
        <v>OK</v>
      </c>
      <c r="X75" t="str">
        <f t="shared" si="23"/>
        <v>OK</v>
      </c>
      <c r="Y75" t="str">
        <f t="shared" si="24"/>
        <v>OK</v>
      </c>
      <c r="Z75">
        <v>70</v>
      </c>
      <c r="AA75">
        <v>72</v>
      </c>
      <c r="AB75" t="s">
        <v>2376</v>
      </c>
      <c r="AC75" t="s">
        <v>71</v>
      </c>
      <c r="AD75" t="s">
        <v>463</v>
      </c>
      <c r="AE75" t="s">
        <v>554</v>
      </c>
      <c r="AG75" t="s">
        <v>897</v>
      </c>
      <c r="AI75" t="s">
        <v>554</v>
      </c>
      <c r="AJ75" t="s">
        <v>1395</v>
      </c>
      <c r="AK75" t="s">
        <v>2376</v>
      </c>
      <c r="AL75" t="s">
        <v>2378</v>
      </c>
      <c r="AN75" t="str">
        <f t="shared" si="26"/>
        <v>OK</v>
      </c>
      <c r="AO75" t="str">
        <f t="shared" si="27"/>
        <v>OK</v>
      </c>
      <c r="AP75" t="str">
        <f t="shared" si="28"/>
        <v>OK</v>
      </c>
      <c r="AR75" t="str">
        <f t="shared" si="29"/>
        <v>OK</v>
      </c>
      <c r="AS75" t="str">
        <f t="shared" si="30"/>
        <v>OK</v>
      </c>
      <c r="AT75" t="str">
        <f t="shared" si="31"/>
        <v>NOK</v>
      </c>
      <c r="AU75" t="str">
        <f t="shared" si="32"/>
        <v>OK</v>
      </c>
      <c r="AV75" t="str">
        <f t="shared" si="33"/>
        <v>OK</v>
      </c>
      <c r="AW75" t="str">
        <f t="shared" si="34"/>
        <v>OK</v>
      </c>
    </row>
    <row r="76" spans="1:49">
      <c r="A76">
        <f>Dbase_velden_versie4_2!A72</f>
        <v>72</v>
      </c>
      <c r="B76" t="str">
        <f>Dbase_velden_versie4_2!B72</f>
        <v>CLAS_VN_FILENAAM_PDF</v>
      </c>
      <c r="C76" t="str">
        <f>Dbase_velden_versie4_2!C72</f>
        <v>-</v>
      </c>
      <c r="D76" t="str">
        <f>Dbase_velden_versie4_2!D72</f>
        <v>Bestandsnaam van de pdf-file waarin de gegevens van de veenclassificatie zijn opgenomen</v>
      </c>
      <c r="E76" t="str">
        <f>Dbase_velden_versie4_2!E72</f>
        <v>String</v>
      </c>
      <c r="F76">
        <f>Dbase_velden_versie4_2!F72</f>
        <v>0</v>
      </c>
      <c r="G76" t="str">
        <f>Dbase_velden_versie4_2!G72</f>
        <v>CLAS VN FILENAAM PDF</v>
      </c>
      <c r="H76" t="str">
        <f>Dbase_velden_versie4_2!H72</f>
        <v>[-]</v>
      </c>
      <c r="I76" t="str">
        <f>Dbase_velden_versie4_2!I72</f>
        <v>CLAS_VN</v>
      </c>
      <c r="J76" t="str">
        <f>Dbase_velden_versie4_2!J72</f>
        <v>Veenclassificatie</v>
      </c>
      <c r="K76">
        <v>72</v>
      </c>
      <c r="L76" t="str">
        <v>CLAS_VN_FILENAAM_PDF</v>
      </c>
      <c r="M76" t="str">
        <v>-</v>
      </c>
      <c r="N76" t="str">
        <v>Bestandsnaam van de pdf-file waarin de gegevens van de veenclassificatie zijn opgenomen</v>
      </c>
      <c r="O76" t="str">
        <v>String</v>
      </c>
      <c r="P76">
        <v>0</v>
      </c>
      <c r="Q76" t="str">
        <v>CLAS VN FILENAAM PDF</v>
      </c>
      <c r="R76" t="str">
        <v>[-]</v>
      </c>
      <c r="S76" t="str">
        <f t="shared" si="25"/>
        <v>OK</v>
      </c>
      <c r="T76" t="str">
        <f t="shared" si="19"/>
        <v>OK</v>
      </c>
      <c r="U76" t="str">
        <f t="shared" si="20"/>
        <v>OK</v>
      </c>
      <c r="V76" t="str">
        <f t="shared" si="21"/>
        <v>OK</v>
      </c>
      <c r="W76" t="str">
        <f t="shared" si="22"/>
        <v>OK</v>
      </c>
      <c r="X76" t="str">
        <f t="shared" si="23"/>
        <v>OK</v>
      </c>
      <c r="Y76" t="str">
        <f t="shared" si="24"/>
        <v>OK</v>
      </c>
      <c r="Z76">
        <v>71</v>
      </c>
      <c r="AA76">
        <v>73</v>
      </c>
      <c r="AB76" t="s">
        <v>2380</v>
      </c>
      <c r="AC76" t="s">
        <v>72</v>
      </c>
      <c r="AD76" t="s">
        <v>463</v>
      </c>
      <c r="AE76" t="s">
        <v>555</v>
      </c>
      <c r="AG76" t="s">
        <v>896</v>
      </c>
      <c r="AI76" t="s">
        <v>2328</v>
      </c>
      <c r="AJ76" t="s">
        <v>1395</v>
      </c>
      <c r="AK76" t="s">
        <v>2380</v>
      </c>
      <c r="AL76" t="s">
        <v>2381</v>
      </c>
      <c r="AN76" t="str">
        <f t="shared" si="26"/>
        <v>OK</v>
      </c>
      <c r="AO76" t="str">
        <f t="shared" si="27"/>
        <v>OK</v>
      </c>
      <c r="AP76" t="str">
        <f t="shared" si="28"/>
        <v>OK</v>
      </c>
      <c r="AR76" t="str">
        <f t="shared" si="29"/>
        <v>OK</v>
      </c>
      <c r="AS76" t="str">
        <f t="shared" si="30"/>
        <v>OK</v>
      </c>
      <c r="AT76" t="str">
        <f t="shared" si="31"/>
        <v>NOK</v>
      </c>
      <c r="AU76" t="str">
        <f t="shared" si="32"/>
        <v>OK</v>
      </c>
      <c r="AV76" t="str">
        <f t="shared" si="33"/>
        <v>OK</v>
      </c>
      <c r="AW76" t="str">
        <f t="shared" si="34"/>
        <v>OK</v>
      </c>
    </row>
    <row r="77" spans="1:49">
      <c r="A77">
        <f>Dbase_velden_versie4_2!A73</f>
        <v>73</v>
      </c>
      <c r="B77" t="str">
        <f>Dbase_velden_versie4_2!B73</f>
        <v>CLAS_VN_FILENAAM_DIGITAAL</v>
      </c>
      <c r="C77" t="str">
        <f>Dbase_velden_versie4_2!C73</f>
        <v>-</v>
      </c>
      <c r="D77" t="str">
        <f>Dbase_velden_versie4_2!D73</f>
        <v>Bestandsnaam van de file waarin de gegevens van de veenclassificatie conform het STOWA-format is opgenomen</v>
      </c>
      <c r="E77" t="str">
        <f>Dbase_velden_versie4_2!E73</f>
        <v>String</v>
      </c>
      <c r="F77">
        <f>Dbase_velden_versie4_2!F73</f>
        <v>0</v>
      </c>
      <c r="G77" t="str">
        <f>Dbase_velden_versie4_2!G73</f>
        <v>CLAS VN FILENAAM DIGITAAL</v>
      </c>
      <c r="H77" t="str">
        <f>Dbase_velden_versie4_2!H73</f>
        <v>[-]</v>
      </c>
      <c r="I77" t="str">
        <f>Dbase_velden_versie4_2!I73</f>
        <v>CLAS_VN</v>
      </c>
      <c r="J77" t="str">
        <f>Dbase_velden_versie4_2!J73</f>
        <v>Veenclassificatie</v>
      </c>
      <c r="K77">
        <v>73</v>
      </c>
      <c r="L77" t="str">
        <v>CLAS_VN_FILENAAM_DIGITAAL</v>
      </c>
      <c r="M77" t="str">
        <v>-</v>
      </c>
      <c r="N77" t="str">
        <v>Bestandsnaam van de file waarin de gegevens van de veenclassificatie conform het STOWA-format is opgenomen</v>
      </c>
      <c r="O77" t="str">
        <v>String</v>
      </c>
      <c r="P77">
        <v>0</v>
      </c>
      <c r="Q77" t="str">
        <v>CLAS VN FILENAAM DIGITAAL</v>
      </c>
      <c r="R77" t="str">
        <v>[-]</v>
      </c>
      <c r="S77" t="str">
        <f t="shared" si="25"/>
        <v>OK</v>
      </c>
      <c r="T77" t="str">
        <f t="shared" si="19"/>
        <v>OK</v>
      </c>
      <c r="U77" t="str">
        <f t="shared" si="20"/>
        <v>OK</v>
      </c>
      <c r="V77" t="str">
        <f t="shared" si="21"/>
        <v>OK</v>
      </c>
      <c r="W77" t="str">
        <f t="shared" si="22"/>
        <v>OK</v>
      </c>
      <c r="X77" t="str">
        <f t="shared" si="23"/>
        <v>OK</v>
      </c>
      <c r="Y77" t="str">
        <f t="shared" si="24"/>
        <v>OK</v>
      </c>
      <c r="Z77">
        <v>72</v>
      </c>
      <c r="AA77">
        <v>74</v>
      </c>
      <c r="AB77" t="s">
        <v>2380</v>
      </c>
      <c r="AC77" t="s">
        <v>73</v>
      </c>
      <c r="AD77" t="s">
        <v>463</v>
      </c>
      <c r="AE77" t="s">
        <v>556</v>
      </c>
      <c r="AG77" t="s">
        <v>896</v>
      </c>
      <c r="AI77" t="s">
        <v>2347</v>
      </c>
      <c r="AJ77" t="s">
        <v>1395</v>
      </c>
      <c r="AK77" t="s">
        <v>2380</v>
      </c>
      <c r="AL77" t="s">
        <v>2381</v>
      </c>
      <c r="AN77" t="str">
        <f t="shared" si="26"/>
        <v>OK</v>
      </c>
      <c r="AO77" t="str">
        <f t="shared" si="27"/>
        <v>OK</v>
      </c>
      <c r="AP77" t="str">
        <f t="shared" si="28"/>
        <v>OK</v>
      </c>
      <c r="AR77" t="str">
        <f t="shared" si="29"/>
        <v>OK</v>
      </c>
      <c r="AS77" t="str">
        <f t="shared" si="30"/>
        <v>OK</v>
      </c>
      <c r="AT77" t="str">
        <f t="shared" si="31"/>
        <v>NOK</v>
      </c>
      <c r="AU77" t="str">
        <f t="shared" si="32"/>
        <v>OK</v>
      </c>
      <c r="AV77" t="str">
        <f t="shared" si="33"/>
        <v>OK</v>
      </c>
      <c r="AW77" t="str">
        <f t="shared" si="34"/>
        <v>OK</v>
      </c>
    </row>
    <row r="78" spans="1:49">
      <c r="A78">
        <f>Dbase_velden_versie4_2!A74</f>
        <v>74</v>
      </c>
      <c r="B78" t="str">
        <f>Dbase_velden_versie4_2!B74</f>
        <v>CLAS_VN_HOOFDNAAM</v>
      </c>
      <c r="C78" t="str">
        <f>Dbase_velden_versie4_2!C74</f>
        <v>-</v>
      </c>
      <c r="D78" t="str">
        <f>Dbase_velden_versie4_2!D74</f>
        <v>Classificatie van het veen conform de TAW-leidraad TR16 Geotechnische classificatie van veen. Hoofdnaam van het veen. [V, Vk1, Vk2, Vz1, Vz3]</v>
      </c>
      <c r="E78" t="str">
        <f>Dbase_velden_versie4_2!E74</f>
        <v>String</v>
      </c>
      <c r="F78">
        <f>Dbase_velden_versie4_2!F74</f>
        <v>0</v>
      </c>
      <c r="G78" t="str">
        <f>Dbase_velden_versie4_2!G74</f>
        <v>CLAS VN HOOFDNAAM</v>
      </c>
      <c r="H78" t="str">
        <f>Dbase_velden_versie4_2!H74</f>
        <v>[-]</v>
      </c>
      <c r="I78" t="str">
        <f>Dbase_velden_versie4_2!I74</f>
        <v>CLAS_VN</v>
      </c>
      <c r="J78" t="str">
        <f>Dbase_velden_versie4_2!J74</f>
        <v>Veenclassificatie</v>
      </c>
      <c r="K78">
        <v>74</v>
      </c>
      <c r="L78" t="str">
        <v>CLAS_VN_HOOFDNAAM</v>
      </c>
      <c r="M78" t="str">
        <v>-</v>
      </c>
      <c r="N78" t="str">
        <v>Classificatie van het veen conform de TAW-leidraad TR16 Geotechnische classificatie van veen. Hoofdnaam van het veen. [V, Vk1, Vk2, Vz1, Vz3]</v>
      </c>
      <c r="O78" t="str">
        <v>String</v>
      </c>
      <c r="P78">
        <v>0</v>
      </c>
      <c r="Q78" t="str">
        <v>CLAS VN HOOFDNAAM</v>
      </c>
      <c r="R78" t="str">
        <v>[-]</v>
      </c>
      <c r="S78" t="str">
        <f t="shared" si="25"/>
        <v>OK</v>
      </c>
      <c r="T78" t="str">
        <f t="shared" si="19"/>
        <v>OK</v>
      </c>
      <c r="U78" t="str">
        <f t="shared" si="20"/>
        <v>OK</v>
      </c>
      <c r="V78" t="str">
        <f t="shared" si="21"/>
        <v>OK</v>
      </c>
      <c r="W78" t="str">
        <f t="shared" si="22"/>
        <v>OK</v>
      </c>
      <c r="X78" t="str">
        <f t="shared" si="23"/>
        <v>OK</v>
      </c>
      <c r="Y78" t="str">
        <f t="shared" si="24"/>
        <v>OK</v>
      </c>
      <c r="Z78">
        <v>73</v>
      </c>
      <c r="AA78">
        <v>75</v>
      </c>
      <c r="AB78" t="s">
        <v>2380</v>
      </c>
      <c r="AC78" t="s">
        <v>74</v>
      </c>
      <c r="AD78" t="s">
        <v>463</v>
      </c>
      <c r="AE78" t="s">
        <v>557</v>
      </c>
      <c r="AG78" t="s">
        <v>896</v>
      </c>
      <c r="AI78" t="s">
        <v>2382</v>
      </c>
      <c r="AJ78" t="s">
        <v>1395</v>
      </c>
      <c r="AK78" t="s">
        <v>2380</v>
      </c>
      <c r="AL78" t="s">
        <v>2381</v>
      </c>
      <c r="AN78" t="str">
        <f t="shared" si="26"/>
        <v>OK</v>
      </c>
      <c r="AO78" t="str">
        <f t="shared" si="27"/>
        <v>OK</v>
      </c>
      <c r="AP78" t="str">
        <f t="shared" si="28"/>
        <v>OK</v>
      </c>
      <c r="AR78" t="str">
        <f t="shared" si="29"/>
        <v>OK</v>
      </c>
      <c r="AS78" t="str">
        <f t="shared" si="30"/>
        <v>OK</v>
      </c>
      <c r="AT78" t="str">
        <f t="shared" si="31"/>
        <v>NOK</v>
      </c>
      <c r="AU78" t="str">
        <f t="shared" si="32"/>
        <v>OK</v>
      </c>
      <c r="AV78" t="str">
        <f t="shared" si="33"/>
        <v>OK</v>
      </c>
      <c r="AW78" t="str">
        <f t="shared" si="34"/>
        <v>OK</v>
      </c>
    </row>
    <row r="79" spans="1:49">
      <c r="A79">
        <f>Dbase_velden_versie4_2!A75</f>
        <v>75</v>
      </c>
      <c r="B79" t="str">
        <f>Dbase_velden_versie4_2!B75</f>
        <v>CLAS_VN_BOTANISCH</v>
      </c>
      <c r="C79" t="str">
        <f>Dbase_velden_versie4_2!C75</f>
        <v>-</v>
      </c>
      <c r="D79" t="str">
        <f>Dbase_velden_versie4_2!D75</f>
        <v>Classificatie van het veen conform de TAW-leidraad TR16 Geotechnische classificatie van veen. Botanische samenstelling. [Sch, Ph, C, W, N Er, S, H, B]</v>
      </c>
      <c r="E79" t="str">
        <f>Dbase_velden_versie4_2!E75</f>
        <v>String</v>
      </c>
      <c r="F79">
        <f>Dbase_velden_versie4_2!F75</f>
        <v>0</v>
      </c>
      <c r="G79" t="str">
        <f>Dbase_velden_versie4_2!G75</f>
        <v>CLAS VN BOTANISCH</v>
      </c>
      <c r="H79" t="str">
        <f>Dbase_velden_versie4_2!H75</f>
        <v>[-]</v>
      </c>
      <c r="I79" t="str">
        <f>Dbase_velden_versie4_2!I75</f>
        <v>CLAS_VN</v>
      </c>
      <c r="J79" t="str">
        <f>Dbase_velden_versie4_2!J75</f>
        <v>Veenclassificatie</v>
      </c>
      <c r="K79">
        <v>75</v>
      </c>
      <c r="L79" t="str">
        <v>CLAS_VN_BOTANISCH</v>
      </c>
      <c r="M79" t="str">
        <v>-</v>
      </c>
      <c r="N79" t="str">
        <v>Classificatie van het veen conform de TAW-leidraad TR16 Geotechnische classificatie van veen. Botanische samenstelling. [Sch, Ph, C, W, N Er, S, H, B]</v>
      </c>
      <c r="O79" t="str">
        <v>String</v>
      </c>
      <c r="P79">
        <v>0</v>
      </c>
      <c r="Q79" t="str">
        <v>CLAS VN BOTANISCH</v>
      </c>
      <c r="R79" t="str">
        <v>[-]</v>
      </c>
      <c r="S79" t="str">
        <f t="shared" si="25"/>
        <v>OK</v>
      </c>
      <c r="T79" t="str">
        <f t="shared" si="19"/>
        <v>OK</v>
      </c>
      <c r="U79" t="str">
        <f t="shared" si="20"/>
        <v>OK</v>
      </c>
      <c r="V79" t="str">
        <f t="shared" si="21"/>
        <v>OK</v>
      </c>
      <c r="W79" t="str">
        <f t="shared" si="22"/>
        <v>OK</v>
      </c>
      <c r="X79" t="str">
        <f t="shared" si="23"/>
        <v>OK</v>
      </c>
      <c r="Y79" t="str">
        <f t="shared" si="24"/>
        <v>OK</v>
      </c>
      <c r="Z79">
        <v>74</v>
      </c>
      <c r="AA79">
        <v>76</v>
      </c>
      <c r="AB79" t="s">
        <v>2380</v>
      </c>
      <c r="AC79" t="s">
        <v>75</v>
      </c>
      <c r="AD79" t="s">
        <v>463</v>
      </c>
      <c r="AE79" t="s">
        <v>558</v>
      </c>
      <c r="AG79" t="s">
        <v>896</v>
      </c>
      <c r="AI79" t="s">
        <v>2383</v>
      </c>
      <c r="AJ79" t="s">
        <v>1395</v>
      </c>
      <c r="AK79" t="s">
        <v>2380</v>
      </c>
      <c r="AL79" t="s">
        <v>2381</v>
      </c>
      <c r="AN79" t="str">
        <f t="shared" si="26"/>
        <v>OK</v>
      </c>
      <c r="AO79" t="str">
        <f t="shared" si="27"/>
        <v>OK</v>
      </c>
      <c r="AP79" t="str">
        <f t="shared" si="28"/>
        <v>OK</v>
      </c>
      <c r="AR79" t="str">
        <f t="shared" si="29"/>
        <v>OK</v>
      </c>
      <c r="AS79" t="str">
        <f t="shared" si="30"/>
        <v>OK</v>
      </c>
      <c r="AT79" t="str">
        <f t="shared" si="31"/>
        <v>NOK</v>
      </c>
      <c r="AU79" t="str">
        <f t="shared" si="32"/>
        <v>OK</v>
      </c>
      <c r="AV79" t="str">
        <f t="shared" si="33"/>
        <v>OK</v>
      </c>
      <c r="AW79" t="str">
        <f t="shared" si="34"/>
        <v>OK</v>
      </c>
    </row>
    <row r="80" spans="1:49">
      <c r="A80">
        <f>Dbase_velden_versie4_2!A76</f>
        <v>76</v>
      </c>
      <c r="B80" t="str">
        <f>Dbase_velden_versie4_2!B76</f>
        <v>CLAS_VN_VERWERINGSGRAAD</v>
      </c>
      <c r="C80" t="str">
        <f>Dbase_velden_versie4_2!C76</f>
        <v>-</v>
      </c>
      <c r="D80" t="str">
        <f>Dbase_velden_versie4_2!D76</f>
        <v>Classificatie van het veen conform de TAW-leidraad TR16 Geotechnische classificatie van veen. Verweringsgraad volgens Von Post [H'1, H'2 , H'3, H;4]</v>
      </c>
      <c r="E80" t="str">
        <f>Dbase_velden_versie4_2!E76</f>
        <v>String</v>
      </c>
      <c r="F80">
        <f>Dbase_velden_versie4_2!F76</f>
        <v>0</v>
      </c>
      <c r="G80" t="str">
        <f>Dbase_velden_versie4_2!G76</f>
        <v>CLAS VN VERWERINGSGRAAD</v>
      </c>
      <c r="H80" t="str">
        <f>Dbase_velden_versie4_2!H76</f>
        <v>[-]</v>
      </c>
      <c r="I80" t="str">
        <f>Dbase_velden_versie4_2!I76</f>
        <v>CLAS_VN</v>
      </c>
      <c r="J80" t="str">
        <f>Dbase_velden_versie4_2!J76</f>
        <v>Veenclassificatie</v>
      </c>
      <c r="K80">
        <v>76</v>
      </c>
      <c r="L80" t="str">
        <v>CLAS_VN_VERWERINGSGRAAD</v>
      </c>
      <c r="M80" t="str">
        <v>-</v>
      </c>
      <c r="N80" t="str">
        <v>Classificatie van het veen conform de TAW-leidraad TR16 Geotechnische classificatie van veen. Verweringsgraad volgens Von Post [H'1, H'2 , H'3, H;4]</v>
      </c>
      <c r="O80" t="str">
        <v>String</v>
      </c>
      <c r="P80">
        <v>0</v>
      </c>
      <c r="Q80" t="str">
        <v>CLAS VN VERWERINGSGRAAD</v>
      </c>
      <c r="R80" t="str">
        <v>[-]</v>
      </c>
      <c r="S80" t="str">
        <f t="shared" si="25"/>
        <v>OK</v>
      </c>
      <c r="T80" t="str">
        <f t="shared" si="19"/>
        <v>OK</v>
      </c>
      <c r="U80" t="str">
        <f t="shared" si="20"/>
        <v>OK</v>
      </c>
      <c r="V80" t="str">
        <f t="shared" si="21"/>
        <v>OK</v>
      </c>
      <c r="W80" t="str">
        <f t="shared" si="22"/>
        <v>OK</v>
      </c>
      <c r="X80" t="str">
        <f t="shared" si="23"/>
        <v>OK</v>
      </c>
      <c r="Y80" t="str">
        <f t="shared" si="24"/>
        <v>OK</v>
      </c>
      <c r="Z80">
        <v>75</v>
      </c>
      <c r="AA80">
        <v>77</v>
      </c>
      <c r="AB80" t="s">
        <v>2380</v>
      </c>
      <c r="AC80" t="s">
        <v>76</v>
      </c>
      <c r="AD80" t="s">
        <v>463</v>
      </c>
      <c r="AE80" t="s">
        <v>559</v>
      </c>
      <c r="AG80" t="s">
        <v>896</v>
      </c>
      <c r="AI80" t="s">
        <v>2384</v>
      </c>
      <c r="AJ80" t="s">
        <v>1395</v>
      </c>
      <c r="AK80" t="s">
        <v>2380</v>
      </c>
      <c r="AL80" t="s">
        <v>2381</v>
      </c>
      <c r="AN80" t="str">
        <f t="shared" si="26"/>
        <v>OK</v>
      </c>
      <c r="AO80" t="str">
        <f t="shared" si="27"/>
        <v>OK</v>
      </c>
      <c r="AP80" t="str">
        <f t="shared" si="28"/>
        <v>OK</v>
      </c>
      <c r="AR80" t="str">
        <f t="shared" si="29"/>
        <v>OK</v>
      </c>
      <c r="AS80" t="str">
        <f t="shared" si="30"/>
        <v>OK</v>
      </c>
      <c r="AT80" t="str">
        <f t="shared" si="31"/>
        <v>NOK</v>
      </c>
      <c r="AU80" t="str">
        <f t="shared" si="32"/>
        <v>OK</v>
      </c>
      <c r="AV80" t="str">
        <f t="shared" si="33"/>
        <v>OK</v>
      </c>
      <c r="AW80" t="str">
        <f t="shared" si="34"/>
        <v>OK</v>
      </c>
    </row>
    <row r="81" spans="1:49">
      <c r="A81">
        <f>Dbase_velden_versie4_2!A77</f>
        <v>77</v>
      </c>
      <c r="B81" t="str">
        <f>Dbase_velden_versie4_2!B77</f>
        <v>CLAS_VN_WATERGEHALTE</v>
      </c>
      <c r="C81" t="str">
        <f>Dbase_velden_versie4_2!C77</f>
        <v>-</v>
      </c>
      <c r="D81" t="str">
        <f>Dbase_velden_versie4_2!D77</f>
        <v>Classificatie van het veen conform de TAW-leidraad TR16 Geotechnische classificatie van veen. Watergehalte [B1, B2, B3, B4, B5]</v>
      </c>
      <c r="E81" t="str">
        <f>Dbase_velden_versie4_2!E77</f>
        <v>String</v>
      </c>
      <c r="F81">
        <f>Dbase_velden_versie4_2!F77</f>
        <v>0</v>
      </c>
      <c r="G81" t="str">
        <f>Dbase_velden_versie4_2!G77</f>
        <v>CLAS VN WATERGEHALTE</v>
      </c>
      <c r="H81" t="str">
        <f>Dbase_velden_versie4_2!H77</f>
        <v>[-]</v>
      </c>
      <c r="I81" t="str">
        <f>Dbase_velden_versie4_2!I77</f>
        <v>CLAS_VN</v>
      </c>
      <c r="J81" t="str">
        <f>Dbase_velden_versie4_2!J77</f>
        <v>Veenclassificatie</v>
      </c>
      <c r="K81">
        <v>77</v>
      </c>
      <c r="L81" t="str">
        <v>CLAS_VN_WATERGEHALTE</v>
      </c>
      <c r="M81" t="str">
        <v>-</v>
      </c>
      <c r="N81" t="str">
        <v>Classificatie van het veen conform de TAW-leidraad TR16 Geotechnische classificatie van veen. Watergehalte [B1, B2, B3, B4, B5]</v>
      </c>
      <c r="O81" t="str">
        <v>String</v>
      </c>
      <c r="P81">
        <v>0</v>
      </c>
      <c r="Q81" t="str">
        <v>CLAS VN WATERGEHALTE</v>
      </c>
      <c r="R81" t="str">
        <v>[-]</v>
      </c>
      <c r="S81" t="str">
        <f t="shared" si="25"/>
        <v>OK</v>
      </c>
      <c r="T81" t="str">
        <f t="shared" si="19"/>
        <v>OK</v>
      </c>
      <c r="U81" t="str">
        <f t="shared" si="20"/>
        <v>OK</v>
      </c>
      <c r="V81" t="str">
        <f t="shared" si="21"/>
        <v>OK</v>
      </c>
      <c r="W81" t="str">
        <f t="shared" si="22"/>
        <v>OK</v>
      </c>
      <c r="X81" t="str">
        <f t="shared" si="23"/>
        <v>OK</v>
      </c>
      <c r="Y81" t="str">
        <f t="shared" si="24"/>
        <v>OK</v>
      </c>
      <c r="Z81">
        <v>76</v>
      </c>
      <c r="AA81">
        <v>78</v>
      </c>
      <c r="AB81" t="s">
        <v>2380</v>
      </c>
      <c r="AC81" t="s">
        <v>77</v>
      </c>
      <c r="AD81" t="s">
        <v>463</v>
      </c>
      <c r="AE81" t="s">
        <v>560</v>
      </c>
      <c r="AG81" t="s">
        <v>896</v>
      </c>
      <c r="AI81" t="s">
        <v>2362</v>
      </c>
      <c r="AJ81" t="s">
        <v>1395</v>
      </c>
      <c r="AK81" t="s">
        <v>2380</v>
      </c>
      <c r="AL81" t="s">
        <v>2381</v>
      </c>
      <c r="AN81" t="str">
        <f t="shared" si="26"/>
        <v>OK</v>
      </c>
      <c r="AO81" t="str">
        <f t="shared" si="27"/>
        <v>OK</v>
      </c>
      <c r="AP81" t="str">
        <f t="shared" si="28"/>
        <v>OK</v>
      </c>
      <c r="AR81" t="str">
        <f t="shared" si="29"/>
        <v>OK</v>
      </c>
      <c r="AS81" t="str">
        <f t="shared" si="30"/>
        <v>OK</v>
      </c>
      <c r="AT81" t="str">
        <f t="shared" si="31"/>
        <v>NOK</v>
      </c>
      <c r="AU81" t="str">
        <f t="shared" si="32"/>
        <v>OK</v>
      </c>
      <c r="AV81" t="str">
        <f t="shared" si="33"/>
        <v>OK</v>
      </c>
      <c r="AW81" t="str">
        <f t="shared" si="34"/>
        <v>OK</v>
      </c>
    </row>
    <row r="82" spans="1:49">
      <c r="A82">
        <f>Dbase_velden_versie4_2!A78</f>
        <v>78</v>
      </c>
      <c r="B82" t="str">
        <f>Dbase_velden_versie4_2!B78</f>
        <v>CLAS_VN_FIJNEVEZELS</v>
      </c>
      <c r="C82" t="str">
        <f>Dbase_velden_versie4_2!C78</f>
        <v>-</v>
      </c>
      <c r="D82" t="str">
        <f>Dbase_velden_versie4_2!D78</f>
        <v>Classificatie van het veen conform de TAW-leidraad TR16 Geotechnische classificatie van veen. Gehalte aan fijne vezels [F0, F1, F2, F3]</v>
      </c>
      <c r="E82" t="str">
        <f>Dbase_velden_versie4_2!E78</f>
        <v>String</v>
      </c>
      <c r="F82">
        <f>Dbase_velden_versie4_2!F78</f>
        <v>0</v>
      </c>
      <c r="G82" t="str">
        <f>Dbase_velden_versie4_2!G78</f>
        <v>CLAS VN FIJNEVEZELS</v>
      </c>
      <c r="H82" t="str">
        <f>Dbase_velden_versie4_2!H78</f>
        <v>[-]</v>
      </c>
      <c r="I82" t="str">
        <f>Dbase_velden_versie4_2!I78</f>
        <v>CLAS_VN</v>
      </c>
      <c r="J82" t="str">
        <f>Dbase_velden_versie4_2!J78</f>
        <v>Veenclassificatie</v>
      </c>
      <c r="K82">
        <v>78</v>
      </c>
      <c r="L82" t="str">
        <v>CLAS_VN_FIJNEVEZELS</v>
      </c>
      <c r="M82" t="str">
        <v>-</v>
      </c>
      <c r="N82" t="str">
        <v>Classificatie van het veen conform de TAW-leidraad TR16 Geotechnische classificatie van veen. Gehalte aan fijne vezels [F0, F1, F2, F3]</v>
      </c>
      <c r="O82" t="str">
        <v>String</v>
      </c>
      <c r="P82">
        <v>0</v>
      </c>
      <c r="Q82" t="str">
        <v>CLAS VN FIJNEVEZELS</v>
      </c>
      <c r="R82" t="str">
        <v>[-]</v>
      </c>
      <c r="S82" t="str">
        <f t="shared" si="25"/>
        <v>OK</v>
      </c>
      <c r="T82" t="str">
        <f t="shared" si="19"/>
        <v>OK</v>
      </c>
      <c r="U82" t="str">
        <f t="shared" si="20"/>
        <v>OK</v>
      </c>
      <c r="V82" t="str">
        <f t="shared" si="21"/>
        <v>OK</v>
      </c>
      <c r="W82" t="str">
        <f t="shared" si="22"/>
        <v>OK</v>
      </c>
      <c r="X82" t="str">
        <f t="shared" si="23"/>
        <v>OK</v>
      </c>
      <c r="Y82" t="str">
        <f t="shared" si="24"/>
        <v>OK</v>
      </c>
      <c r="Z82">
        <v>77</v>
      </c>
      <c r="AA82">
        <v>79</v>
      </c>
      <c r="AB82" t="s">
        <v>2380</v>
      </c>
      <c r="AC82" t="s">
        <v>78</v>
      </c>
      <c r="AD82" t="s">
        <v>463</v>
      </c>
      <c r="AE82" t="s">
        <v>561</v>
      </c>
      <c r="AG82" t="s">
        <v>896</v>
      </c>
      <c r="AI82" t="s">
        <v>2385</v>
      </c>
      <c r="AJ82" t="s">
        <v>1395</v>
      </c>
      <c r="AK82" t="s">
        <v>2380</v>
      </c>
      <c r="AL82" t="s">
        <v>2381</v>
      </c>
      <c r="AN82" t="str">
        <f t="shared" si="26"/>
        <v>OK</v>
      </c>
      <c r="AO82" t="str">
        <f t="shared" si="27"/>
        <v>OK</v>
      </c>
      <c r="AP82" t="str">
        <f t="shared" si="28"/>
        <v>OK</v>
      </c>
      <c r="AR82" t="str">
        <f t="shared" si="29"/>
        <v>OK</v>
      </c>
      <c r="AS82" t="str">
        <f t="shared" si="30"/>
        <v>OK</v>
      </c>
      <c r="AT82" t="str">
        <f t="shared" si="31"/>
        <v>NOK</v>
      </c>
      <c r="AU82" t="str">
        <f t="shared" si="32"/>
        <v>OK</v>
      </c>
      <c r="AV82" t="str">
        <f t="shared" si="33"/>
        <v>OK</v>
      </c>
      <c r="AW82" t="str">
        <f t="shared" si="34"/>
        <v>OK</v>
      </c>
    </row>
    <row r="83" spans="1:49">
      <c r="A83">
        <f>Dbase_velden_versie4_2!A79</f>
        <v>79</v>
      </c>
      <c r="B83" t="str">
        <f>Dbase_velden_versie4_2!B79</f>
        <v>CLAS_VN_GROVEVEZELS</v>
      </c>
      <c r="C83" t="str">
        <f>Dbase_velden_versie4_2!C79</f>
        <v>-</v>
      </c>
      <c r="D83" t="str">
        <f>Dbase_velden_versie4_2!D79</f>
        <v>Classificatie van het veen conform de TAW-leidraad TR16 Geotechnische classificatie van veen. Gehalte aan grove vezels [R0, R1, R2, R3]</v>
      </c>
      <c r="E83" t="str">
        <f>Dbase_velden_versie4_2!E79</f>
        <v>String</v>
      </c>
      <c r="F83">
        <f>Dbase_velden_versie4_2!F79</f>
        <v>0</v>
      </c>
      <c r="G83" t="str">
        <f>Dbase_velden_versie4_2!G79</f>
        <v>CLAS VN GROVEVEZELS</v>
      </c>
      <c r="H83" t="str">
        <f>Dbase_velden_versie4_2!H79</f>
        <v>[-]</v>
      </c>
      <c r="I83" t="str">
        <f>Dbase_velden_versie4_2!I79</f>
        <v>CLAS_VN</v>
      </c>
      <c r="J83" t="str">
        <f>Dbase_velden_versie4_2!J79</f>
        <v>Veenclassificatie</v>
      </c>
      <c r="K83">
        <v>79</v>
      </c>
      <c r="L83" t="str">
        <v>CLAS_VN_GROVEVEZELS</v>
      </c>
      <c r="M83" t="str">
        <v>-</v>
      </c>
      <c r="N83" t="str">
        <v>Classificatie van het veen conform de TAW-leidraad TR16 Geotechnische classificatie van veen. Gehalte aan grove vezels [R0, R1, R2, R3]</v>
      </c>
      <c r="O83" t="str">
        <v>String</v>
      </c>
      <c r="P83">
        <v>0</v>
      </c>
      <c r="Q83" t="str">
        <v>CLAS VN GROVEVEZELS</v>
      </c>
      <c r="R83" t="str">
        <v>[-]</v>
      </c>
      <c r="S83" t="str">
        <f t="shared" si="25"/>
        <v>OK</v>
      </c>
      <c r="T83" t="str">
        <f t="shared" si="19"/>
        <v>OK</v>
      </c>
      <c r="U83" t="str">
        <f t="shared" si="20"/>
        <v>OK</v>
      </c>
      <c r="V83" t="str">
        <f t="shared" si="21"/>
        <v>OK</v>
      </c>
      <c r="W83" t="str">
        <f t="shared" si="22"/>
        <v>OK</v>
      </c>
      <c r="X83" t="str">
        <f t="shared" si="23"/>
        <v>OK</v>
      </c>
      <c r="Y83" t="str">
        <f t="shared" si="24"/>
        <v>OK</v>
      </c>
      <c r="Z83">
        <v>78</v>
      </c>
      <c r="AA83">
        <v>80</v>
      </c>
      <c r="AB83" t="s">
        <v>2380</v>
      </c>
      <c r="AC83" t="s">
        <v>79</v>
      </c>
      <c r="AD83" t="s">
        <v>463</v>
      </c>
      <c r="AE83" t="s">
        <v>562</v>
      </c>
      <c r="AG83" t="s">
        <v>896</v>
      </c>
      <c r="AI83" t="s">
        <v>2386</v>
      </c>
      <c r="AJ83" t="s">
        <v>1395</v>
      </c>
      <c r="AK83" t="s">
        <v>2380</v>
      </c>
      <c r="AL83" t="s">
        <v>2381</v>
      </c>
      <c r="AN83" t="str">
        <f t="shared" si="26"/>
        <v>OK</v>
      </c>
      <c r="AO83" t="str">
        <f t="shared" si="27"/>
        <v>OK</v>
      </c>
      <c r="AP83" t="str">
        <f t="shared" si="28"/>
        <v>OK</v>
      </c>
      <c r="AR83" t="str">
        <f t="shared" si="29"/>
        <v>OK</v>
      </c>
      <c r="AS83" t="str">
        <f t="shared" si="30"/>
        <v>OK</v>
      </c>
      <c r="AT83" t="str">
        <f t="shared" si="31"/>
        <v>NOK</v>
      </c>
      <c r="AU83" t="str">
        <f t="shared" si="32"/>
        <v>OK</v>
      </c>
      <c r="AV83" t="str">
        <f t="shared" si="33"/>
        <v>OK</v>
      </c>
      <c r="AW83" t="str">
        <f t="shared" si="34"/>
        <v>OK</v>
      </c>
    </row>
    <row r="84" spans="1:49">
      <c r="A84">
        <f>Dbase_velden_versie4_2!A80</f>
        <v>80</v>
      </c>
      <c r="B84" t="str">
        <f>Dbase_velden_versie4_2!B80</f>
        <v>CLAS_VN_HOUT</v>
      </c>
      <c r="C84" t="str">
        <f>Dbase_velden_versie4_2!C80</f>
        <v>-</v>
      </c>
      <c r="D84" t="str">
        <f>Dbase_velden_versie4_2!D80</f>
        <v>Classificatie van het veen conform de TAW-leidraad TR16 Geotechnische classificatie van veen. Gehalte aan hout [W0, W1, W2, W3]</v>
      </c>
      <c r="E84" t="str">
        <f>Dbase_velden_versie4_2!E80</f>
        <v>String</v>
      </c>
      <c r="F84">
        <f>Dbase_velden_versie4_2!F80</f>
        <v>0</v>
      </c>
      <c r="G84" t="str">
        <f>Dbase_velden_versie4_2!G80</f>
        <v>CLAS VN HOUT</v>
      </c>
      <c r="H84" t="str">
        <f>Dbase_velden_versie4_2!H80</f>
        <v>[-]</v>
      </c>
      <c r="I84" t="str">
        <f>Dbase_velden_versie4_2!I80</f>
        <v>CLAS_VN</v>
      </c>
      <c r="J84" t="str">
        <f>Dbase_velden_versie4_2!J80</f>
        <v>Veenclassificatie</v>
      </c>
      <c r="K84">
        <v>80</v>
      </c>
      <c r="L84" t="str">
        <v>CLAS_VN_HOUT</v>
      </c>
      <c r="M84" t="str">
        <v>-</v>
      </c>
      <c r="N84" t="str">
        <v>Classificatie van het veen conform de TAW-leidraad TR16 Geotechnische classificatie van veen. Gehalte aan hout [W0, W1, W2, W3]</v>
      </c>
      <c r="O84" t="str">
        <v>String</v>
      </c>
      <c r="P84">
        <v>0</v>
      </c>
      <c r="Q84" t="str">
        <v>CLAS VN HOUT</v>
      </c>
      <c r="R84" t="str">
        <v>[-]</v>
      </c>
      <c r="S84" t="str">
        <f t="shared" si="25"/>
        <v>OK</v>
      </c>
      <c r="T84" t="str">
        <f t="shared" si="19"/>
        <v>OK</v>
      </c>
      <c r="U84" t="str">
        <f t="shared" si="20"/>
        <v>OK</v>
      </c>
      <c r="V84" t="str">
        <f t="shared" si="21"/>
        <v>OK</v>
      </c>
      <c r="W84" t="str">
        <f t="shared" si="22"/>
        <v>OK</v>
      </c>
      <c r="X84" t="str">
        <f t="shared" si="23"/>
        <v>OK</v>
      </c>
      <c r="Y84" t="str">
        <f t="shared" si="24"/>
        <v>OK</v>
      </c>
      <c r="Z84">
        <v>79</v>
      </c>
      <c r="AA84">
        <v>81</v>
      </c>
      <c r="AB84" t="s">
        <v>2380</v>
      </c>
      <c r="AC84" t="s">
        <v>80</v>
      </c>
      <c r="AD84" t="s">
        <v>463</v>
      </c>
      <c r="AE84" t="s">
        <v>563</v>
      </c>
      <c r="AG84" t="s">
        <v>896</v>
      </c>
      <c r="AI84" t="s">
        <v>2387</v>
      </c>
      <c r="AJ84" t="s">
        <v>1395</v>
      </c>
      <c r="AK84" t="s">
        <v>2380</v>
      </c>
      <c r="AL84" t="s">
        <v>2381</v>
      </c>
      <c r="AN84" t="str">
        <f t="shared" si="26"/>
        <v>OK</v>
      </c>
      <c r="AO84" t="str">
        <f t="shared" si="27"/>
        <v>OK</v>
      </c>
      <c r="AP84" t="str">
        <f t="shared" si="28"/>
        <v>OK</v>
      </c>
      <c r="AR84" t="str">
        <f t="shared" si="29"/>
        <v>OK</v>
      </c>
      <c r="AS84" t="str">
        <f t="shared" si="30"/>
        <v>OK</v>
      </c>
      <c r="AT84" t="str">
        <f t="shared" si="31"/>
        <v>NOK</v>
      </c>
      <c r="AU84" t="str">
        <f t="shared" si="32"/>
        <v>OK</v>
      </c>
      <c r="AV84" t="str">
        <f t="shared" si="33"/>
        <v>OK</v>
      </c>
      <c r="AW84" t="str">
        <f t="shared" si="34"/>
        <v>OK</v>
      </c>
    </row>
    <row r="85" spans="1:49">
      <c r="A85">
        <f>Dbase_velden_versie4_2!A81</f>
        <v>81</v>
      </c>
      <c r="B85" t="str">
        <f>Dbase_velden_versie4_2!B81</f>
        <v>CLAS_VN_GLOEIVERLIES</v>
      </c>
      <c r="C85" t="str">
        <f>Dbase_velden_versie4_2!C81</f>
        <v>%</v>
      </c>
      <c r="D85" t="str">
        <f>Dbase_velden_versie4_2!D81</f>
        <v>Classificatie van het veen conform de TAW-leidraad TR16 Geotechnische classificatie van veen. Resultaat van de bepaling van het gloeiverlies in %. Gloeiverlies is (de massa voor verassing minus de massa na verassing) in verhouding tot (de massa na verassing). Op basis van het gloeiverlies kan het asgehalte bepaald worden.</v>
      </c>
      <c r="E85" t="str">
        <f>Dbase_velden_versie4_2!E81</f>
        <v>Double</v>
      </c>
      <c r="F85">
        <f>Dbase_velden_versie4_2!F81</f>
        <v>0</v>
      </c>
      <c r="G85" t="str">
        <f>Dbase_velden_versie4_2!G81</f>
        <v>CLAS VN GLOEIVERLIES</v>
      </c>
      <c r="H85" t="str">
        <f>Dbase_velden_versie4_2!H81</f>
        <v>[%]</v>
      </c>
      <c r="I85" t="str">
        <f>Dbase_velden_versie4_2!I81</f>
        <v>CLAS_VN</v>
      </c>
      <c r="J85" t="str">
        <f>Dbase_velden_versie4_2!J81</f>
        <v>Veenclassificatie</v>
      </c>
      <c r="K85">
        <v>81</v>
      </c>
      <c r="L85" t="str">
        <v>CLAS_VN_GLOEIVERLIES</v>
      </c>
      <c r="M85" t="str">
        <v>%</v>
      </c>
      <c r="N85" t="str">
        <v>Classificatie van het veen conform de TAW-leidraad TR16 Geotechnische classificatie van veen. Resultaat van de bepaling van het gloeiverlies in %. Gloeiverlies is (de massa voor verassing minus de massa na verassing) in verhouding tot (de massa na verassing). Op basis van het gloeiverlies kan het asgehalte bepaald worden.</v>
      </c>
      <c r="O85" t="str">
        <v>Double</v>
      </c>
      <c r="P85">
        <v>0</v>
      </c>
      <c r="Q85" t="str">
        <v>CLAS VN GLOEIVERLIES</v>
      </c>
      <c r="R85" t="str">
        <v>[%]</v>
      </c>
      <c r="S85" t="str">
        <f t="shared" si="25"/>
        <v>OK</v>
      </c>
      <c r="T85" t="str">
        <f t="shared" si="19"/>
        <v>OK</v>
      </c>
      <c r="U85" t="str">
        <f t="shared" si="20"/>
        <v>OK</v>
      </c>
      <c r="V85" t="str">
        <f t="shared" si="21"/>
        <v>OK</v>
      </c>
      <c r="W85" t="str">
        <f t="shared" si="22"/>
        <v>OK</v>
      </c>
      <c r="X85" t="str">
        <f t="shared" si="23"/>
        <v>OK</v>
      </c>
      <c r="Y85" t="str">
        <f t="shared" si="24"/>
        <v>OK</v>
      </c>
      <c r="Z85">
        <v>80</v>
      </c>
      <c r="AA85">
        <v>82</v>
      </c>
      <c r="AB85" t="s">
        <v>2380</v>
      </c>
      <c r="AC85" t="s">
        <v>81</v>
      </c>
      <c r="AD85" t="s">
        <v>468</v>
      </c>
      <c r="AE85" t="s">
        <v>564</v>
      </c>
      <c r="AG85" t="s">
        <v>897</v>
      </c>
      <c r="AI85" t="s">
        <v>2369</v>
      </c>
      <c r="AJ85" t="s">
        <v>1400</v>
      </c>
      <c r="AK85" t="s">
        <v>2380</v>
      </c>
      <c r="AL85" t="s">
        <v>2381</v>
      </c>
      <c r="AN85" t="str">
        <f t="shared" si="26"/>
        <v>OK</v>
      </c>
      <c r="AO85" t="str">
        <f t="shared" si="27"/>
        <v>OK</v>
      </c>
      <c r="AP85" t="str">
        <f t="shared" si="28"/>
        <v>OK</v>
      </c>
      <c r="AR85" t="str">
        <f t="shared" si="29"/>
        <v>OK</v>
      </c>
      <c r="AS85" t="str">
        <f t="shared" si="30"/>
        <v>OK</v>
      </c>
      <c r="AT85" t="str">
        <f t="shared" si="31"/>
        <v>NOK</v>
      </c>
      <c r="AU85" t="str">
        <f t="shared" si="32"/>
        <v>OK</v>
      </c>
      <c r="AV85" t="str">
        <f t="shared" si="33"/>
        <v>OK</v>
      </c>
      <c r="AW85" t="str">
        <f t="shared" si="34"/>
        <v>OK</v>
      </c>
    </row>
    <row r="86" spans="1:49">
      <c r="A86">
        <f>Dbase_velden_versie4_2!A82</f>
        <v>82</v>
      </c>
      <c r="B86" t="str">
        <f>Dbase_velden_versie4_2!B82</f>
        <v>CLAS_VN_ASGEHALTE</v>
      </c>
      <c r="C86" t="str">
        <f>Dbase_velden_versie4_2!C82</f>
        <v>%</v>
      </c>
      <c r="D86" t="str">
        <f>Dbase_velden_versie4_2!D82</f>
        <v>Classificatie van het veen conform de TAW-leidraad TR16 Geotechnische classificatie van veen. Gehalte aan as [N1, N2, N3, N4]. Het asgehalte is te bepalen op basis van het gloeiverlies. Het asgehalte is 1,04 maal (100% minus het gloeiverlies in %).</v>
      </c>
      <c r="E86" t="str">
        <f>Dbase_velden_versie4_2!E82</f>
        <v>Double</v>
      </c>
      <c r="F86">
        <f>Dbase_velden_versie4_2!F82</f>
        <v>0</v>
      </c>
      <c r="G86" t="str">
        <f>Dbase_velden_versie4_2!G82</f>
        <v>CLAS VN ASGEHALTE</v>
      </c>
      <c r="H86" t="str">
        <f>Dbase_velden_versie4_2!H82</f>
        <v>[%]</v>
      </c>
      <c r="I86" t="str">
        <f>Dbase_velden_versie4_2!I82</f>
        <v>CLAS_VN</v>
      </c>
      <c r="J86" t="str">
        <f>Dbase_velden_versie4_2!J82</f>
        <v>Veenclassificatie</v>
      </c>
      <c r="K86">
        <v>82</v>
      </c>
      <c r="L86" t="str">
        <v>CLAS_VN_ASGEHALTE</v>
      </c>
      <c r="M86" t="str">
        <v>%</v>
      </c>
      <c r="N86" t="str">
        <v>Classificatie van het veen conform de TAW-leidraad TR16 Geotechnische classificatie van veen. Gehalte aan as [N1, N2, N3, N4]. Het asgehalte is te bepalen op basis van het gloeiverlies. Het asgehalte is 1,04 maal (100% minus het gloeiverlies in %).</v>
      </c>
      <c r="O86" t="str">
        <v>Double</v>
      </c>
      <c r="P86">
        <v>0</v>
      </c>
      <c r="Q86" t="str">
        <v>CLAS VN ASGEHALTE</v>
      </c>
      <c r="R86" t="str">
        <v>[%]</v>
      </c>
      <c r="S86" t="str">
        <f t="shared" si="25"/>
        <v>OK</v>
      </c>
      <c r="T86" t="str">
        <f t="shared" si="19"/>
        <v>OK</v>
      </c>
      <c r="U86" t="str">
        <f t="shared" si="20"/>
        <v>OK</v>
      </c>
      <c r="V86" t="str">
        <f t="shared" si="21"/>
        <v>OK</v>
      </c>
      <c r="W86" t="str">
        <f t="shared" si="22"/>
        <v>OK</v>
      </c>
      <c r="X86" t="str">
        <f t="shared" si="23"/>
        <v>OK</v>
      </c>
      <c r="Y86" t="str">
        <f t="shared" si="24"/>
        <v>OK</v>
      </c>
      <c r="Z86">
        <v>81</v>
      </c>
      <c r="AA86">
        <v>83</v>
      </c>
      <c r="AB86" t="s">
        <v>2380</v>
      </c>
      <c r="AC86" t="s">
        <v>82</v>
      </c>
      <c r="AD86" t="s">
        <v>468</v>
      </c>
      <c r="AE86" t="s">
        <v>565</v>
      </c>
      <c r="AG86" t="s">
        <v>897</v>
      </c>
      <c r="AI86" t="s">
        <v>2388</v>
      </c>
      <c r="AJ86" t="s">
        <v>1400</v>
      </c>
      <c r="AK86" t="s">
        <v>2380</v>
      </c>
      <c r="AL86" t="s">
        <v>2381</v>
      </c>
      <c r="AN86" t="str">
        <f t="shared" si="26"/>
        <v>OK</v>
      </c>
      <c r="AO86" t="str">
        <f t="shared" si="27"/>
        <v>OK</v>
      </c>
      <c r="AP86" t="str">
        <f t="shared" si="28"/>
        <v>OK</v>
      </c>
      <c r="AR86" t="str">
        <f t="shared" si="29"/>
        <v>OK</v>
      </c>
      <c r="AS86" t="str">
        <f t="shared" si="30"/>
        <v>OK</v>
      </c>
      <c r="AT86" t="str">
        <f t="shared" si="31"/>
        <v>NOK</v>
      </c>
      <c r="AU86" t="str">
        <f t="shared" si="32"/>
        <v>OK</v>
      </c>
      <c r="AV86" t="str">
        <f t="shared" si="33"/>
        <v>OK</v>
      </c>
      <c r="AW86" t="str">
        <f t="shared" si="34"/>
        <v>OK</v>
      </c>
    </row>
    <row r="87" spans="1:49">
      <c r="A87">
        <f>Dbase_velden_versie4_2!A83</f>
        <v>83</v>
      </c>
      <c r="B87" t="str">
        <f>Dbase_velden_versie4_2!B83</f>
        <v>KV_FILENAAM_PDF</v>
      </c>
      <c r="C87" t="str">
        <f>Dbase_velden_versie4_2!C83</f>
        <v>-</v>
      </c>
      <c r="D87" t="str">
        <f>Dbase_velden_versie4_2!D83</f>
        <v>Bestandnaam van de pdf waarin de korrelverdeling is gerapporteerd</v>
      </c>
      <c r="E87" t="str">
        <f>Dbase_velden_versie4_2!E83</f>
        <v>String</v>
      </c>
      <c r="F87">
        <f>Dbase_velden_versie4_2!F83</f>
        <v>0</v>
      </c>
      <c r="G87" t="str">
        <f>Dbase_velden_versie4_2!G83</f>
        <v>KV FILENAAM PDF</v>
      </c>
      <c r="H87" t="str">
        <f>Dbase_velden_versie4_2!H83</f>
        <v>[-]</v>
      </c>
      <c r="I87" t="str">
        <f>Dbase_velden_versie4_2!I83</f>
        <v>KV</v>
      </c>
      <c r="J87" t="str">
        <f>Dbase_velden_versie4_2!J83</f>
        <v>Korrelverdeling zeefproef en fractieverdeling</v>
      </c>
      <c r="K87">
        <v>83</v>
      </c>
      <c r="L87" t="str">
        <v>KV_FILENAAM_PDF</v>
      </c>
      <c r="M87" t="str">
        <v>-</v>
      </c>
      <c r="N87" t="str">
        <v>Bestandnaam van de pdf waarin de korrelverdeling is gerapporteerd</v>
      </c>
      <c r="O87" t="str">
        <v>String</v>
      </c>
      <c r="P87">
        <v>0</v>
      </c>
      <c r="Q87" t="str">
        <v>KV FILENAAM PDF</v>
      </c>
      <c r="R87" t="str">
        <v>[-]</v>
      </c>
      <c r="S87" t="str">
        <f t="shared" si="25"/>
        <v>OK</v>
      </c>
      <c r="T87" t="str">
        <f t="shared" si="19"/>
        <v>OK</v>
      </c>
      <c r="U87" t="str">
        <f t="shared" si="20"/>
        <v>OK</v>
      </c>
      <c r="V87" t="str">
        <f t="shared" si="21"/>
        <v>OK</v>
      </c>
      <c r="W87" t="str">
        <f t="shared" si="22"/>
        <v>OK</v>
      </c>
      <c r="X87" t="str">
        <f t="shared" si="23"/>
        <v>OK</v>
      </c>
      <c r="Y87" t="str">
        <f t="shared" si="24"/>
        <v>OK</v>
      </c>
      <c r="Z87">
        <v>82</v>
      </c>
      <c r="AA87">
        <v>84</v>
      </c>
      <c r="AB87" t="s">
        <v>2389</v>
      </c>
      <c r="AC87" t="s">
        <v>83</v>
      </c>
      <c r="AD87" t="s">
        <v>463</v>
      </c>
      <c r="AE87" t="s">
        <v>566</v>
      </c>
      <c r="AG87" t="s">
        <v>896</v>
      </c>
      <c r="AI87" t="s">
        <v>2328</v>
      </c>
      <c r="AJ87" t="s">
        <v>1395</v>
      </c>
      <c r="AK87" t="s">
        <v>2389</v>
      </c>
      <c r="AL87" t="s">
        <v>2390</v>
      </c>
      <c r="AN87" t="str">
        <f t="shared" si="26"/>
        <v>OK</v>
      </c>
      <c r="AO87" t="str">
        <f t="shared" si="27"/>
        <v>OK</v>
      </c>
      <c r="AP87" t="str">
        <f t="shared" si="28"/>
        <v>OK</v>
      </c>
      <c r="AR87" t="str">
        <f t="shared" si="29"/>
        <v>OK</v>
      </c>
      <c r="AS87" t="str">
        <f t="shared" si="30"/>
        <v>OK</v>
      </c>
      <c r="AT87" t="str">
        <f t="shared" si="31"/>
        <v>NOK</v>
      </c>
      <c r="AU87" t="str">
        <f t="shared" si="32"/>
        <v>OK</v>
      </c>
      <c r="AV87" t="str">
        <f t="shared" si="33"/>
        <v>OK</v>
      </c>
      <c r="AW87" t="str">
        <f t="shared" si="34"/>
        <v>OK</v>
      </c>
    </row>
    <row r="88" spans="1:49">
      <c r="A88">
        <f>Dbase_velden_versie4_2!A84</f>
        <v>84</v>
      </c>
      <c r="B88" t="str">
        <f>Dbase_velden_versie4_2!B84</f>
        <v>KV_FILENAAM_GEF</v>
      </c>
      <c r="C88" t="str">
        <f>Dbase_velden_versie4_2!C84</f>
        <v>-</v>
      </c>
      <c r="D88" t="str">
        <f>Dbase_velden_versie4_2!D84</f>
        <v>Bestandsnaam van het GEF-bestand waarin de gegevens van de korrelverdeling is opgenomen</v>
      </c>
      <c r="E88" t="str">
        <f>Dbase_velden_versie4_2!E84</f>
        <v>String</v>
      </c>
      <c r="F88">
        <f>Dbase_velden_versie4_2!F84</f>
        <v>0</v>
      </c>
      <c r="G88" t="str">
        <f>Dbase_velden_versie4_2!G84</f>
        <v>KV FILENAAM GEF</v>
      </c>
      <c r="H88" t="str">
        <f>Dbase_velden_versie4_2!H84</f>
        <v>[-]</v>
      </c>
      <c r="I88" t="str">
        <f>Dbase_velden_versie4_2!I84</f>
        <v>KV</v>
      </c>
      <c r="J88" t="str">
        <f>Dbase_velden_versie4_2!J84</f>
        <v>Korrelverdeling zeefproef en fractieverdeling</v>
      </c>
      <c r="K88">
        <v>84</v>
      </c>
      <c r="L88" t="str">
        <v>KV_FILENAAM_GEF</v>
      </c>
      <c r="M88" t="str">
        <v>-</v>
      </c>
      <c r="N88" t="str">
        <v>Bestandsnaam van het GEF-bestand waarin de gegevens van de korrelverdeling is opgenomen</v>
      </c>
      <c r="O88" t="str">
        <v>String</v>
      </c>
      <c r="P88">
        <v>0</v>
      </c>
      <c r="Q88" t="str">
        <v>KV FILENAAM GEF</v>
      </c>
      <c r="R88" t="str">
        <v>[-]</v>
      </c>
      <c r="S88" t="str">
        <f t="shared" si="25"/>
        <v>OK</v>
      </c>
      <c r="T88" t="str">
        <f t="shared" si="19"/>
        <v>OK</v>
      </c>
      <c r="U88" t="str">
        <f t="shared" si="20"/>
        <v>OK</v>
      </c>
      <c r="V88" t="str">
        <f t="shared" si="21"/>
        <v>OK</v>
      </c>
      <c r="W88" t="str">
        <f t="shared" si="22"/>
        <v>OK</v>
      </c>
      <c r="X88" t="str">
        <f t="shared" si="23"/>
        <v>OK</v>
      </c>
      <c r="Y88" t="str">
        <f t="shared" si="24"/>
        <v>OK</v>
      </c>
      <c r="Z88">
        <v>83</v>
      </c>
      <c r="AA88">
        <v>85</v>
      </c>
      <c r="AB88" t="s">
        <v>2389</v>
      </c>
      <c r="AC88" t="s">
        <v>84</v>
      </c>
      <c r="AD88" t="s">
        <v>463</v>
      </c>
      <c r="AE88" t="s">
        <v>567</v>
      </c>
      <c r="AG88" t="s">
        <v>896</v>
      </c>
      <c r="AI88" t="s">
        <v>2329</v>
      </c>
      <c r="AJ88" t="s">
        <v>1395</v>
      </c>
      <c r="AK88" t="s">
        <v>2389</v>
      </c>
      <c r="AL88" t="s">
        <v>2390</v>
      </c>
      <c r="AN88" t="str">
        <f t="shared" si="26"/>
        <v>OK</v>
      </c>
      <c r="AO88" t="str">
        <f t="shared" si="27"/>
        <v>OK</v>
      </c>
      <c r="AP88" t="str">
        <f t="shared" si="28"/>
        <v>OK</v>
      </c>
      <c r="AR88" t="str">
        <f t="shared" si="29"/>
        <v>OK</v>
      </c>
      <c r="AS88" t="str">
        <f t="shared" si="30"/>
        <v>OK</v>
      </c>
      <c r="AT88" t="str">
        <f t="shared" si="31"/>
        <v>NOK</v>
      </c>
      <c r="AU88" t="str">
        <f t="shared" si="32"/>
        <v>OK</v>
      </c>
      <c r="AV88" t="str">
        <f t="shared" si="33"/>
        <v>OK</v>
      </c>
      <c r="AW88" t="str">
        <f t="shared" si="34"/>
        <v>OK</v>
      </c>
    </row>
    <row r="89" spans="1:49">
      <c r="A89">
        <f>Dbase_velden_versie4_2!A85</f>
        <v>85</v>
      </c>
      <c r="B89" t="str">
        <f>Dbase_velden_versie4_2!B85</f>
        <v>KV_MONSTERID</v>
      </c>
      <c r="C89" t="str">
        <f>Dbase_velden_versie4_2!C85</f>
        <v>-</v>
      </c>
      <c r="D89" t="str">
        <f>Dbase_velden_versie4_2!D85</f>
        <v>Monsternummering van de zeefproeven</v>
      </c>
      <c r="E89" t="str">
        <f>Dbase_velden_versie4_2!E85</f>
        <v>String</v>
      </c>
      <c r="F89">
        <f>Dbase_velden_versie4_2!F85</f>
        <v>0</v>
      </c>
      <c r="G89" t="str">
        <f>Dbase_velden_versie4_2!G85</f>
        <v>KV MONSTERID</v>
      </c>
      <c r="H89" t="str">
        <f>Dbase_velden_versie4_2!H85</f>
        <v>[-]</v>
      </c>
      <c r="I89" t="str">
        <f>Dbase_velden_versie4_2!I85</f>
        <v>KV</v>
      </c>
      <c r="J89" t="str">
        <f>Dbase_velden_versie4_2!J85</f>
        <v>Korrelverdeling zeefproef en fractieverdeling</v>
      </c>
      <c r="K89">
        <v>85</v>
      </c>
      <c r="L89" t="str">
        <v>KV_MONSTERID</v>
      </c>
      <c r="M89" t="str">
        <v>-</v>
      </c>
      <c r="N89" t="str">
        <v>Monsternummering van de zeefproeven</v>
      </c>
      <c r="O89" t="str">
        <v>String</v>
      </c>
      <c r="P89">
        <v>0</v>
      </c>
      <c r="Q89" t="str">
        <v>KV MONSTERID</v>
      </c>
      <c r="R89" t="str">
        <v>[-]</v>
      </c>
      <c r="S89" t="str">
        <f t="shared" si="25"/>
        <v>OK</v>
      </c>
      <c r="T89" t="str">
        <f t="shared" si="19"/>
        <v>OK</v>
      </c>
      <c r="U89" t="str">
        <f t="shared" si="20"/>
        <v>OK</v>
      </c>
      <c r="V89" t="str">
        <f t="shared" si="21"/>
        <v>OK</v>
      </c>
      <c r="W89" t="str">
        <f t="shared" si="22"/>
        <v>OK</v>
      </c>
      <c r="X89" t="str">
        <f t="shared" si="23"/>
        <v>OK</v>
      </c>
      <c r="Y89" t="str">
        <f t="shared" si="24"/>
        <v>OK</v>
      </c>
      <c r="Z89">
        <v>84</v>
      </c>
      <c r="AA89">
        <v>86</v>
      </c>
      <c r="AB89" t="s">
        <v>2389</v>
      </c>
      <c r="AC89" t="s">
        <v>85</v>
      </c>
      <c r="AD89" t="s">
        <v>463</v>
      </c>
      <c r="AE89" t="s">
        <v>568</v>
      </c>
      <c r="AG89" t="s">
        <v>896</v>
      </c>
      <c r="AI89" t="s">
        <v>2348</v>
      </c>
      <c r="AJ89" t="s">
        <v>1395</v>
      </c>
      <c r="AK89" t="s">
        <v>2389</v>
      </c>
      <c r="AL89" t="s">
        <v>2390</v>
      </c>
      <c r="AN89" t="str">
        <f t="shared" si="26"/>
        <v>OK</v>
      </c>
      <c r="AO89" t="str">
        <f t="shared" si="27"/>
        <v>OK</v>
      </c>
      <c r="AP89" t="str">
        <f t="shared" si="28"/>
        <v>OK</v>
      </c>
      <c r="AR89" t="str">
        <f t="shared" si="29"/>
        <v>OK</v>
      </c>
      <c r="AS89" t="str">
        <f t="shared" si="30"/>
        <v>OK</v>
      </c>
      <c r="AT89" t="str">
        <f t="shared" si="31"/>
        <v>NOK</v>
      </c>
      <c r="AU89" t="str">
        <f t="shared" si="32"/>
        <v>OK</v>
      </c>
      <c r="AV89" t="str">
        <f t="shared" si="33"/>
        <v>OK</v>
      </c>
      <c r="AW89" t="str">
        <f t="shared" si="34"/>
        <v>OK</v>
      </c>
    </row>
    <row r="90" spans="1:49">
      <c r="A90">
        <f>Dbase_velden_versie4_2!A86</f>
        <v>86</v>
      </c>
      <c r="B90" t="str">
        <f>Dbase_velden_versie4_2!B86</f>
        <v>KV_LABORATORIUM</v>
      </c>
      <c r="C90" t="str">
        <f>Dbase_velden_versie4_2!C86</f>
        <v>-</v>
      </c>
      <c r="D90" t="str">
        <f>Dbase_velden_versie4_2!D86</f>
        <v>Laboratorium waar de zeefproeven zijn uitgevoerd</v>
      </c>
      <c r="E90" t="str">
        <f>Dbase_velden_versie4_2!E86</f>
        <v>String</v>
      </c>
      <c r="F90">
        <f>Dbase_velden_versie4_2!F86</f>
        <v>0</v>
      </c>
      <c r="G90" t="str">
        <f>Dbase_velden_versie4_2!G86</f>
        <v>KV LABORATORIUM</v>
      </c>
      <c r="H90" t="str">
        <f>Dbase_velden_versie4_2!H86</f>
        <v>[-]</v>
      </c>
      <c r="I90" t="str">
        <f>Dbase_velden_versie4_2!I86</f>
        <v>KV</v>
      </c>
      <c r="J90" t="str">
        <f>Dbase_velden_versie4_2!J86</f>
        <v>Korrelverdeling zeefproef en fractieverdeling</v>
      </c>
      <c r="K90">
        <v>86</v>
      </c>
      <c r="L90" t="str">
        <v>KV_LABORATORIUM</v>
      </c>
      <c r="M90" t="str">
        <v>-</v>
      </c>
      <c r="N90" t="str">
        <v>Laboratorium waar de zeefproeven zijn uitgevoerd</v>
      </c>
      <c r="O90" t="str">
        <v>String</v>
      </c>
      <c r="P90">
        <v>0</v>
      </c>
      <c r="Q90" t="str">
        <v>KV LABORATORIUM</v>
      </c>
      <c r="R90" t="str">
        <v>[-]</v>
      </c>
      <c r="S90" t="str">
        <f t="shared" si="25"/>
        <v>OK</v>
      </c>
      <c r="T90" t="str">
        <f t="shared" si="19"/>
        <v>OK</v>
      </c>
      <c r="U90" t="str">
        <f t="shared" si="20"/>
        <v>OK</v>
      </c>
      <c r="V90" t="str">
        <f t="shared" si="21"/>
        <v>OK</v>
      </c>
      <c r="W90" t="str">
        <f t="shared" si="22"/>
        <v>OK</v>
      </c>
      <c r="X90" t="str">
        <f t="shared" si="23"/>
        <v>OK</v>
      </c>
      <c r="Y90" t="str">
        <f t="shared" si="24"/>
        <v>OK</v>
      </c>
      <c r="Z90">
        <v>85</v>
      </c>
      <c r="AA90">
        <v>87</v>
      </c>
      <c r="AB90" t="s">
        <v>2389</v>
      </c>
      <c r="AC90" t="s">
        <v>86</v>
      </c>
      <c r="AD90" t="s">
        <v>463</v>
      </c>
      <c r="AE90" t="s">
        <v>569</v>
      </c>
      <c r="AG90" t="s">
        <v>896</v>
      </c>
      <c r="AI90" t="s">
        <v>2391</v>
      </c>
      <c r="AJ90" t="s">
        <v>1395</v>
      </c>
      <c r="AK90" t="s">
        <v>2389</v>
      </c>
      <c r="AL90" t="s">
        <v>2390</v>
      </c>
      <c r="AN90" t="str">
        <f t="shared" si="26"/>
        <v>OK</v>
      </c>
      <c r="AO90" t="str">
        <f t="shared" si="27"/>
        <v>OK</v>
      </c>
      <c r="AP90" t="str">
        <f t="shared" si="28"/>
        <v>OK</v>
      </c>
      <c r="AR90" t="str">
        <f t="shared" si="29"/>
        <v>OK</v>
      </c>
      <c r="AS90" t="str">
        <f t="shared" si="30"/>
        <v>OK</v>
      </c>
      <c r="AT90" t="str">
        <f t="shared" si="31"/>
        <v>NOK</v>
      </c>
      <c r="AU90" t="str">
        <f t="shared" si="32"/>
        <v>OK</v>
      </c>
      <c r="AV90" t="str">
        <f t="shared" si="33"/>
        <v>OK</v>
      </c>
      <c r="AW90" t="str">
        <f t="shared" si="34"/>
        <v>OK</v>
      </c>
    </row>
    <row r="91" spans="1:49">
      <c r="A91">
        <f>Dbase_velden_versie4_2!A87</f>
        <v>87</v>
      </c>
      <c r="B91" t="str">
        <f>Dbase_velden_versie4_2!B87</f>
        <v>KV_NORMEN</v>
      </c>
      <c r="C91" t="str">
        <f>Dbase_velden_versie4_2!C87</f>
        <v>-</v>
      </c>
      <c r="D91" t="str">
        <f>Dbase_velden_versie4_2!D87</f>
        <v>Bij de zeefproeven aangehouden normen</v>
      </c>
      <c r="E91" t="str">
        <f>Dbase_velden_versie4_2!E87</f>
        <v>String</v>
      </c>
      <c r="F91">
        <f>Dbase_velden_versie4_2!F87</f>
        <v>0</v>
      </c>
      <c r="G91" t="str">
        <f>Dbase_velden_versie4_2!G87</f>
        <v>KV NORMEN</v>
      </c>
      <c r="H91" t="str">
        <f>Dbase_velden_versie4_2!H87</f>
        <v>[-]</v>
      </c>
      <c r="I91" t="str">
        <f>Dbase_velden_versie4_2!I87</f>
        <v>KV</v>
      </c>
      <c r="J91" t="str">
        <f>Dbase_velden_versie4_2!J87</f>
        <v>Korrelverdeling zeefproef en fractieverdeling</v>
      </c>
      <c r="K91">
        <v>87</v>
      </c>
      <c r="L91" t="str">
        <v>KV_NORMEN</v>
      </c>
      <c r="M91" t="str">
        <v>-</v>
      </c>
      <c r="N91" t="str">
        <v>Bij de zeefproeven aangehouden normen</v>
      </c>
      <c r="O91" t="str">
        <v>String</v>
      </c>
      <c r="P91">
        <v>0</v>
      </c>
      <c r="Q91" t="str">
        <v>KV NORMEN</v>
      </c>
      <c r="R91" t="str">
        <v>[-]</v>
      </c>
      <c r="S91" t="str">
        <f t="shared" si="25"/>
        <v>OK</v>
      </c>
      <c r="T91" t="str">
        <f t="shared" si="19"/>
        <v>OK</v>
      </c>
      <c r="U91" t="str">
        <f t="shared" si="20"/>
        <v>OK</v>
      </c>
      <c r="V91" t="str">
        <f t="shared" si="21"/>
        <v>OK</v>
      </c>
      <c r="W91" t="str">
        <f t="shared" si="22"/>
        <v>OK</v>
      </c>
      <c r="X91" t="str">
        <f t="shared" si="23"/>
        <v>OK</v>
      </c>
      <c r="Y91" t="str">
        <f t="shared" si="24"/>
        <v>OK</v>
      </c>
      <c r="Z91">
        <v>86</v>
      </c>
      <c r="AA91">
        <v>88</v>
      </c>
      <c r="AB91" t="s">
        <v>2389</v>
      </c>
      <c r="AC91" t="s">
        <v>87</v>
      </c>
      <c r="AD91" t="s">
        <v>463</v>
      </c>
      <c r="AE91" t="s">
        <v>570</v>
      </c>
      <c r="AG91" t="s">
        <v>896</v>
      </c>
      <c r="AI91" t="s">
        <v>2351</v>
      </c>
      <c r="AJ91" t="s">
        <v>1395</v>
      </c>
      <c r="AK91" t="s">
        <v>2389</v>
      </c>
      <c r="AL91" t="s">
        <v>2390</v>
      </c>
      <c r="AN91" t="str">
        <f t="shared" si="26"/>
        <v>OK</v>
      </c>
      <c r="AO91" t="str">
        <f t="shared" si="27"/>
        <v>OK</v>
      </c>
      <c r="AP91" t="str">
        <f t="shared" si="28"/>
        <v>OK</v>
      </c>
      <c r="AR91" t="str">
        <f t="shared" si="29"/>
        <v>OK</v>
      </c>
      <c r="AS91" t="str">
        <f t="shared" si="30"/>
        <v>OK</v>
      </c>
      <c r="AT91" t="str">
        <f t="shared" si="31"/>
        <v>NOK</v>
      </c>
      <c r="AU91" t="str">
        <f t="shared" si="32"/>
        <v>OK</v>
      </c>
      <c r="AV91" t="str">
        <f t="shared" si="33"/>
        <v>OK</v>
      </c>
      <c r="AW91" t="str">
        <f t="shared" si="34"/>
        <v>OK</v>
      </c>
    </row>
    <row r="92" spans="1:49">
      <c r="A92">
        <f>Dbase_velden_versie4_2!A88</f>
        <v>88</v>
      </c>
      <c r="B92" t="str">
        <f>Dbase_velden_versie4_2!B88</f>
        <v>KV_DATUM</v>
      </c>
      <c r="C92" t="str">
        <f>Dbase_velden_versie4_2!C88</f>
        <v>DD-MM-JJJJ</v>
      </c>
      <c r="D92" t="str">
        <f>Dbase_velden_versie4_2!D88</f>
        <v>Datum waarop de zeefproeven zijn uitgevoerd</v>
      </c>
      <c r="E92" t="str">
        <f>Dbase_velden_versie4_2!E88</f>
        <v>Date</v>
      </c>
      <c r="F92">
        <f>Dbase_velden_versie4_2!F88</f>
        <v>0</v>
      </c>
      <c r="G92" t="str">
        <f>Dbase_velden_versie4_2!G88</f>
        <v>KV DATUM</v>
      </c>
      <c r="H92" t="str">
        <f>Dbase_velden_versie4_2!H88</f>
        <v>[DD-MM-JJJJ]</v>
      </c>
      <c r="I92" t="str">
        <f>Dbase_velden_versie4_2!I88</f>
        <v>KV</v>
      </c>
      <c r="J92" t="str">
        <f>Dbase_velden_versie4_2!J88</f>
        <v>Korrelverdeling zeefproef en fractieverdeling</v>
      </c>
      <c r="K92">
        <v>88</v>
      </c>
      <c r="L92" t="str">
        <v>KV_DATUM</v>
      </c>
      <c r="M92" t="str">
        <v>DD-MM-JJJJ</v>
      </c>
      <c r="N92" t="str">
        <v>Datum waarop de zeefproeven zijn uitgevoerd</v>
      </c>
      <c r="O92" t="str">
        <v>Date</v>
      </c>
      <c r="P92">
        <v>0</v>
      </c>
      <c r="Q92" t="str">
        <v>KV DATUM</v>
      </c>
      <c r="R92" t="str">
        <v>[DD-MM-JJJJ]</v>
      </c>
      <c r="S92" t="str">
        <f t="shared" si="25"/>
        <v>OK</v>
      </c>
      <c r="T92" t="str">
        <f t="shared" si="19"/>
        <v>OK</v>
      </c>
      <c r="U92" t="str">
        <f t="shared" si="20"/>
        <v>OK</v>
      </c>
      <c r="V92" t="str">
        <f t="shared" si="21"/>
        <v>OK</v>
      </c>
      <c r="W92" t="str">
        <f t="shared" si="22"/>
        <v>OK</v>
      </c>
      <c r="X92" t="str">
        <f t="shared" si="23"/>
        <v>OK</v>
      </c>
      <c r="Y92" t="str">
        <f t="shared" si="24"/>
        <v>OK</v>
      </c>
      <c r="Z92">
        <v>87</v>
      </c>
      <c r="AA92">
        <v>89</v>
      </c>
      <c r="AB92" t="s">
        <v>2389</v>
      </c>
      <c r="AC92" t="s">
        <v>88</v>
      </c>
      <c r="AD92" t="s">
        <v>466</v>
      </c>
      <c r="AE92" t="s">
        <v>571</v>
      </c>
      <c r="AG92" t="s">
        <v>898</v>
      </c>
      <c r="AI92" t="s">
        <v>2327</v>
      </c>
      <c r="AJ92" t="s">
        <v>1398</v>
      </c>
      <c r="AK92" t="s">
        <v>2389</v>
      </c>
      <c r="AL92" t="s">
        <v>2390</v>
      </c>
      <c r="AN92" t="str">
        <f t="shared" si="26"/>
        <v>OK</v>
      </c>
      <c r="AO92" t="str">
        <f t="shared" si="27"/>
        <v>OK</v>
      </c>
      <c r="AP92" t="str">
        <f t="shared" si="28"/>
        <v>OK</v>
      </c>
      <c r="AR92" t="str">
        <f t="shared" si="29"/>
        <v>OK</v>
      </c>
      <c r="AS92" t="str">
        <f t="shared" si="30"/>
        <v>OK</v>
      </c>
      <c r="AT92" t="str">
        <f t="shared" si="31"/>
        <v>NOK</v>
      </c>
      <c r="AU92" t="str">
        <f t="shared" si="32"/>
        <v>OK</v>
      </c>
      <c r="AV92" t="str">
        <f t="shared" si="33"/>
        <v>OK</v>
      </c>
      <c r="AW92" t="str">
        <f t="shared" si="34"/>
        <v>OK</v>
      </c>
    </row>
    <row r="93" spans="1:49">
      <c r="A93">
        <f>Dbase_velden_versie4_2!A89</f>
        <v>89</v>
      </c>
      <c r="B93" t="str">
        <f>Dbase_velden_versie4_2!B89</f>
        <v>KV_CLASSIFICATIE</v>
      </c>
      <c r="C93" t="str">
        <f>Dbase_velden_versie4_2!C89</f>
        <v>-</v>
      </c>
      <c r="D93" t="str">
        <f>Dbase_velden_versie4_2!D89</f>
        <v>Classificatie van de grond conform de gehanteerde norm</v>
      </c>
      <c r="E93" t="str">
        <f>Dbase_velden_versie4_2!E89</f>
        <v>String</v>
      </c>
      <c r="F93">
        <f>Dbase_velden_versie4_2!F89</f>
        <v>0</v>
      </c>
      <c r="G93" t="str">
        <f>Dbase_velden_versie4_2!G89</f>
        <v>KV CLASSIFICATIE</v>
      </c>
      <c r="H93" t="str">
        <f>Dbase_velden_versie4_2!H89</f>
        <v>[-]</v>
      </c>
      <c r="I93" t="str">
        <f>Dbase_velden_versie4_2!I89</f>
        <v>KV</v>
      </c>
      <c r="J93" t="str">
        <f>Dbase_velden_versie4_2!J89</f>
        <v>Korrelverdeling zeefproef en fractieverdeling</v>
      </c>
      <c r="K93">
        <v>89</v>
      </c>
      <c r="L93" t="str">
        <v>KV_GRONDSOORT</v>
      </c>
      <c r="M93" t="str">
        <v>-</v>
      </c>
      <c r="N93" t="str">
        <v>Classificatie van de grond conform de gehanteerde norm</v>
      </c>
      <c r="O93" t="str">
        <v>String</v>
      </c>
      <c r="P93">
        <v>0</v>
      </c>
      <c r="Q93" t="str">
        <v>KV CLASSIFICATIE</v>
      </c>
      <c r="R93" t="str">
        <v>[-]</v>
      </c>
      <c r="S93" t="str">
        <f t="shared" si="25"/>
        <v>OK</v>
      </c>
      <c r="T93" t="str">
        <f t="shared" si="19"/>
        <v>NOK</v>
      </c>
      <c r="U93" t="str">
        <f t="shared" si="20"/>
        <v>OK</v>
      </c>
      <c r="V93" t="str">
        <f t="shared" si="21"/>
        <v>OK</v>
      </c>
      <c r="W93" t="str">
        <f t="shared" si="22"/>
        <v>OK</v>
      </c>
      <c r="X93" t="str">
        <f t="shared" si="23"/>
        <v>OK</v>
      </c>
      <c r="Y93" t="str">
        <f t="shared" si="24"/>
        <v>OK</v>
      </c>
      <c r="Z93">
        <v>88</v>
      </c>
      <c r="AA93">
        <v>90</v>
      </c>
      <c r="AB93" t="s">
        <v>2389</v>
      </c>
      <c r="AC93" t="s">
        <v>2392</v>
      </c>
      <c r="AD93" t="s">
        <v>463</v>
      </c>
      <c r="AE93" t="s">
        <v>2353</v>
      </c>
      <c r="AG93" t="s">
        <v>896</v>
      </c>
      <c r="AH93" t="s">
        <v>2354</v>
      </c>
      <c r="AI93" t="s">
        <v>2355</v>
      </c>
      <c r="AJ93" t="s">
        <v>1395</v>
      </c>
      <c r="AK93" t="s">
        <v>2389</v>
      </c>
      <c r="AL93" t="s">
        <v>2390</v>
      </c>
      <c r="AN93" t="str">
        <f t="shared" si="26"/>
        <v>NOK</v>
      </c>
      <c r="AO93" t="str">
        <f t="shared" si="27"/>
        <v>OK</v>
      </c>
      <c r="AP93" t="str">
        <f t="shared" si="28"/>
        <v>NOK</v>
      </c>
      <c r="AR93" t="str">
        <f t="shared" si="29"/>
        <v>OK</v>
      </c>
      <c r="AS93" t="str">
        <f t="shared" si="30"/>
        <v>NOK</v>
      </c>
      <c r="AT93" t="str">
        <f t="shared" si="31"/>
        <v>NOK</v>
      </c>
      <c r="AU93" t="str">
        <f t="shared" si="32"/>
        <v>OK</v>
      </c>
      <c r="AV93" t="str">
        <f t="shared" si="33"/>
        <v>OK</v>
      </c>
      <c r="AW93" t="str">
        <f t="shared" si="34"/>
        <v>OK</v>
      </c>
    </row>
    <row r="94" spans="1:49">
      <c r="A94">
        <f>Dbase_velden_versie4_2!A90</f>
        <v>90</v>
      </c>
      <c r="B94" t="str">
        <f>Dbase_velden_versie4_2!B90</f>
        <v>KV_CLASSIFICATIE_BIJMENGING</v>
      </c>
      <c r="C94" t="str">
        <f>Dbase_velden_versie4_2!C90</f>
        <v>-</v>
      </c>
      <c r="D94" t="str">
        <f>Dbase_velden_versie4_2!D90</f>
        <v>Beschrijving van de bijzondere bestanddelen of secundaire of tertiaire fracties</v>
      </c>
      <c r="E94" t="str">
        <f>Dbase_velden_versie4_2!E90</f>
        <v>String</v>
      </c>
      <c r="F94">
        <f>Dbase_velden_versie4_2!F90</f>
        <v>0</v>
      </c>
      <c r="G94" t="str">
        <f>Dbase_velden_versie4_2!G90</f>
        <v>KV CLASSIFICATIE BIJMENGING</v>
      </c>
      <c r="H94" t="str">
        <f>Dbase_velden_versie4_2!H90</f>
        <v>[-]</v>
      </c>
      <c r="I94" t="str">
        <f>Dbase_velden_versie4_2!I90</f>
        <v>KV</v>
      </c>
      <c r="J94" t="str">
        <f>Dbase_velden_versie4_2!J90</f>
        <v>Korrelverdeling zeefproef en fractieverdeling</v>
      </c>
      <c r="K94">
        <v>90</v>
      </c>
      <c r="L94" t="str">
        <v>KV_OVERIGE_BESTANDDELEN</v>
      </c>
      <c r="M94" t="str">
        <v>-</v>
      </c>
      <c r="N94" t="str">
        <v>Beschrijving van de bijzondere bestanddelen of secundaire of tertiaire fracties</v>
      </c>
      <c r="O94" t="str">
        <v>String</v>
      </c>
      <c r="P94">
        <v>0</v>
      </c>
      <c r="Q94" t="str">
        <v>KV OVERIGE BESTANDDELEN</v>
      </c>
      <c r="R94" t="str">
        <v>[-]</v>
      </c>
      <c r="S94" t="str">
        <f t="shared" si="25"/>
        <v>OK</v>
      </c>
      <c r="T94" t="str">
        <f t="shared" si="19"/>
        <v>NOK</v>
      </c>
      <c r="U94" t="str">
        <f t="shared" si="20"/>
        <v>OK</v>
      </c>
      <c r="V94" t="str">
        <f t="shared" si="21"/>
        <v>OK</v>
      </c>
      <c r="W94" t="str">
        <f t="shared" si="22"/>
        <v>OK</v>
      </c>
      <c r="X94" t="str">
        <f t="shared" si="23"/>
        <v>OK</v>
      </c>
      <c r="Y94" t="str">
        <f t="shared" si="24"/>
        <v>NOK</v>
      </c>
      <c r="Z94">
        <v>89</v>
      </c>
      <c r="AA94">
        <v>91</v>
      </c>
      <c r="AB94" t="s">
        <v>2389</v>
      </c>
      <c r="AC94" t="s">
        <v>2393</v>
      </c>
      <c r="AD94" t="s">
        <v>463</v>
      </c>
      <c r="AE94" t="s">
        <v>2394</v>
      </c>
      <c r="AG94" t="s">
        <v>896</v>
      </c>
      <c r="AI94" t="s">
        <v>2358</v>
      </c>
      <c r="AJ94" t="s">
        <v>1395</v>
      </c>
      <c r="AK94" t="s">
        <v>2389</v>
      </c>
      <c r="AL94" t="s">
        <v>2390</v>
      </c>
      <c r="AN94" t="str">
        <f t="shared" si="26"/>
        <v>NOK</v>
      </c>
      <c r="AO94" t="str">
        <f t="shared" si="27"/>
        <v>OK</v>
      </c>
      <c r="AP94" t="str">
        <f t="shared" si="28"/>
        <v>NOK</v>
      </c>
      <c r="AR94" t="str">
        <f t="shared" si="29"/>
        <v>OK</v>
      </c>
      <c r="AS94" t="str">
        <f t="shared" si="30"/>
        <v>OK</v>
      </c>
      <c r="AT94" t="str">
        <f t="shared" si="31"/>
        <v>NOK</v>
      </c>
      <c r="AU94" t="str">
        <f t="shared" si="32"/>
        <v>OK</v>
      </c>
      <c r="AV94" t="str">
        <f t="shared" si="33"/>
        <v>OK</v>
      </c>
      <c r="AW94" t="str">
        <f t="shared" si="34"/>
        <v>OK</v>
      </c>
    </row>
    <row r="95" spans="1:49">
      <c r="A95">
        <f>Dbase_velden_versie4_2!A91</f>
        <v>91</v>
      </c>
      <c r="B95" t="str">
        <f>Dbase_velden_versie4_2!B91</f>
        <v>KV_MEDIAAN_ZANDFRACTIE</v>
      </c>
      <c r="C95" t="str">
        <f>Dbase_velden_versie4_2!C91</f>
        <v>mu</v>
      </c>
      <c r="D95" t="str">
        <f>Dbase_velden_versie4_2!D91</f>
        <v>De zandmediaan is de korreldiameter waarbij 50% van de zandfractie kleiner is dan deze korreldiameter. (is gelijk aan D50)</v>
      </c>
      <c r="E95" t="str">
        <f>Dbase_velden_versie4_2!E91</f>
        <v>Double</v>
      </c>
      <c r="F95" t="str">
        <f>Dbase_velden_versie4_2!F91</f>
        <v>63 mu - 2000 mu</v>
      </c>
      <c r="G95" t="str">
        <f>Dbase_velden_versie4_2!G91</f>
        <v>KV MEDIAAN ZANDFRACTIE</v>
      </c>
      <c r="H95" t="str">
        <f>Dbase_velden_versie4_2!H91</f>
        <v>[mu]</v>
      </c>
      <c r="I95" t="str">
        <f>Dbase_velden_versie4_2!I91</f>
        <v>KV</v>
      </c>
      <c r="J95" t="str">
        <f>Dbase_velden_versie4_2!J91</f>
        <v>Korrelverdeling zeefproef en fractieverdeling</v>
      </c>
      <c r="K95">
        <v>91</v>
      </c>
      <c r="L95" t="str">
        <v>KV_MEDIAAN_ZANDFRACTIE</v>
      </c>
      <c r="M95" t="str">
        <v>mu</v>
      </c>
      <c r="N95" t="str">
        <v>De zandmediaan is de korreldiameter waarbij 50% van de zandfractie kleiner is dan deze korreldiameter. (is gelijk aan D50)</v>
      </c>
      <c r="O95" t="str">
        <v>Double</v>
      </c>
      <c r="P95" t="str">
        <v>63 mu - 2000 mu</v>
      </c>
      <c r="Q95" t="str">
        <v>KV MEDIAAN ZANDFRACTIE</v>
      </c>
      <c r="R95" t="str">
        <v>[mu]</v>
      </c>
      <c r="S95" t="str">
        <f t="shared" si="25"/>
        <v>OK</v>
      </c>
      <c r="T95" t="str">
        <f t="shared" si="19"/>
        <v>OK</v>
      </c>
      <c r="U95" t="str">
        <f t="shared" si="20"/>
        <v>OK</v>
      </c>
      <c r="V95" t="str">
        <f t="shared" si="21"/>
        <v>OK</v>
      </c>
      <c r="W95" t="str">
        <f t="shared" si="22"/>
        <v>OK</v>
      </c>
      <c r="X95" t="str">
        <f t="shared" si="23"/>
        <v>OK</v>
      </c>
      <c r="Y95" t="str">
        <f t="shared" si="24"/>
        <v>OK</v>
      </c>
      <c r="Z95">
        <v>90</v>
      </c>
      <c r="AA95">
        <v>92</v>
      </c>
      <c r="AB95" t="s">
        <v>2389</v>
      </c>
      <c r="AC95" t="s">
        <v>91</v>
      </c>
      <c r="AD95" t="s">
        <v>472</v>
      </c>
      <c r="AE95" t="s">
        <v>572</v>
      </c>
      <c r="AG95" t="s">
        <v>897</v>
      </c>
      <c r="AH95" t="s">
        <v>916</v>
      </c>
      <c r="AI95" t="s">
        <v>2395</v>
      </c>
      <c r="AJ95" t="s">
        <v>1404</v>
      </c>
      <c r="AK95" t="s">
        <v>2389</v>
      </c>
      <c r="AL95" t="s">
        <v>2390</v>
      </c>
      <c r="AN95" t="str">
        <f t="shared" si="26"/>
        <v>OK</v>
      </c>
      <c r="AO95" t="str">
        <f t="shared" si="27"/>
        <v>OK</v>
      </c>
      <c r="AP95" t="str">
        <f t="shared" si="28"/>
        <v>OK</v>
      </c>
      <c r="AR95" t="str">
        <f t="shared" si="29"/>
        <v>OK</v>
      </c>
      <c r="AS95" t="str">
        <f t="shared" si="30"/>
        <v>OK</v>
      </c>
      <c r="AT95" t="str">
        <f t="shared" si="31"/>
        <v>NOK</v>
      </c>
      <c r="AU95" t="str">
        <f t="shared" si="32"/>
        <v>OK</v>
      </c>
      <c r="AV95" t="str">
        <f t="shared" si="33"/>
        <v>OK</v>
      </c>
      <c r="AW95" t="str">
        <f t="shared" si="34"/>
        <v>OK</v>
      </c>
    </row>
    <row r="96" spans="1:49">
      <c r="A96">
        <f>Dbase_velden_versie4_2!A92</f>
        <v>92</v>
      </c>
      <c r="B96" t="str">
        <f>Dbase_velden_versie4_2!B92</f>
        <v>KV_MEDIAAN_ALLEFRACTIES</v>
      </c>
      <c r="C96" t="str">
        <f>Dbase_velden_versie4_2!C92</f>
        <v>mu</v>
      </c>
      <c r="D96" t="str">
        <f>Dbase_velden_versie4_2!D92</f>
        <v>De mediaan wordt bepaald over het gehele monster en niet over alleen de zandfractie. De mediaan is de korreldiameter waarbij 50% van de gehele fractie kleiner is dan deze diameter.</v>
      </c>
      <c r="E96" t="str">
        <f>Dbase_velden_versie4_2!E92</f>
        <v>Double</v>
      </c>
      <c r="F96">
        <f>Dbase_velden_versie4_2!F92</f>
        <v>0</v>
      </c>
      <c r="G96" t="str">
        <f>Dbase_velden_versie4_2!G92</f>
        <v>KV MEDIAAN ALLEFRACTIES</v>
      </c>
      <c r="H96" t="str">
        <f>Dbase_velden_versie4_2!H92</f>
        <v>[mu]</v>
      </c>
      <c r="I96" t="str">
        <f>Dbase_velden_versie4_2!I92</f>
        <v>KV</v>
      </c>
      <c r="J96" t="str">
        <f>Dbase_velden_versie4_2!J92</f>
        <v>Korrelverdeling zeefproef en fractieverdeling</v>
      </c>
      <c r="K96">
        <v>92</v>
      </c>
      <c r="L96" t="str">
        <v>KV_MEDIAAN_ALLEFRACTIES</v>
      </c>
      <c r="M96" t="str">
        <v>mu</v>
      </c>
      <c r="N96" t="str">
        <v>De mediaan wordt bepaald over het gehele monster en niet over alleen de zandfractie. De mediaan is de korreldiameter waarbij 50% van de gehele fractie kleiner is dan deze diameter.</v>
      </c>
      <c r="O96" t="str">
        <v>Double</v>
      </c>
      <c r="P96">
        <v>0</v>
      </c>
      <c r="Q96" t="str">
        <v>KV MEDIAAN ALLEFRACTIES</v>
      </c>
      <c r="R96" t="str">
        <v>[mu]</v>
      </c>
      <c r="S96" t="str">
        <f t="shared" si="25"/>
        <v>OK</v>
      </c>
      <c r="T96" t="str">
        <f t="shared" si="19"/>
        <v>OK</v>
      </c>
      <c r="U96" t="str">
        <f t="shared" si="20"/>
        <v>OK</v>
      </c>
      <c r="V96" t="str">
        <f t="shared" si="21"/>
        <v>OK</v>
      </c>
      <c r="W96" t="str">
        <f t="shared" si="22"/>
        <v>OK</v>
      </c>
      <c r="X96" t="str">
        <f t="shared" si="23"/>
        <v>OK</v>
      </c>
      <c r="Y96" t="str">
        <f t="shared" si="24"/>
        <v>OK</v>
      </c>
      <c r="Z96">
        <v>91</v>
      </c>
      <c r="AA96">
        <v>93</v>
      </c>
      <c r="AB96" t="s">
        <v>2389</v>
      </c>
      <c r="AC96" t="s">
        <v>92</v>
      </c>
      <c r="AD96" t="s">
        <v>472</v>
      </c>
      <c r="AE96" t="s">
        <v>573</v>
      </c>
      <c r="AG96" t="s">
        <v>897</v>
      </c>
      <c r="AI96" t="s">
        <v>2396</v>
      </c>
      <c r="AJ96" t="s">
        <v>1404</v>
      </c>
      <c r="AK96" t="s">
        <v>2389</v>
      </c>
      <c r="AL96" t="s">
        <v>2390</v>
      </c>
      <c r="AN96" t="str">
        <f t="shared" si="26"/>
        <v>OK</v>
      </c>
      <c r="AO96" t="str">
        <f t="shared" si="27"/>
        <v>OK</v>
      </c>
      <c r="AP96" t="str">
        <f t="shared" si="28"/>
        <v>OK</v>
      </c>
      <c r="AR96" t="str">
        <f t="shared" si="29"/>
        <v>OK</v>
      </c>
      <c r="AS96" t="str">
        <f t="shared" si="30"/>
        <v>OK</v>
      </c>
      <c r="AT96" t="str">
        <f t="shared" si="31"/>
        <v>NOK</v>
      </c>
      <c r="AU96" t="str">
        <f t="shared" si="32"/>
        <v>OK</v>
      </c>
      <c r="AV96" t="str">
        <f t="shared" si="33"/>
        <v>OK</v>
      </c>
      <c r="AW96" t="str">
        <f t="shared" si="34"/>
        <v>OK</v>
      </c>
    </row>
    <row r="97" spans="1:51">
      <c r="A97">
        <f>Dbase_velden_versie4_2!A93</f>
        <v>93</v>
      </c>
      <c r="B97" t="str">
        <f>Dbase_velden_versie4_2!B93</f>
        <v>KV_GRIND%</v>
      </c>
      <c r="C97" t="str">
        <f>Dbase_velden_versie4_2!C93</f>
        <v>%</v>
      </c>
      <c r="D97" t="str">
        <f>Dbase_velden_versie4_2!D93</f>
        <v>Percentage grind % grind&gt;2mm</v>
      </c>
      <c r="E97" t="str">
        <f>Dbase_velden_versie4_2!E93</f>
        <v>Double</v>
      </c>
      <c r="F97" t="str">
        <f>Dbase_velden_versie4_2!F93</f>
        <v>0%-100%</v>
      </c>
      <c r="G97" t="str">
        <f>Dbase_velden_versie4_2!G93</f>
        <v>KV GRIND%</v>
      </c>
      <c r="H97" t="str">
        <f>Dbase_velden_versie4_2!H93</f>
        <v>[%]</v>
      </c>
      <c r="I97" t="str">
        <f>Dbase_velden_versie4_2!I93</f>
        <v>KV</v>
      </c>
      <c r="J97" t="str">
        <f>Dbase_velden_versie4_2!J93</f>
        <v>Korrelverdeling zeefproef en fractieverdeling</v>
      </c>
      <c r="K97">
        <v>93</v>
      </c>
      <c r="L97" t="str">
        <v>KV_GRIND%</v>
      </c>
      <c r="M97" t="str">
        <v>%</v>
      </c>
      <c r="N97" t="str">
        <v>Percentage grind % grind&gt;2mm</v>
      </c>
      <c r="O97" t="str">
        <v>Double</v>
      </c>
      <c r="P97" t="str">
        <v>0%-100%</v>
      </c>
      <c r="Q97" t="str">
        <v>KV GRIND%</v>
      </c>
      <c r="R97" t="str">
        <v>[%]</v>
      </c>
      <c r="S97" t="str">
        <f t="shared" si="25"/>
        <v>OK</v>
      </c>
      <c r="T97" t="str">
        <f t="shared" si="19"/>
        <v>OK</v>
      </c>
      <c r="U97" t="str">
        <f t="shared" si="20"/>
        <v>OK</v>
      </c>
      <c r="V97" t="str">
        <f t="shared" si="21"/>
        <v>OK</v>
      </c>
      <c r="W97" t="str">
        <f t="shared" si="22"/>
        <v>OK</v>
      </c>
      <c r="X97" t="str">
        <f t="shared" si="23"/>
        <v>OK</v>
      </c>
      <c r="Y97" t="str">
        <f t="shared" si="24"/>
        <v>OK</v>
      </c>
      <c r="Z97">
        <v>92</v>
      </c>
      <c r="AA97">
        <v>94</v>
      </c>
      <c r="AB97" t="s">
        <v>2389</v>
      </c>
      <c r="AC97" t="s">
        <v>93</v>
      </c>
      <c r="AD97" t="s">
        <v>468</v>
      </c>
      <c r="AE97" t="s">
        <v>574</v>
      </c>
      <c r="AG97" t="s">
        <v>897</v>
      </c>
      <c r="AH97" t="s">
        <v>917</v>
      </c>
      <c r="AI97" t="s">
        <v>2397</v>
      </c>
      <c r="AJ97" t="s">
        <v>1400</v>
      </c>
      <c r="AK97" t="s">
        <v>2389</v>
      </c>
      <c r="AL97" t="s">
        <v>2390</v>
      </c>
      <c r="AN97" t="str">
        <f t="shared" si="26"/>
        <v>OK</v>
      </c>
      <c r="AO97" t="str">
        <f t="shared" si="27"/>
        <v>OK</v>
      </c>
      <c r="AP97" t="str">
        <f t="shared" si="28"/>
        <v>OK</v>
      </c>
      <c r="AR97" t="str">
        <f t="shared" si="29"/>
        <v>OK</v>
      </c>
      <c r="AS97" t="str">
        <f t="shared" si="30"/>
        <v>OK</v>
      </c>
      <c r="AT97" t="str">
        <f t="shared" si="31"/>
        <v>NOK</v>
      </c>
      <c r="AU97" t="str">
        <f t="shared" si="32"/>
        <v>OK</v>
      </c>
      <c r="AV97" t="str">
        <f t="shared" si="33"/>
        <v>OK</v>
      </c>
      <c r="AW97" t="str">
        <f t="shared" si="34"/>
        <v>OK</v>
      </c>
    </row>
    <row r="98" spans="1:51">
      <c r="A98">
        <f>Dbase_velden_versie4_2!A94</f>
        <v>94</v>
      </c>
      <c r="B98" t="str">
        <f>Dbase_velden_versie4_2!B94</f>
        <v>KV_ZAND%</v>
      </c>
      <c r="C98" t="str">
        <f>Dbase_velden_versie4_2!C94</f>
        <v>%</v>
      </c>
      <c r="D98" t="str">
        <f>Dbase_velden_versie4_2!D94</f>
        <v>Percentage zand % zand tussen 0,063 - 2 mm</v>
      </c>
      <c r="E98" t="str">
        <f>Dbase_velden_versie4_2!E94</f>
        <v>Double</v>
      </c>
      <c r="F98" t="str">
        <f>Dbase_velden_versie4_2!F94</f>
        <v>0%-100%</v>
      </c>
      <c r="G98" t="str">
        <f>Dbase_velden_versie4_2!G94</f>
        <v>KV ZAND%</v>
      </c>
      <c r="H98" t="str">
        <f>Dbase_velden_versie4_2!H94</f>
        <v>[%]</v>
      </c>
      <c r="I98" t="str">
        <f>Dbase_velden_versie4_2!I94</f>
        <v>KV</v>
      </c>
      <c r="J98" t="str">
        <f>Dbase_velden_versie4_2!J94</f>
        <v>Korrelverdeling zeefproef en fractieverdeling</v>
      </c>
      <c r="K98">
        <v>94</v>
      </c>
      <c r="L98" t="str">
        <v>KV_ZAND%</v>
      </c>
      <c r="M98" t="str">
        <v>%</v>
      </c>
      <c r="N98" t="str">
        <v>Percentage zand % zand tussen 0,063 - 2 mm</v>
      </c>
      <c r="O98" t="str">
        <v>Double</v>
      </c>
      <c r="P98" t="str">
        <v>0%-100%</v>
      </c>
      <c r="Q98" t="str">
        <v>KV ZAND%</v>
      </c>
      <c r="R98" t="str">
        <v>[%]</v>
      </c>
      <c r="S98" t="str">
        <f t="shared" si="25"/>
        <v>OK</v>
      </c>
      <c r="T98" t="str">
        <f t="shared" si="19"/>
        <v>OK</v>
      </c>
      <c r="U98" t="str">
        <f t="shared" si="20"/>
        <v>OK</v>
      </c>
      <c r="V98" t="str">
        <f t="shared" si="21"/>
        <v>OK</v>
      </c>
      <c r="W98" t="str">
        <f t="shared" si="22"/>
        <v>OK</v>
      </c>
      <c r="X98" t="str">
        <f t="shared" si="23"/>
        <v>OK</v>
      </c>
      <c r="Y98" t="str">
        <f t="shared" si="24"/>
        <v>OK</v>
      </c>
      <c r="Z98">
        <v>93</v>
      </c>
      <c r="AA98">
        <v>95</v>
      </c>
      <c r="AB98" t="s">
        <v>2389</v>
      </c>
      <c r="AC98" t="s">
        <v>94</v>
      </c>
      <c r="AD98" t="s">
        <v>468</v>
      </c>
      <c r="AE98" t="s">
        <v>575</v>
      </c>
      <c r="AG98" t="s">
        <v>897</v>
      </c>
      <c r="AH98" t="s">
        <v>917</v>
      </c>
      <c r="AI98" t="s">
        <v>2398</v>
      </c>
      <c r="AJ98" t="s">
        <v>1400</v>
      </c>
      <c r="AK98" t="s">
        <v>2389</v>
      </c>
      <c r="AL98" t="s">
        <v>2390</v>
      </c>
      <c r="AN98" t="str">
        <f t="shared" si="26"/>
        <v>OK</v>
      </c>
      <c r="AO98" t="str">
        <f t="shared" si="27"/>
        <v>OK</v>
      </c>
      <c r="AP98" t="str">
        <f t="shared" si="28"/>
        <v>OK</v>
      </c>
      <c r="AR98" t="str">
        <f t="shared" si="29"/>
        <v>OK</v>
      </c>
      <c r="AS98" t="str">
        <f t="shared" si="30"/>
        <v>OK</v>
      </c>
      <c r="AT98" t="str">
        <f t="shared" si="31"/>
        <v>NOK</v>
      </c>
      <c r="AU98" t="str">
        <f t="shared" si="32"/>
        <v>OK</v>
      </c>
      <c r="AV98" t="str">
        <f t="shared" si="33"/>
        <v>OK</v>
      </c>
      <c r="AW98" t="str">
        <f t="shared" si="34"/>
        <v>OK</v>
      </c>
    </row>
    <row r="99" spans="1:51">
      <c r="A99">
        <f>Dbase_velden_versie4_2!A95</f>
        <v>95</v>
      </c>
      <c r="B99" t="str">
        <f>Dbase_velden_versie4_2!B95</f>
        <v>KV_SILT%</v>
      </c>
      <c r="C99" t="str">
        <f>Dbase_velden_versie4_2!C95</f>
        <v>%</v>
      </c>
      <c r="D99" t="str">
        <f>Dbase_velden_versie4_2!D95</f>
        <v xml:space="preserve">Percentage silt % silt tussen 0,002 - 0,063 mm </v>
      </c>
      <c r="E99" t="str">
        <f>Dbase_velden_versie4_2!E95</f>
        <v>Double</v>
      </c>
      <c r="F99" t="str">
        <f>Dbase_velden_versie4_2!F95</f>
        <v>0%-100%</v>
      </c>
      <c r="G99" t="str">
        <f>Dbase_velden_versie4_2!G95</f>
        <v>KV SILT%</v>
      </c>
      <c r="H99" t="str">
        <f>Dbase_velden_versie4_2!H95</f>
        <v>[%]</v>
      </c>
      <c r="I99" t="str">
        <f>Dbase_velden_versie4_2!I95</f>
        <v>KV</v>
      </c>
      <c r="J99" t="str">
        <f>Dbase_velden_versie4_2!J95</f>
        <v>Korrelverdeling zeefproef en fractieverdeling</v>
      </c>
      <c r="K99">
        <v>95</v>
      </c>
      <c r="L99" t="str">
        <v>KV_SILT%</v>
      </c>
      <c r="M99" t="str">
        <v>%</v>
      </c>
      <c r="N99" t="str">
        <v xml:space="preserve">Percentage silt % silt tussen 0,002 - 0,063 mm </v>
      </c>
      <c r="O99" t="str">
        <v>Double</v>
      </c>
      <c r="P99" t="str">
        <v>0%-100%</v>
      </c>
      <c r="Q99" t="str">
        <v>KV SILT%</v>
      </c>
      <c r="R99" t="str">
        <v>[%]</v>
      </c>
      <c r="S99" t="str">
        <f t="shared" si="25"/>
        <v>OK</v>
      </c>
      <c r="T99" t="str">
        <f t="shared" si="19"/>
        <v>OK</v>
      </c>
      <c r="U99" t="str">
        <f t="shared" si="20"/>
        <v>OK</v>
      </c>
      <c r="V99" t="str">
        <f t="shared" si="21"/>
        <v>OK</v>
      </c>
      <c r="W99" t="str">
        <f t="shared" si="22"/>
        <v>OK</v>
      </c>
      <c r="X99" t="str">
        <f t="shared" si="23"/>
        <v>OK</v>
      </c>
      <c r="Y99" t="str">
        <f t="shared" si="24"/>
        <v>OK</v>
      </c>
      <c r="Z99">
        <v>94</v>
      </c>
      <c r="AA99">
        <v>96</v>
      </c>
      <c r="AB99" t="s">
        <v>2389</v>
      </c>
      <c r="AC99" t="s">
        <v>95</v>
      </c>
      <c r="AD99" t="s">
        <v>468</v>
      </c>
      <c r="AE99" t="s">
        <v>576</v>
      </c>
      <c r="AG99" t="s">
        <v>897</v>
      </c>
      <c r="AH99" t="s">
        <v>917</v>
      </c>
      <c r="AI99" t="s">
        <v>2399</v>
      </c>
      <c r="AJ99" t="s">
        <v>1400</v>
      </c>
      <c r="AK99" t="s">
        <v>2389</v>
      </c>
      <c r="AL99" t="s">
        <v>2390</v>
      </c>
      <c r="AN99" t="str">
        <f t="shared" si="26"/>
        <v>OK</v>
      </c>
      <c r="AO99" t="str">
        <f t="shared" si="27"/>
        <v>OK</v>
      </c>
      <c r="AP99" t="str">
        <f t="shared" si="28"/>
        <v>OK</v>
      </c>
      <c r="AR99" t="str">
        <f t="shared" si="29"/>
        <v>OK</v>
      </c>
      <c r="AS99" t="str">
        <f t="shared" si="30"/>
        <v>OK</v>
      </c>
      <c r="AT99" t="str">
        <f t="shared" si="31"/>
        <v>NOK</v>
      </c>
      <c r="AU99" t="str">
        <f t="shared" si="32"/>
        <v>OK</v>
      </c>
      <c r="AV99" t="str">
        <f t="shared" si="33"/>
        <v>OK</v>
      </c>
      <c r="AW99" t="str">
        <f t="shared" si="34"/>
        <v>OK</v>
      </c>
    </row>
    <row r="100" spans="1:51">
      <c r="A100">
        <f>Dbase_velden_versie4_2!A96</f>
        <v>96</v>
      </c>
      <c r="B100" t="str">
        <f>Dbase_velden_versie4_2!B96</f>
        <v>KV_DOOR_63MM</v>
      </c>
      <c r="C100" t="str">
        <f>Dbase_velden_versie4_2!C96</f>
        <v>%</v>
      </c>
      <c r="D100" t="str">
        <f>Dbase_velden_versie4_2!D96</f>
        <v>Gewichtspercentage van het gehele monster dat kleiner is dan 63 mm</v>
      </c>
      <c r="E100" t="str">
        <f>Dbase_velden_versie4_2!E96</f>
        <v>Double</v>
      </c>
      <c r="F100" t="str">
        <f>Dbase_velden_versie4_2!F96</f>
        <v>0%-100%</v>
      </c>
      <c r="G100" t="str">
        <f>Dbase_velden_versie4_2!G96</f>
        <v>KV DOOR 63MM</v>
      </c>
      <c r="H100" t="str">
        <f>Dbase_velden_versie4_2!H96</f>
        <v>[%]</v>
      </c>
      <c r="I100" t="str">
        <f>Dbase_velden_versie4_2!I96</f>
        <v>KV</v>
      </c>
      <c r="J100" t="str">
        <f>Dbase_velden_versie4_2!J96</f>
        <v>Korrelverdeling zeefproef en fractieverdeling</v>
      </c>
      <c r="K100">
        <v>96</v>
      </c>
      <c r="L100" t="str">
        <v>KV_DOOR_63MM</v>
      </c>
      <c r="M100" t="str">
        <v>%</v>
      </c>
      <c r="N100" t="str">
        <v>Gewichtspercentage van het gehele monster dat kleiner is dan 63 mm</v>
      </c>
      <c r="O100" t="str">
        <v>Double</v>
      </c>
      <c r="P100" t="str">
        <v>0%-100%</v>
      </c>
      <c r="Q100" t="str">
        <v>KV DOOR 63MM</v>
      </c>
      <c r="R100" t="str">
        <v>[%]</v>
      </c>
      <c r="S100" t="str">
        <f t="shared" si="25"/>
        <v>OK</v>
      </c>
      <c r="T100" t="str">
        <f t="shared" si="19"/>
        <v>OK</v>
      </c>
      <c r="U100" t="str">
        <f t="shared" si="20"/>
        <v>OK</v>
      </c>
      <c r="V100" t="str">
        <f t="shared" si="21"/>
        <v>OK</v>
      </c>
      <c r="W100" t="str">
        <f t="shared" si="22"/>
        <v>OK</v>
      </c>
      <c r="X100" t="str">
        <f t="shared" si="23"/>
        <v>OK</v>
      </c>
      <c r="Y100" t="str">
        <f t="shared" si="24"/>
        <v>OK</v>
      </c>
      <c r="Z100">
        <v>95</v>
      </c>
      <c r="AA100">
        <v>97</v>
      </c>
      <c r="AB100" t="s">
        <v>2389</v>
      </c>
      <c r="AC100" t="s">
        <v>96</v>
      </c>
      <c r="AD100" t="s">
        <v>468</v>
      </c>
      <c r="AE100" t="s">
        <v>577</v>
      </c>
      <c r="AG100" t="s">
        <v>897</v>
      </c>
      <c r="AH100" t="s">
        <v>917</v>
      </c>
      <c r="AI100" s="25" t="s">
        <v>2400</v>
      </c>
      <c r="AJ100" t="s">
        <v>1400</v>
      </c>
      <c r="AK100" t="s">
        <v>2389</v>
      </c>
      <c r="AL100" t="s">
        <v>2390</v>
      </c>
      <c r="AN100" t="str">
        <f t="shared" si="26"/>
        <v>OK</v>
      </c>
      <c r="AO100" t="str">
        <f t="shared" si="27"/>
        <v>OK</v>
      </c>
      <c r="AP100" t="str">
        <f t="shared" si="28"/>
        <v>OK</v>
      </c>
      <c r="AR100" t="str">
        <f t="shared" si="29"/>
        <v>OK</v>
      </c>
      <c r="AS100" t="str">
        <f t="shared" si="30"/>
        <v>OK</v>
      </c>
      <c r="AT100" t="str">
        <f t="shared" si="31"/>
        <v>NOK</v>
      </c>
      <c r="AU100" t="str">
        <f t="shared" si="32"/>
        <v>OK</v>
      </c>
      <c r="AV100" t="str">
        <f t="shared" si="33"/>
        <v>OK</v>
      </c>
      <c r="AW100" t="str">
        <f t="shared" si="34"/>
        <v>OK</v>
      </c>
      <c r="AY100" s="25"/>
    </row>
    <row r="101" spans="1:51">
      <c r="A101">
        <f>Dbase_velden_versie4_2!A97</f>
        <v>97</v>
      </c>
      <c r="B101" t="str">
        <f>Dbase_velden_versie4_2!B97</f>
        <v>KV_DOOR_31.5MM</v>
      </c>
      <c r="C101" t="str">
        <f>Dbase_velden_versie4_2!C97</f>
        <v>%</v>
      </c>
      <c r="D101" t="str">
        <f>Dbase_velden_versie4_2!D97</f>
        <v>Gewichtspercentage van het gehele monster dat kleiner is dan 31,5 mm</v>
      </c>
      <c r="E101" t="str">
        <f>Dbase_velden_versie4_2!E97</f>
        <v>Double</v>
      </c>
      <c r="F101" t="str">
        <f>Dbase_velden_versie4_2!F97</f>
        <v>0%-100%</v>
      </c>
      <c r="G101" t="str">
        <f>Dbase_velden_versie4_2!G97</f>
        <v>KV DOOR 31.5MM</v>
      </c>
      <c r="H101" t="str">
        <f>Dbase_velden_versie4_2!H97</f>
        <v>[%]</v>
      </c>
      <c r="I101" t="str">
        <f>Dbase_velden_versie4_2!I97</f>
        <v>KV</v>
      </c>
      <c r="J101" t="str">
        <f>Dbase_velden_versie4_2!J97</f>
        <v>Korrelverdeling zeefproef en fractieverdeling</v>
      </c>
      <c r="K101">
        <v>97</v>
      </c>
      <c r="L101" t="str">
        <v>KV_DOOR_31.5MM</v>
      </c>
      <c r="M101" t="str">
        <v>%</v>
      </c>
      <c r="N101" t="str">
        <v>Gewichtspercentage van het gehele monster dat kleiner is dan 31,5 mm</v>
      </c>
      <c r="O101" t="str">
        <v>Double</v>
      </c>
      <c r="P101" t="str">
        <v>0%-100%</v>
      </c>
      <c r="Q101" t="str">
        <v>KV DOOR 31.5MM</v>
      </c>
      <c r="R101" t="str">
        <v>[%]</v>
      </c>
      <c r="S101" t="str">
        <f t="shared" si="25"/>
        <v>OK</v>
      </c>
      <c r="T101" t="str">
        <f t="shared" si="19"/>
        <v>OK</v>
      </c>
      <c r="U101" t="str">
        <f t="shared" si="20"/>
        <v>OK</v>
      </c>
      <c r="V101" t="str">
        <f t="shared" si="21"/>
        <v>OK</v>
      </c>
      <c r="W101" t="str">
        <f t="shared" si="22"/>
        <v>OK</v>
      </c>
      <c r="X101" t="str">
        <f t="shared" si="23"/>
        <v>OK</v>
      </c>
      <c r="Y101" t="str">
        <f t="shared" si="24"/>
        <v>OK</v>
      </c>
      <c r="Z101">
        <v>96</v>
      </c>
      <c r="AA101">
        <v>98</v>
      </c>
      <c r="AB101" t="s">
        <v>2389</v>
      </c>
      <c r="AC101" t="s">
        <v>97</v>
      </c>
      <c r="AD101" t="s">
        <v>468</v>
      </c>
      <c r="AE101" t="s">
        <v>578</v>
      </c>
      <c r="AG101" t="s">
        <v>897</v>
      </c>
      <c r="AH101" t="s">
        <v>917</v>
      </c>
      <c r="AI101" s="25" t="s">
        <v>2401</v>
      </c>
      <c r="AJ101" t="s">
        <v>1400</v>
      </c>
      <c r="AK101" t="s">
        <v>2389</v>
      </c>
      <c r="AL101" t="s">
        <v>2390</v>
      </c>
      <c r="AN101" t="str">
        <f t="shared" si="26"/>
        <v>OK</v>
      </c>
      <c r="AO101" t="str">
        <f t="shared" si="27"/>
        <v>OK</v>
      </c>
      <c r="AP101" t="str">
        <f t="shared" si="28"/>
        <v>OK</v>
      </c>
      <c r="AR101" t="str">
        <f t="shared" si="29"/>
        <v>OK</v>
      </c>
      <c r="AS101" t="str">
        <f t="shared" si="30"/>
        <v>OK</v>
      </c>
      <c r="AT101" t="str">
        <f t="shared" si="31"/>
        <v>NOK</v>
      </c>
      <c r="AU101" t="str">
        <f t="shared" si="32"/>
        <v>OK</v>
      </c>
      <c r="AV101" t="str">
        <f t="shared" si="33"/>
        <v>OK</v>
      </c>
      <c r="AW101" t="str">
        <f t="shared" si="34"/>
        <v>OK</v>
      </c>
      <c r="AY101" s="25"/>
    </row>
    <row r="102" spans="1:51">
      <c r="A102">
        <f>Dbase_velden_versie4_2!A98</f>
        <v>98</v>
      </c>
      <c r="B102" t="str">
        <f>Dbase_velden_versie4_2!B98</f>
        <v>KV_DOOR_16MM</v>
      </c>
      <c r="C102" t="str">
        <f>Dbase_velden_versie4_2!C98</f>
        <v>%</v>
      </c>
      <c r="D102" t="str">
        <f>Dbase_velden_versie4_2!D98</f>
        <v>Gewichtspercentage van het gehele monster dat kleiner is dan 16 mm</v>
      </c>
      <c r="E102" t="str">
        <f>Dbase_velden_versie4_2!E98</f>
        <v>Double</v>
      </c>
      <c r="F102" t="str">
        <f>Dbase_velden_versie4_2!F98</f>
        <v>0%-100%</v>
      </c>
      <c r="G102" t="str">
        <f>Dbase_velden_versie4_2!G98</f>
        <v>KV DOOR 16MM</v>
      </c>
      <c r="H102" t="str">
        <f>Dbase_velden_versie4_2!H98</f>
        <v>[%]</v>
      </c>
      <c r="I102" t="str">
        <f>Dbase_velden_versie4_2!I98</f>
        <v>KV</v>
      </c>
      <c r="J102" t="str">
        <f>Dbase_velden_versie4_2!J98</f>
        <v>Korrelverdeling zeefproef en fractieverdeling</v>
      </c>
      <c r="K102">
        <v>98</v>
      </c>
      <c r="L102" t="str">
        <v>KV_DOOR_16MM</v>
      </c>
      <c r="M102" t="str">
        <v>%</v>
      </c>
      <c r="N102" t="str">
        <v>Gewichtspercentage van het gehele monster dat kleiner is dan 16 mm</v>
      </c>
      <c r="O102" t="str">
        <v>Double</v>
      </c>
      <c r="P102" t="str">
        <v>0%-100%</v>
      </c>
      <c r="Q102" t="str">
        <v>KV DOOR 16MM</v>
      </c>
      <c r="R102" t="str">
        <v>[%]</v>
      </c>
      <c r="S102" t="str">
        <f t="shared" si="25"/>
        <v>OK</v>
      </c>
      <c r="T102" t="str">
        <f t="shared" si="19"/>
        <v>OK</v>
      </c>
      <c r="U102" t="str">
        <f t="shared" si="20"/>
        <v>OK</v>
      </c>
      <c r="V102" t="str">
        <f t="shared" si="21"/>
        <v>OK</v>
      </c>
      <c r="W102" t="str">
        <f t="shared" si="22"/>
        <v>OK</v>
      </c>
      <c r="X102" t="str">
        <f t="shared" si="23"/>
        <v>OK</v>
      </c>
      <c r="Y102" t="str">
        <f t="shared" si="24"/>
        <v>OK</v>
      </c>
      <c r="Z102">
        <v>97</v>
      </c>
      <c r="AA102">
        <v>99</v>
      </c>
      <c r="AB102" t="s">
        <v>2389</v>
      </c>
      <c r="AC102" t="s">
        <v>98</v>
      </c>
      <c r="AD102" t="s">
        <v>468</v>
      </c>
      <c r="AE102" t="s">
        <v>579</v>
      </c>
      <c r="AG102" t="s">
        <v>897</v>
      </c>
      <c r="AH102" t="s">
        <v>917</v>
      </c>
      <c r="AI102" s="25" t="s">
        <v>2402</v>
      </c>
      <c r="AJ102" t="s">
        <v>1400</v>
      </c>
      <c r="AK102" t="s">
        <v>2389</v>
      </c>
      <c r="AL102" t="s">
        <v>2390</v>
      </c>
      <c r="AN102" t="str">
        <f t="shared" si="26"/>
        <v>OK</v>
      </c>
      <c r="AO102" t="str">
        <f t="shared" si="27"/>
        <v>OK</v>
      </c>
      <c r="AP102" t="str">
        <f t="shared" si="28"/>
        <v>OK</v>
      </c>
      <c r="AR102" t="str">
        <f t="shared" si="29"/>
        <v>OK</v>
      </c>
      <c r="AS102" t="str">
        <f t="shared" si="30"/>
        <v>OK</v>
      </c>
      <c r="AT102" t="str">
        <f t="shared" si="31"/>
        <v>NOK</v>
      </c>
      <c r="AU102" t="str">
        <f t="shared" si="32"/>
        <v>OK</v>
      </c>
      <c r="AV102" t="str">
        <f t="shared" si="33"/>
        <v>OK</v>
      </c>
      <c r="AW102" t="str">
        <f t="shared" si="34"/>
        <v>OK</v>
      </c>
      <c r="AY102" s="25"/>
    </row>
    <row r="103" spans="1:51">
      <c r="A103">
        <f>Dbase_velden_versie4_2!A99</f>
        <v>99</v>
      </c>
      <c r="B103" t="str">
        <f>Dbase_velden_versie4_2!B99</f>
        <v>KV_DOOR_8MM</v>
      </c>
      <c r="C103" t="str">
        <f>Dbase_velden_versie4_2!C99</f>
        <v>%</v>
      </c>
      <c r="D103" t="str">
        <f>Dbase_velden_versie4_2!D99</f>
        <v>Gewichtspercentage van het gehele monster dat kleiner is dan 8 mm</v>
      </c>
      <c r="E103" t="str">
        <f>Dbase_velden_versie4_2!E99</f>
        <v>Double</v>
      </c>
      <c r="F103" t="str">
        <f>Dbase_velden_versie4_2!F99</f>
        <v>0%-100%</v>
      </c>
      <c r="G103" t="str">
        <f>Dbase_velden_versie4_2!G99</f>
        <v>KV DOOR 8MM</v>
      </c>
      <c r="H103" t="str">
        <f>Dbase_velden_versie4_2!H99</f>
        <v>[%]</v>
      </c>
      <c r="I103" t="str">
        <f>Dbase_velden_versie4_2!I99</f>
        <v>KV</v>
      </c>
      <c r="J103" t="str">
        <f>Dbase_velden_versie4_2!J99</f>
        <v>Korrelverdeling zeefproef en fractieverdeling</v>
      </c>
      <c r="K103">
        <v>99</v>
      </c>
      <c r="L103" t="str">
        <v>KV_DOOR_8MM</v>
      </c>
      <c r="M103" t="str">
        <v>%</v>
      </c>
      <c r="N103" t="str">
        <v>Gewichtspercentage van het gehele monster dat kleiner is dan 8 mm</v>
      </c>
      <c r="O103" t="str">
        <v>Double</v>
      </c>
      <c r="P103" t="str">
        <v>0%-100%</v>
      </c>
      <c r="Q103" t="str">
        <v>KV DOOR 8MM</v>
      </c>
      <c r="R103" t="str">
        <v>[%]</v>
      </c>
      <c r="S103" t="str">
        <f t="shared" si="25"/>
        <v>OK</v>
      </c>
      <c r="T103" t="str">
        <f t="shared" si="19"/>
        <v>OK</v>
      </c>
      <c r="U103" t="str">
        <f t="shared" si="20"/>
        <v>OK</v>
      </c>
      <c r="V103" t="str">
        <f t="shared" si="21"/>
        <v>OK</v>
      </c>
      <c r="W103" t="str">
        <f t="shared" si="22"/>
        <v>OK</v>
      </c>
      <c r="X103" t="str">
        <f t="shared" si="23"/>
        <v>OK</v>
      </c>
      <c r="Y103" t="str">
        <f t="shared" si="24"/>
        <v>OK</v>
      </c>
      <c r="Z103">
        <v>98</v>
      </c>
      <c r="AA103">
        <v>100</v>
      </c>
      <c r="AB103" t="s">
        <v>2389</v>
      </c>
      <c r="AC103" t="s">
        <v>99</v>
      </c>
      <c r="AD103" t="s">
        <v>468</v>
      </c>
      <c r="AE103" t="s">
        <v>580</v>
      </c>
      <c r="AG103" t="s">
        <v>897</v>
      </c>
      <c r="AH103" t="s">
        <v>917</v>
      </c>
      <c r="AI103" s="25" t="s">
        <v>2403</v>
      </c>
      <c r="AJ103" t="s">
        <v>1400</v>
      </c>
      <c r="AK103" t="s">
        <v>2389</v>
      </c>
      <c r="AL103" t="s">
        <v>2390</v>
      </c>
      <c r="AN103" t="str">
        <f t="shared" si="26"/>
        <v>OK</v>
      </c>
      <c r="AO103" t="str">
        <f t="shared" si="27"/>
        <v>OK</v>
      </c>
      <c r="AP103" t="str">
        <f t="shared" si="28"/>
        <v>OK</v>
      </c>
      <c r="AR103" t="str">
        <f t="shared" si="29"/>
        <v>OK</v>
      </c>
      <c r="AS103" t="str">
        <f t="shared" si="30"/>
        <v>OK</v>
      </c>
      <c r="AT103" t="str">
        <f t="shared" si="31"/>
        <v>NOK</v>
      </c>
      <c r="AU103" t="str">
        <f t="shared" si="32"/>
        <v>OK</v>
      </c>
      <c r="AV103" t="str">
        <f t="shared" si="33"/>
        <v>OK</v>
      </c>
      <c r="AW103" t="str">
        <f t="shared" si="34"/>
        <v>OK</v>
      </c>
      <c r="AY103" s="25"/>
    </row>
    <row r="104" spans="1:51">
      <c r="A104">
        <f>Dbase_velden_versie4_2!A100</f>
        <v>100</v>
      </c>
      <c r="B104" t="str">
        <f>Dbase_velden_versie4_2!B100</f>
        <v>KV_DOOR_4MM</v>
      </c>
      <c r="C104" t="str">
        <f>Dbase_velden_versie4_2!C100</f>
        <v>%</v>
      </c>
      <c r="D104" t="str">
        <f>Dbase_velden_versie4_2!D100</f>
        <v>Gewichtspercentage van het gehele monster dat kleiner is dan 4 mm</v>
      </c>
      <c r="E104" t="str">
        <f>Dbase_velden_versie4_2!E100</f>
        <v>Double</v>
      </c>
      <c r="F104" t="str">
        <f>Dbase_velden_versie4_2!F100</f>
        <v>0%-100%</v>
      </c>
      <c r="G104" t="str">
        <f>Dbase_velden_versie4_2!G100</f>
        <v>KV DOOR 4MM</v>
      </c>
      <c r="H104" t="str">
        <f>Dbase_velden_versie4_2!H100</f>
        <v>[%]</v>
      </c>
      <c r="I104" t="str">
        <f>Dbase_velden_versie4_2!I100</f>
        <v>KV</v>
      </c>
      <c r="J104" t="str">
        <f>Dbase_velden_versie4_2!J100</f>
        <v>Korrelverdeling zeefproef en fractieverdeling</v>
      </c>
      <c r="K104">
        <v>100</v>
      </c>
      <c r="L104" t="str">
        <v>KV_DOOR_4MM</v>
      </c>
      <c r="M104" t="str">
        <v>%</v>
      </c>
      <c r="N104" t="str">
        <v>Gewichtspercentage van het gehele monster dat kleiner is dan 4 mm</v>
      </c>
      <c r="O104" t="str">
        <v>Double</v>
      </c>
      <c r="P104" t="str">
        <v>0%-100%</v>
      </c>
      <c r="Q104" t="str">
        <v>KV DOOR 4MM</v>
      </c>
      <c r="R104" t="str">
        <v>[%]</v>
      </c>
      <c r="S104" t="str">
        <f t="shared" si="25"/>
        <v>OK</v>
      </c>
      <c r="T104" t="str">
        <f t="shared" si="19"/>
        <v>OK</v>
      </c>
      <c r="U104" t="str">
        <f t="shared" si="20"/>
        <v>OK</v>
      </c>
      <c r="V104" t="str">
        <f t="shared" si="21"/>
        <v>OK</v>
      </c>
      <c r="W104" t="str">
        <f t="shared" si="22"/>
        <v>OK</v>
      </c>
      <c r="X104" t="str">
        <f t="shared" si="23"/>
        <v>OK</v>
      </c>
      <c r="Y104" t="str">
        <f t="shared" si="24"/>
        <v>OK</v>
      </c>
      <c r="Z104">
        <v>99</v>
      </c>
      <c r="AA104">
        <v>101</v>
      </c>
      <c r="AB104" t="s">
        <v>2389</v>
      </c>
      <c r="AC104" t="s">
        <v>100</v>
      </c>
      <c r="AD104" t="s">
        <v>468</v>
      </c>
      <c r="AE104" t="s">
        <v>581</v>
      </c>
      <c r="AG104" t="s">
        <v>897</v>
      </c>
      <c r="AH104" t="s">
        <v>917</v>
      </c>
      <c r="AI104" s="25" t="s">
        <v>2404</v>
      </c>
      <c r="AJ104" t="s">
        <v>1400</v>
      </c>
      <c r="AK104" t="s">
        <v>2389</v>
      </c>
      <c r="AL104" t="s">
        <v>2390</v>
      </c>
      <c r="AN104" t="str">
        <f t="shared" si="26"/>
        <v>OK</v>
      </c>
      <c r="AO104" t="str">
        <f t="shared" si="27"/>
        <v>OK</v>
      </c>
      <c r="AP104" t="str">
        <f t="shared" si="28"/>
        <v>OK</v>
      </c>
      <c r="AR104" t="str">
        <f t="shared" si="29"/>
        <v>OK</v>
      </c>
      <c r="AS104" t="str">
        <f t="shared" si="30"/>
        <v>OK</v>
      </c>
      <c r="AT104" t="str">
        <f t="shared" si="31"/>
        <v>NOK</v>
      </c>
      <c r="AU104" t="str">
        <f t="shared" si="32"/>
        <v>OK</v>
      </c>
      <c r="AV104" t="str">
        <f t="shared" si="33"/>
        <v>OK</v>
      </c>
      <c r="AW104" t="str">
        <f t="shared" si="34"/>
        <v>OK</v>
      </c>
      <c r="AY104" s="25"/>
    </row>
    <row r="105" spans="1:51">
      <c r="A105">
        <f>Dbase_velden_versie4_2!A101</f>
        <v>101</v>
      </c>
      <c r="B105" t="str">
        <f>Dbase_velden_versie4_2!B101</f>
        <v>KV_DOOR_2MM</v>
      </c>
      <c r="C105" t="str">
        <f>Dbase_velden_versie4_2!C101</f>
        <v>%</v>
      </c>
      <c r="D105" t="str">
        <f>Dbase_velden_versie4_2!D101</f>
        <v>Gewichtspercentage van het gehele monster dat kleiner is dan 2 mm</v>
      </c>
      <c r="E105" t="str">
        <f>Dbase_velden_versie4_2!E101</f>
        <v>Double</v>
      </c>
      <c r="F105" t="str">
        <f>Dbase_velden_versie4_2!F101</f>
        <v>0%-100%</v>
      </c>
      <c r="G105" t="str">
        <f>Dbase_velden_versie4_2!G101</f>
        <v>KV DOOR 2MM</v>
      </c>
      <c r="H105" t="str">
        <f>Dbase_velden_versie4_2!H101</f>
        <v>[%]</v>
      </c>
      <c r="I105" t="str">
        <f>Dbase_velden_versie4_2!I101</f>
        <v>KV</v>
      </c>
      <c r="J105" t="str">
        <f>Dbase_velden_versie4_2!J101</f>
        <v>Korrelverdeling zeefproef en fractieverdeling</v>
      </c>
      <c r="K105">
        <v>101</v>
      </c>
      <c r="L105" t="str">
        <v>KV_DOOR_2MM</v>
      </c>
      <c r="M105" t="str">
        <v>%</v>
      </c>
      <c r="N105" t="str">
        <v>Gewichtspercentage van het gehele monster dat kleiner is dan 2 mm</v>
      </c>
      <c r="O105" t="str">
        <v>Double</v>
      </c>
      <c r="P105" t="str">
        <v>0%-100%</v>
      </c>
      <c r="Q105" t="str">
        <v>KV DOOR 2MM</v>
      </c>
      <c r="R105" t="str">
        <v>[%]</v>
      </c>
      <c r="S105" t="str">
        <f t="shared" si="25"/>
        <v>OK</v>
      </c>
      <c r="T105" t="str">
        <f t="shared" si="19"/>
        <v>OK</v>
      </c>
      <c r="U105" t="str">
        <f t="shared" si="20"/>
        <v>OK</v>
      </c>
      <c r="V105" t="str">
        <f t="shared" si="21"/>
        <v>OK</v>
      </c>
      <c r="W105" t="str">
        <f t="shared" si="22"/>
        <v>OK</v>
      </c>
      <c r="X105" t="str">
        <f t="shared" si="23"/>
        <v>OK</v>
      </c>
      <c r="Y105" t="str">
        <f t="shared" si="24"/>
        <v>OK</v>
      </c>
      <c r="Z105">
        <v>100</v>
      </c>
      <c r="AA105">
        <v>102</v>
      </c>
      <c r="AB105" t="s">
        <v>2389</v>
      </c>
      <c r="AC105" t="s">
        <v>101</v>
      </c>
      <c r="AD105" t="s">
        <v>468</v>
      </c>
      <c r="AE105" t="s">
        <v>582</v>
      </c>
      <c r="AG105" t="s">
        <v>897</v>
      </c>
      <c r="AH105" t="s">
        <v>917</v>
      </c>
      <c r="AI105" s="25" t="s">
        <v>2405</v>
      </c>
      <c r="AJ105" t="s">
        <v>1400</v>
      </c>
      <c r="AK105" t="s">
        <v>2389</v>
      </c>
      <c r="AL105" t="s">
        <v>2390</v>
      </c>
      <c r="AN105" t="str">
        <f t="shared" si="26"/>
        <v>OK</v>
      </c>
      <c r="AO105" t="str">
        <f t="shared" si="27"/>
        <v>OK</v>
      </c>
      <c r="AP105" t="str">
        <f t="shared" si="28"/>
        <v>OK</v>
      </c>
      <c r="AR105" t="str">
        <f t="shared" si="29"/>
        <v>OK</v>
      </c>
      <c r="AS105" t="str">
        <f t="shared" si="30"/>
        <v>OK</v>
      </c>
      <c r="AT105" t="str">
        <f t="shared" si="31"/>
        <v>NOK</v>
      </c>
      <c r="AU105" t="str">
        <f t="shared" si="32"/>
        <v>OK</v>
      </c>
      <c r="AV105" t="str">
        <f t="shared" si="33"/>
        <v>OK</v>
      </c>
      <c r="AW105" t="str">
        <f t="shared" si="34"/>
        <v>OK</v>
      </c>
      <c r="AY105" s="25"/>
    </row>
    <row r="106" spans="1:51">
      <c r="A106">
        <f>Dbase_velden_versie4_2!A102</f>
        <v>102</v>
      </c>
      <c r="B106" t="str">
        <f>Dbase_velden_versie4_2!B102</f>
        <v>KV_DOOR_1MM</v>
      </c>
      <c r="C106" t="str">
        <f>Dbase_velden_versie4_2!C102</f>
        <v>%</v>
      </c>
      <c r="D106" t="str">
        <f>Dbase_velden_versie4_2!D102</f>
        <v>Gewichtspercentage van het gehele monster dat kleiner is dan 1 mm</v>
      </c>
      <c r="E106" t="str">
        <f>Dbase_velden_versie4_2!E102</f>
        <v>Double</v>
      </c>
      <c r="F106" t="str">
        <f>Dbase_velden_versie4_2!F102</f>
        <v>0%-100%</v>
      </c>
      <c r="G106" t="str">
        <f>Dbase_velden_versie4_2!G102</f>
        <v>KV DOOR 1MM</v>
      </c>
      <c r="H106" t="str">
        <f>Dbase_velden_versie4_2!H102</f>
        <v>[%]</v>
      </c>
      <c r="I106" t="str">
        <f>Dbase_velden_versie4_2!I102</f>
        <v>KV</v>
      </c>
      <c r="J106" t="str">
        <f>Dbase_velden_versie4_2!J102</f>
        <v>Korrelverdeling zeefproef en fractieverdeling</v>
      </c>
      <c r="K106">
        <v>102</v>
      </c>
      <c r="L106" t="str">
        <v>KV_DOOR_1MM</v>
      </c>
      <c r="M106" t="str">
        <v>%</v>
      </c>
      <c r="N106" t="str">
        <v>Gewichtspercentage van het gehele monster dat kleiner is dan 1 mm</v>
      </c>
      <c r="O106" t="str">
        <v>Double</v>
      </c>
      <c r="P106" t="str">
        <v>0%-100%</v>
      </c>
      <c r="Q106" t="str">
        <v>KV DOOR 1MM</v>
      </c>
      <c r="R106" t="str">
        <v>[%]</v>
      </c>
      <c r="S106" t="str">
        <f t="shared" si="25"/>
        <v>OK</v>
      </c>
      <c r="T106" t="str">
        <f t="shared" si="19"/>
        <v>OK</v>
      </c>
      <c r="U106" t="str">
        <f t="shared" si="20"/>
        <v>OK</v>
      </c>
      <c r="V106" t="str">
        <f t="shared" si="21"/>
        <v>OK</v>
      </c>
      <c r="W106" t="str">
        <f t="shared" si="22"/>
        <v>OK</v>
      </c>
      <c r="X106" t="str">
        <f t="shared" si="23"/>
        <v>OK</v>
      </c>
      <c r="Y106" t="str">
        <f t="shared" si="24"/>
        <v>OK</v>
      </c>
      <c r="Z106">
        <v>101</v>
      </c>
      <c r="AA106">
        <v>103</v>
      </c>
      <c r="AB106" t="s">
        <v>2389</v>
      </c>
      <c r="AC106" t="s">
        <v>102</v>
      </c>
      <c r="AD106" t="s">
        <v>468</v>
      </c>
      <c r="AE106" t="s">
        <v>583</v>
      </c>
      <c r="AG106" t="s">
        <v>897</v>
      </c>
      <c r="AH106" t="s">
        <v>917</v>
      </c>
      <c r="AI106" s="25" t="s">
        <v>2406</v>
      </c>
      <c r="AJ106" t="s">
        <v>1400</v>
      </c>
      <c r="AK106" t="s">
        <v>2389</v>
      </c>
      <c r="AL106" t="s">
        <v>2390</v>
      </c>
      <c r="AN106" t="str">
        <f t="shared" si="26"/>
        <v>OK</v>
      </c>
      <c r="AO106" t="str">
        <f t="shared" si="27"/>
        <v>OK</v>
      </c>
      <c r="AP106" t="str">
        <f t="shared" si="28"/>
        <v>OK</v>
      </c>
      <c r="AR106" t="str">
        <f t="shared" si="29"/>
        <v>OK</v>
      </c>
      <c r="AS106" t="str">
        <f t="shared" si="30"/>
        <v>OK</v>
      </c>
      <c r="AT106" t="str">
        <f t="shared" si="31"/>
        <v>NOK</v>
      </c>
      <c r="AU106" t="str">
        <f t="shared" si="32"/>
        <v>OK</v>
      </c>
      <c r="AV106" t="str">
        <f t="shared" si="33"/>
        <v>OK</v>
      </c>
      <c r="AW106" t="str">
        <f t="shared" si="34"/>
        <v>OK</v>
      </c>
      <c r="AY106" s="25"/>
    </row>
    <row r="107" spans="1:51">
      <c r="A107">
        <f>Dbase_velden_versie4_2!A103</f>
        <v>103</v>
      </c>
      <c r="B107" t="str">
        <f>Dbase_velden_versie4_2!B103</f>
        <v>KV_DOOR_500MU</v>
      </c>
      <c r="C107" t="str">
        <f>Dbase_velden_versie4_2!C103</f>
        <v>%</v>
      </c>
      <c r="D107" t="str">
        <f>Dbase_velden_versie4_2!D103</f>
        <v>Gewichtspercentage van het gehele monster dat kleiner is dan 500 mu</v>
      </c>
      <c r="E107" t="str">
        <f>Dbase_velden_versie4_2!E103</f>
        <v>Double</v>
      </c>
      <c r="F107" t="str">
        <f>Dbase_velden_versie4_2!F103</f>
        <v>0%-100%</v>
      </c>
      <c r="G107" t="str">
        <f>Dbase_velden_versie4_2!G103</f>
        <v>KV DOOR 500MU</v>
      </c>
      <c r="H107" t="str">
        <f>Dbase_velden_versie4_2!H103</f>
        <v>[%]</v>
      </c>
      <c r="I107" t="str">
        <f>Dbase_velden_versie4_2!I103</f>
        <v>KV</v>
      </c>
      <c r="J107" t="str">
        <f>Dbase_velden_versie4_2!J103</f>
        <v>Korrelverdeling zeefproef en fractieverdeling</v>
      </c>
      <c r="K107">
        <v>103</v>
      </c>
      <c r="L107" t="str">
        <v>KV_DOOR_500MU</v>
      </c>
      <c r="M107" t="str">
        <v>%</v>
      </c>
      <c r="N107" t="str">
        <v>Gewichtspercentage van het gehele monster dat kleiner is dan 500 mu</v>
      </c>
      <c r="O107" t="str">
        <v>Double</v>
      </c>
      <c r="P107" t="str">
        <v>0%-100%</v>
      </c>
      <c r="Q107" t="str">
        <v>KV DOOR 500MU</v>
      </c>
      <c r="R107" t="str">
        <v>[%]</v>
      </c>
      <c r="S107" t="str">
        <f t="shared" si="25"/>
        <v>OK</v>
      </c>
      <c r="T107" t="str">
        <f t="shared" si="19"/>
        <v>OK</v>
      </c>
      <c r="U107" t="str">
        <f t="shared" si="20"/>
        <v>OK</v>
      </c>
      <c r="V107" t="str">
        <f t="shared" si="21"/>
        <v>OK</v>
      </c>
      <c r="W107" t="str">
        <f t="shared" si="22"/>
        <v>OK</v>
      </c>
      <c r="X107" t="str">
        <f t="shared" si="23"/>
        <v>OK</v>
      </c>
      <c r="Y107" t="str">
        <f t="shared" si="24"/>
        <v>OK</v>
      </c>
      <c r="Z107">
        <v>102</v>
      </c>
      <c r="AA107">
        <v>104</v>
      </c>
      <c r="AB107" t="s">
        <v>2389</v>
      </c>
      <c r="AC107" t="s">
        <v>103</v>
      </c>
      <c r="AD107" t="s">
        <v>468</v>
      </c>
      <c r="AE107" t="s">
        <v>584</v>
      </c>
      <c r="AG107" t="s">
        <v>897</v>
      </c>
      <c r="AH107" t="s">
        <v>917</v>
      </c>
      <c r="AI107" s="25" t="s">
        <v>2407</v>
      </c>
      <c r="AJ107" t="s">
        <v>1400</v>
      </c>
      <c r="AK107" t="s">
        <v>2389</v>
      </c>
      <c r="AL107" t="s">
        <v>2390</v>
      </c>
      <c r="AN107" t="str">
        <f t="shared" si="26"/>
        <v>OK</v>
      </c>
      <c r="AO107" t="str">
        <f t="shared" si="27"/>
        <v>OK</v>
      </c>
      <c r="AP107" t="str">
        <f t="shared" si="28"/>
        <v>OK</v>
      </c>
      <c r="AR107" t="str">
        <f t="shared" si="29"/>
        <v>OK</v>
      </c>
      <c r="AS107" t="str">
        <f t="shared" si="30"/>
        <v>OK</v>
      </c>
      <c r="AT107" t="str">
        <f t="shared" si="31"/>
        <v>NOK</v>
      </c>
      <c r="AU107" t="str">
        <f t="shared" si="32"/>
        <v>OK</v>
      </c>
      <c r="AV107" t="str">
        <f t="shared" si="33"/>
        <v>OK</v>
      </c>
      <c r="AW107" t="str">
        <f t="shared" si="34"/>
        <v>OK</v>
      </c>
      <c r="AY107" s="25"/>
    </row>
    <row r="108" spans="1:51">
      <c r="A108">
        <f>Dbase_velden_versie4_2!A104</f>
        <v>104</v>
      </c>
      <c r="B108" t="str">
        <f>Dbase_velden_versie4_2!B104</f>
        <v>KV_DOOR_250MU</v>
      </c>
      <c r="C108" t="str">
        <f>Dbase_velden_versie4_2!C104</f>
        <v>%</v>
      </c>
      <c r="D108" t="str">
        <f>Dbase_velden_versie4_2!D104</f>
        <v>Gewichtspercentage van het gehele monster dat kleiner is dan 250 mu</v>
      </c>
      <c r="E108" t="str">
        <f>Dbase_velden_versie4_2!E104</f>
        <v>Double</v>
      </c>
      <c r="F108" t="str">
        <f>Dbase_velden_versie4_2!F104</f>
        <v>0%-100%</v>
      </c>
      <c r="G108" t="str">
        <f>Dbase_velden_versie4_2!G104</f>
        <v>KV DOOR 250MU</v>
      </c>
      <c r="H108" t="str">
        <f>Dbase_velden_versie4_2!H104</f>
        <v>[%]</v>
      </c>
      <c r="I108" t="str">
        <f>Dbase_velden_versie4_2!I104</f>
        <v>KV</v>
      </c>
      <c r="J108" t="str">
        <f>Dbase_velden_versie4_2!J104</f>
        <v>Korrelverdeling zeefproef en fractieverdeling</v>
      </c>
      <c r="K108">
        <v>104</v>
      </c>
      <c r="L108" t="str">
        <v>KV_DOOR_250MU</v>
      </c>
      <c r="M108" t="str">
        <v>%</v>
      </c>
      <c r="N108" t="str">
        <v>Gewichtspercentage van het gehele monster dat kleiner is dan 250 mu</v>
      </c>
      <c r="O108" t="str">
        <v>Double</v>
      </c>
      <c r="P108" t="str">
        <v>0%-100%</v>
      </c>
      <c r="Q108" t="str">
        <v>KV DOOR 250MU</v>
      </c>
      <c r="R108" t="str">
        <v>[%]</v>
      </c>
      <c r="S108" t="str">
        <f t="shared" si="25"/>
        <v>OK</v>
      </c>
      <c r="T108" t="str">
        <f t="shared" si="19"/>
        <v>OK</v>
      </c>
      <c r="U108" t="str">
        <f t="shared" si="20"/>
        <v>OK</v>
      </c>
      <c r="V108" t="str">
        <f t="shared" si="21"/>
        <v>OK</v>
      </c>
      <c r="W108" t="str">
        <f t="shared" si="22"/>
        <v>OK</v>
      </c>
      <c r="X108" t="str">
        <f t="shared" si="23"/>
        <v>OK</v>
      </c>
      <c r="Y108" t="str">
        <f t="shared" si="24"/>
        <v>OK</v>
      </c>
      <c r="Z108">
        <v>103</v>
      </c>
      <c r="AA108">
        <v>105</v>
      </c>
      <c r="AB108" t="s">
        <v>2389</v>
      </c>
      <c r="AC108" t="s">
        <v>104</v>
      </c>
      <c r="AD108" t="s">
        <v>468</v>
      </c>
      <c r="AE108" t="s">
        <v>585</v>
      </c>
      <c r="AG108" t="s">
        <v>897</v>
      </c>
      <c r="AH108" t="s">
        <v>917</v>
      </c>
      <c r="AI108" s="25" t="s">
        <v>2408</v>
      </c>
      <c r="AJ108" t="s">
        <v>1400</v>
      </c>
      <c r="AK108" t="s">
        <v>2389</v>
      </c>
      <c r="AL108" t="s">
        <v>2390</v>
      </c>
      <c r="AN108" t="str">
        <f t="shared" si="26"/>
        <v>OK</v>
      </c>
      <c r="AO108" t="str">
        <f t="shared" si="27"/>
        <v>OK</v>
      </c>
      <c r="AP108" t="str">
        <f t="shared" si="28"/>
        <v>OK</v>
      </c>
      <c r="AR108" t="str">
        <f t="shared" si="29"/>
        <v>OK</v>
      </c>
      <c r="AS108" t="str">
        <f t="shared" si="30"/>
        <v>OK</v>
      </c>
      <c r="AT108" t="str">
        <f t="shared" si="31"/>
        <v>NOK</v>
      </c>
      <c r="AU108" t="str">
        <f t="shared" si="32"/>
        <v>OK</v>
      </c>
      <c r="AV108" t="str">
        <f t="shared" si="33"/>
        <v>OK</v>
      </c>
      <c r="AW108" t="str">
        <f t="shared" si="34"/>
        <v>OK</v>
      </c>
      <c r="AY108" s="25"/>
    </row>
    <row r="109" spans="1:51">
      <c r="A109">
        <f>Dbase_velden_versie4_2!A105</f>
        <v>105</v>
      </c>
      <c r="B109" t="str">
        <f>Dbase_velden_versie4_2!B105</f>
        <v>KV_DOOR_180MU</v>
      </c>
      <c r="C109" t="str">
        <f>Dbase_velden_versie4_2!C105</f>
        <v>%</v>
      </c>
      <c r="D109" t="str">
        <f>Dbase_velden_versie4_2!D105</f>
        <v>Gewichtspercentage van het gehele monster dat kleiner is dan 180 mu</v>
      </c>
      <c r="E109" t="str">
        <f>Dbase_velden_versie4_2!E105</f>
        <v>Double</v>
      </c>
      <c r="F109" t="str">
        <f>Dbase_velden_versie4_2!F105</f>
        <v>0%-100%</v>
      </c>
      <c r="G109" t="str">
        <f>Dbase_velden_versie4_2!G105</f>
        <v>KV DOOR 180MU</v>
      </c>
      <c r="H109" t="str">
        <f>Dbase_velden_versie4_2!H105</f>
        <v>[%]</v>
      </c>
      <c r="I109" t="str">
        <f>Dbase_velden_versie4_2!I105</f>
        <v>KV</v>
      </c>
      <c r="J109" t="str">
        <f>Dbase_velden_versie4_2!J105</f>
        <v>Korrelverdeling zeefproef en fractieverdeling</v>
      </c>
      <c r="K109">
        <v>105</v>
      </c>
      <c r="L109" t="str">
        <v>KV_DOOR_180MU</v>
      </c>
      <c r="M109" t="str">
        <v>%</v>
      </c>
      <c r="N109" t="str">
        <v>Gewichtspercentage van het gehele monster dat kleiner is dan 180 mu</v>
      </c>
      <c r="O109" t="str">
        <v>Double</v>
      </c>
      <c r="P109" t="str">
        <v>0%-100%</v>
      </c>
      <c r="Q109" t="str">
        <v>KV DOOR 180MU</v>
      </c>
      <c r="R109" t="str">
        <v>[%]</v>
      </c>
      <c r="S109" t="str">
        <f t="shared" si="25"/>
        <v>OK</v>
      </c>
      <c r="T109" t="str">
        <f t="shared" si="19"/>
        <v>OK</v>
      </c>
      <c r="U109" t="str">
        <f t="shared" si="20"/>
        <v>OK</v>
      </c>
      <c r="V109" t="str">
        <f t="shared" si="21"/>
        <v>OK</v>
      </c>
      <c r="W109" t="str">
        <f t="shared" si="22"/>
        <v>OK</v>
      </c>
      <c r="X109" t="str">
        <f t="shared" si="23"/>
        <v>OK</v>
      </c>
      <c r="Y109" t="str">
        <f t="shared" si="24"/>
        <v>OK</v>
      </c>
      <c r="Z109">
        <v>104</v>
      </c>
      <c r="AA109">
        <v>106</v>
      </c>
      <c r="AB109" t="s">
        <v>2389</v>
      </c>
      <c r="AC109" t="s">
        <v>105</v>
      </c>
      <c r="AD109" t="s">
        <v>468</v>
      </c>
      <c r="AE109" t="s">
        <v>586</v>
      </c>
      <c r="AG109" t="s">
        <v>897</v>
      </c>
      <c r="AH109" t="s">
        <v>917</v>
      </c>
      <c r="AI109" s="25" t="s">
        <v>2409</v>
      </c>
      <c r="AJ109" t="s">
        <v>1400</v>
      </c>
      <c r="AK109" t="s">
        <v>2389</v>
      </c>
      <c r="AL109" t="s">
        <v>2390</v>
      </c>
      <c r="AN109" t="str">
        <f t="shared" si="26"/>
        <v>OK</v>
      </c>
      <c r="AO109" t="str">
        <f t="shared" si="27"/>
        <v>OK</v>
      </c>
      <c r="AP109" t="str">
        <f t="shared" si="28"/>
        <v>OK</v>
      </c>
      <c r="AR109" t="str">
        <f t="shared" si="29"/>
        <v>OK</v>
      </c>
      <c r="AS109" t="str">
        <f t="shared" si="30"/>
        <v>OK</v>
      </c>
      <c r="AT109" t="str">
        <f t="shared" si="31"/>
        <v>NOK</v>
      </c>
      <c r="AU109" t="str">
        <f t="shared" si="32"/>
        <v>OK</v>
      </c>
      <c r="AV109" t="str">
        <f t="shared" si="33"/>
        <v>OK</v>
      </c>
      <c r="AW109" t="str">
        <f t="shared" si="34"/>
        <v>OK</v>
      </c>
      <c r="AY109" s="25"/>
    </row>
    <row r="110" spans="1:51">
      <c r="A110">
        <f>Dbase_velden_versie4_2!A106</f>
        <v>106</v>
      </c>
      <c r="B110" t="str">
        <f>Dbase_velden_versie4_2!B106</f>
        <v>KV_DOOR_125MU</v>
      </c>
      <c r="C110" t="str">
        <f>Dbase_velden_versie4_2!C106</f>
        <v>%</v>
      </c>
      <c r="D110" t="str">
        <f>Dbase_velden_versie4_2!D106</f>
        <v>Gewichtspercentage van het gehele monster dat kleiner is dan 125 mu</v>
      </c>
      <c r="E110" t="str">
        <f>Dbase_velden_versie4_2!E106</f>
        <v>Double</v>
      </c>
      <c r="F110" t="str">
        <f>Dbase_velden_versie4_2!F106</f>
        <v>0%-100%</v>
      </c>
      <c r="G110" t="str">
        <f>Dbase_velden_versie4_2!G106</f>
        <v>KV DOOR 125MU</v>
      </c>
      <c r="H110" t="str">
        <f>Dbase_velden_versie4_2!H106</f>
        <v>[%]</v>
      </c>
      <c r="I110" t="str">
        <f>Dbase_velden_versie4_2!I106</f>
        <v>KV</v>
      </c>
      <c r="J110" t="str">
        <f>Dbase_velden_versie4_2!J106</f>
        <v>Korrelverdeling zeefproef en fractieverdeling</v>
      </c>
      <c r="K110">
        <v>106</v>
      </c>
      <c r="L110" t="str">
        <v>KV_DOOR_125MU</v>
      </c>
      <c r="M110" t="str">
        <v>%</v>
      </c>
      <c r="N110" t="str">
        <v>Gewichtspercentage van het gehele monster dat kleiner is dan 125 mu</v>
      </c>
      <c r="O110" t="str">
        <v>Double</v>
      </c>
      <c r="P110" t="str">
        <v>0%-100%</v>
      </c>
      <c r="Q110" t="str">
        <v>KV DOOR 125MU</v>
      </c>
      <c r="R110" t="str">
        <v>[%]</v>
      </c>
      <c r="S110" t="str">
        <f t="shared" si="25"/>
        <v>OK</v>
      </c>
      <c r="T110" t="str">
        <f t="shared" si="19"/>
        <v>OK</v>
      </c>
      <c r="U110" t="str">
        <f t="shared" si="20"/>
        <v>OK</v>
      </c>
      <c r="V110" t="str">
        <f t="shared" si="21"/>
        <v>OK</v>
      </c>
      <c r="W110" t="str">
        <f t="shared" si="22"/>
        <v>OK</v>
      </c>
      <c r="X110" t="str">
        <f t="shared" si="23"/>
        <v>OK</v>
      </c>
      <c r="Y110" t="str">
        <f t="shared" si="24"/>
        <v>OK</v>
      </c>
      <c r="Z110">
        <v>105</v>
      </c>
      <c r="AA110">
        <v>107</v>
      </c>
      <c r="AB110" t="s">
        <v>2389</v>
      </c>
      <c r="AC110" t="s">
        <v>106</v>
      </c>
      <c r="AD110" t="s">
        <v>468</v>
      </c>
      <c r="AE110" t="s">
        <v>587</v>
      </c>
      <c r="AG110" t="s">
        <v>897</v>
      </c>
      <c r="AH110" t="s">
        <v>917</v>
      </c>
      <c r="AI110" s="25" t="s">
        <v>2410</v>
      </c>
      <c r="AJ110" t="s">
        <v>1400</v>
      </c>
      <c r="AK110" t="s">
        <v>2389</v>
      </c>
      <c r="AL110" t="s">
        <v>2390</v>
      </c>
      <c r="AN110" t="str">
        <f t="shared" si="26"/>
        <v>OK</v>
      </c>
      <c r="AO110" t="str">
        <f t="shared" si="27"/>
        <v>OK</v>
      </c>
      <c r="AP110" t="str">
        <f t="shared" si="28"/>
        <v>OK</v>
      </c>
      <c r="AR110" t="str">
        <f t="shared" si="29"/>
        <v>OK</v>
      </c>
      <c r="AS110" t="str">
        <f t="shared" si="30"/>
        <v>OK</v>
      </c>
      <c r="AT110" t="str">
        <f t="shared" si="31"/>
        <v>NOK</v>
      </c>
      <c r="AU110" t="str">
        <f t="shared" si="32"/>
        <v>OK</v>
      </c>
      <c r="AV110" t="str">
        <f t="shared" si="33"/>
        <v>OK</v>
      </c>
      <c r="AW110" t="str">
        <f t="shared" si="34"/>
        <v>OK</v>
      </c>
      <c r="AY110" s="25"/>
    </row>
    <row r="111" spans="1:51">
      <c r="A111">
        <f>Dbase_velden_versie4_2!A107</f>
        <v>107</v>
      </c>
      <c r="B111" t="str">
        <f>Dbase_velden_versie4_2!B107</f>
        <v>KV_DOOR_63MU</v>
      </c>
      <c r="C111" t="str">
        <f>Dbase_velden_versie4_2!C107</f>
        <v>%</v>
      </c>
      <c r="D111" t="str">
        <f>Dbase_velden_versie4_2!D107</f>
        <v>Gewichtspercentage van het gehele monster dat kleiner is dan 63 mu</v>
      </c>
      <c r="E111" t="str">
        <f>Dbase_velden_versie4_2!E107</f>
        <v>Double</v>
      </c>
      <c r="F111" t="str">
        <f>Dbase_velden_versie4_2!F107</f>
        <v>0%-100%</v>
      </c>
      <c r="G111" t="str">
        <f>Dbase_velden_versie4_2!G107</f>
        <v>KV DOOR 63MU</v>
      </c>
      <c r="H111" t="str">
        <f>Dbase_velden_versie4_2!H107</f>
        <v>[%]</v>
      </c>
      <c r="I111" t="str">
        <f>Dbase_velden_versie4_2!I107</f>
        <v>KV</v>
      </c>
      <c r="J111" t="str">
        <f>Dbase_velden_versie4_2!J107</f>
        <v>Korrelverdeling zeefproef en fractieverdeling</v>
      </c>
      <c r="K111">
        <v>107</v>
      </c>
      <c r="L111" t="str">
        <v>KV_DOOR_63MU</v>
      </c>
      <c r="M111" t="str">
        <v>%</v>
      </c>
      <c r="N111" t="str">
        <v>Gewichtspercentage van het gehele monster dat kleiner is dan 63 mu</v>
      </c>
      <c r="O111" t="str">
        <v>Double</v>
      </c>
      <c r="P111" t="str">
        <v>0%-100%</v>
      </c>
      <c r="Q111" t="str">
        <v>KV DOOR 63MU</v>
      </c>
      <c r="R111" t="str">
        <v>[%]</v>
      </c>
      <c r="S111" t="str">
        <f t="shared" si="25"/>
        <v>OK</v>
      </c>
      <c r="T111" t="str">
        <f t="shared" si="19"/>
        <v>OK</v>
      </c>
      <c r="U111" t="str">
        <f t="shared" si="20"/>
        <v>OK</v>
      </c>
      <c r="V111" t="str">
        <f t="shared" si="21"/>
        <v>OK</v>
      </c>
      <c r="W111" t="str">
        <f t="shared" si="22"/>
        <v>OK</v>
      </c>
      <c r="X111" t="str">
        <f t="shared" si="23"/>
        <v>OK</v>
      </c>
      <c r="Y111" t="str">
        <f t="shared" si="24"/>
        <v>OK</v>
      </c>
      <c r="Z111">
        <v>106</v>
      </c>
      <c r="AA111">
        <v>108</v>
      </c>
      <c r="AB111" t="s">
        <v>2389</v>
      </c>
      <c r="AC111" t="s">
        <v>107</v>
      </c>
      <c r="AD111" t="s">
        <v>468</v>
      </c>
      <c r="AE111" t="s">
        <v>588</v>
      </c>
      <c r="AG111" t="s">
        <v>897</v>
      </c>
      <c r="AH111" t="s">
        <v>917</v>
      </c>
      <c r="AI111" t="s">
        <v>2411</v>
      </c>
      <c r="AJ111" t="s">
        <v>1400</v>
      </c>
      <c r="AK111" t="s">
        <v>2389</v>
      </c>
      <c r="AL111" t="s">
        <v>2390</v>
      </c>
      <c r="AN111" t="str">
        <f t="shared" si="26"/>
        <v>OK</v>
      </c>
      <c r="AO111" t="str">
        <f t="shared" si="27"/>
        <v>OK</v>
      </c>
      <c r="AP111" t="str">
        <f t="shared" si="28"/>
        <v>OK</v>
      </c>
      <c r="AR111" t="str">
        <f t="shared" si="29"/>
        <v>OK</v>
      </c>
      <c r="AS111" t="str">
        <f t="shared" si="30"/>
        <v>OK</v>
      </c>
      <c r="AT111" t="str">
        <f t="shared" si="31"/>
        <v>NOK</v>
      </c>
      <c r="AU111" t="str">
        <f t="shared" si="32"/>
        <v>OK</v>
      </c>
      <c r="AV111" t="str">
        <f t="shared" si="33"/>
        <v>OK</v>
      </c>
      <c r="AW111" t="str">
        <f t="shared" si="34"/>
        <v>OK</v>
      </c>
      <c r="AY111" s="25"/>
    </row>
    <row r="112" spans="1:51">
      <c r="A112">
        <f>Dbase_velden_versie4_2!A108</f>
        <v>108</v>
      </c>
      <c r="B112" t="str">
        <f>Dbase_velden_versie4_2!B108</f>
        <v>KV_DOOR_32MU</v>
      </c>
      <c r="C112" t="str">
        <f>Dbase_velden_versie4_2!C108</f>
        <v>%</v>
      </c>
      <c r="D112" t="str">
        <f>Dbase_velden_versie4_2!D108</f>
        <v>Gewichtspercentage van het gehele monster dat kleiner is dan 32 mu</v>
      </c>
      <c r="E112" t="str">
        <f>Dbase_velden_versie4_2!E108</f>
        <v>Double</v>
      </c>
      <c r="F112" t="str">
        <f>Dbase_velden_versie4_2!F108</f>
        <v>0%-100%</v>
      </c>
      <c r="G112" t="str">
        <f>Dbase_velden_versie4_2!G108</f>
        <v>KV DOOR 32MU</v>
      </c>
      <c r="H112" t="str">
        <f>Dbase_velden_versie4_2!H108</f>
        <v>[%]</v>
      </c>
      <c r="I112" t="str">
        <f>Dbase_velden_versie4_2!I108</f>
        <v>KV</v>
      </c>
      <c r="J112" t="str">
        <f>Dbase_velden_versie4_2!J108</f>
        <v>Korrelverdeling zeefproef en fractieverdeling</v>
      </c>
      <c r="K112">
        <v>108</v>
      </c>
      <c r="L112" t="str">
        <v>KV_DOOR_32MU</v>
      </c>
      <c r="M112" t="str">
        <v>%</v>
      </c>
      <c r="N112" t="str">
        <v>Gewichtspercentage van het gehele monster dat kleiner is dan 32 mu</v>
      </c>
      <c r="O112" t="str">
        <v>Double</v>
      </c>
      <c r="P112" t="str">
        <v>0%-100%</v>
      </c>
      <c r="Q112" t="str">
        <v>KV DOOR 32MU</v>
      </c>
      <c r="R112" t="str">
        <v>[%]</v>
      </c>
      <c r="S112" t="str">
        <f t="shared" si="25"/>
        <v>OK</v>
      </c>
      <c r="T112" t="str">
        <f t="shared" si="19"/>
        <v>OK</v>
      </c>
      <c r="U112" t="str">
        <f t="shared" si="20"/>
        <v>OK</v>
      </c>
      <c r="V112" t="str">
        <f t="shared" si="21"/>
        <v>OK</v>
      </c>
      <c r="W112" t="str">
        <f t="shared" si="22"/>
        <v>OK</v>
      </c>
      <c r="X112" t="str">
        <f t="shared" si="23"/>
        <v>OK</v>
      </c>
      <c r="Y112" t="str">
        <f t="shared" si="24"/>
        <v>OK</v>
      </c>
      <c r="Z112">
        <v>107</v>
      </c>
      <c r="AA112">
        <v>109</v>
      </c>
      <c r="AB112" t="s">
        <v>2389</v>
      </c>
      <c r="AC112" t="s">
        <v>108</v>
      </c>
      <c r="AD112" t="s">
        <v>468</v>
      </c>
      <c r="AE112" t="s">
        <v>589</v>
      </c>
      <c r="AG112" t="s">
        <v>897</v>
      </c>
      <c r="AH112" t="s">
        <v>917</v>
      </c>
      <c r="AI112" t="s">
        <v>2412</v>
      </c>
      <c r="AJ112" t="s">
        <v>1400</v>
      </c>
      <c r="AK112" t="s">
        <v>2389</v>
      </c>
      <c r="AL112" t="s">
        <v>2390</v>
      </c>
      <c r="AN112" t="str">
        <f t="shared" si="26"/>
        <v>OK</v>
      </c>
      <c r="AO112" t="str">
        <f t="shared" si="27"/>
        <v>OK</v>
      </c>
      <c r="AP112" t="str">
        <f t="shared" si="28"/>
        <v>OK</v>
      </c>
      <c r="AR112" t="str">
        <f t="shared" si="29"/>
        <v>OK</v>
      </c>
      <c r="AS112" t="str">
        <f t="shared" si="30"/>
        <v>OK</v>
      </c>
      <c r="AT112" t="str">
        <f t="shared" si="31"/>
        <v>NOK</v>
      </c>
      <c r="AU112" t="str">
        <f t="shared" si="32"/>
        <v>OK</v>
      </c>
      <c r="AV112" t="str">
        <f t="shared" si="33"/>
        <v>OK</v>
      </c>
      <c r="AW112" t="str">
        <f t="shared" si="34"/>
        <v>OK</v>
      </c>
      <c r="AY112" s="25"/>
    </row>
    <row r="113" spans="1:51">
      <c r="A113">
        <f>Dbase_velden_versie4_2!A109</f>
        <v>109</v>
      </c>
      <c r="B113" t="str">
        <f>Dbase_velden_versie4_2!B109</f>
        <v>KV_DOOR_20MU</v>
      </c>
      <c r="C113" t="str">
        <f>Dbase_velden_versie4_2!C109</f>
        <v>%</v>
      </c>
      <c r="D113" t="str">
        <f>Dbase_velden_versie4_2!D109</f>
        <v>Gewichtspercentage van het gehele monster dat kleiner is dan 20 mu</v>
      </c>
      <c r="E113" t="str">
        <f>Dbase_velden_versie4_2!E109</f>
        <v>Double</v>
      </c>
      <c r="F113" t="str">
        <f>Dbase_velden_versie4_2!F109</f>
        <v>0%-100%</v>
      </c>
      <c r="G113" t="str">
        <f>Dbase_velden_versie4_2!G109</f>
        <v>KV DOOR 20MU</v>
      </c>
      <c r="H113" t="str">
        <f>Dbase_velden_versie4_2!H109</f>
        <v>[%]</v>
      </c>
      <c r="I113" t="str">
        <f>Dbase_velden_versie4_2!I109</f>
        <v>KV</v>
      </c>
      <c r="J113" t="str">
        <f>Dbase_velden_versie4_2!J109</f>
        <v>Korrelverdeling zeefproef en fractieverdeling</v>
      </c>
      <c r="K113">
        <v>109</v>
      </c>
      <c r="L113" t="str">
        <v>KV_DOOR_20MU</v>
      </c>
      <c r="M113" t="str">
        <v>%</v>
      </c>
      <c r="N113" t="str">
        <v>Gewichtspercentage van het gehele monster dat kleiner is dan 20 mu</v>
      </c>
      <c r="O113" t="str">
        <v>Double</v>
      </c>
      <c r="P113" t="str">
        <v>0%-100%</v>
      </c>
      <c r="Q113" t="str">
        <v>KV DOOR 20MU</v>
      </c>
      <c r="R113" t="str">
        <v>[%]</v>
      </c>
      <c r="S113" t="str">
        <f t="shared" si="25"/>
        <v>OK</v>
      </c>
      <c r="T113" t="str">
        <f t="shared" si="19"/>
        <v>OK</v>
      </c>
      <c r="U113" t="str">
        <f t="shared" si="20"/>
        <v>OK</v>
      </c>
      <c r="V113" t="str">
        <f t="shared" si="21"/>
        <v>OK</v>
      </c>
      <c r="W113" t="str">
        <f t="shared" si="22"/>
        <v>OK</v>
      </c>
      <c r="X113" t="str">
        <f t="shared" si="23"/>
        <v>OK</v>
      </c>
      <c r="Y113" t="str">
        <f t="shared" si="24"/>
        <v>OK</v>
      </c>
      <c r="Z113">
        <v>108</v>
      </c>
      <c r="AA113">
        <v>110</v>
      </c>
      <c r="AB113" t="s">
        <v>2389</v>
      </c>
      <c r="AC113" t="s">
        <v>109</v>
      </c>
      <c r="AD113" t="s">
        <v>468</v>
      </c>
      <c r="AE113" t="s">
        <v>590</v>
      </c>
      <c r="AG113" t="s">
        <v>897</v>
      </c>
      <c r="AH113" t="s">
        <v>917</v>
      </c>
      <c r="AI113" t="s">
        <v>2413</v>
      </c>
      <c r="AJ113" t="s">
        <v>1400</v>
      </c>
      <c r="AK113" t="s">
        <v>2389</v>
      </c>
      <c r="AL113" t="s">
        <v>2390</v>
      </c>
      <c r="AN113" t="str">
        <f t="shared" si="26"/>
        <v>OK</v>
      </c>
      <c r="AO113" t="str">
        <f t="shared" si="27"/>
        <v>OK</v>
      </c>
      <c r="AP113" t="str">
        <f t="shared" si="28"/>
        <v>OK</v>
      </c>
      <c r="AR113" t="str">
        <f t="shared" si="29"/>
        <v>OK</v>
      </c>
      <c r="AS113" t="str">
        <f t="shared" si="30"/>
        <v>OK</v>
      </c>
      <c r="AT113" t="str">
        <f t="shared" si="31"/>
        <v>NOK</v>
      </c>
      <c r="AU113" t="str">
        <f t="shared" si="32"/>
        <v>OK</v>
      </c>
      <c r="AV113" t="str">
        <f t="shared" si="33"/>
        <v>OK</v>
      </c>
      <c r="AW113" t="str">
        <f t="shared" si="34"/>
        <v>OK</v>
      </c>
      <c r="AY113" s="25"/>
    </row>
    <row r="114" spans="1:51">
      <c r="A114">
        <f>Dbase_velden_versie4_2!A110</f>
        <v>110</v>
      </c>
      <c r="B114" t="str">
        <f>Dbase_velden_versie4_2!B110</f>
        <v>KV_DOOR_16MU</v>
      </c>
      <c r="C114" t="str">
        <f>Dbase_velden_versie4_2!C110</f>
        <v>%</v>
      </c>
      <c r="D114" t="str">
        <f>Dbase_velden_versie4_2!D110</f>
        <v>Gewichtspercentage van het gehele monster dat kleiner is dan 16 mu</v>
      </c>
      <c r="E114" t="str">
        <f>Dbase_velden_versie4_2!E110</f>
        <v>Double</v>
      </c>
      <c r="F114" t="str">
        <f>Dbase_velden_versie4_2!F110</f>
        <v>0%-100%</v>
      </c>
      <c r="G114" t="str">
        <f>Dbase_velden_versie4_2!G110</f>
        <v>KV DOOR 16MU</v>
      </c>
      <c r="H114" t="str">
        <f>Dbase_velden_versie4_2!H110</f>
        <v>[%]</v>
      </c>
      <c r="I114" t="str">
        <f>Dbase_velden_versie4_2!I110</f>
        <v>KV</v>
      </c>
      <c r="J114" t="str">
        <f>Dbase_velden_versie4_2!J110</f>
        <v>Korrelverdeling zeefproef en fractieverdeling</v>
      </c>
      <c r="K114">
        <v>110</v>
      </c>
      <c r="L114" t="str">
        <v>KV_DOOR_16MU</v>
      </c>
      <c r="M114" t="str">
        <v>%</v>
      </c>
      <c r="N114" t="str">
        <v>Gewichtspercentage van het gehele monster dat kleiner is dan 16 mu</v>
      </c>
      <c r="O114" t="str">
        <v>Double</v>
      </c>
      <c r="P114" t="str">
        <v>0%-100%</v>
      </c>
      <c r="Q114" t="str">
        <v>KV DOOR 16MU</v>
      </c>
      <c r="R114" t="str">
        <v>[%]</v>
      </c>
      <c r="S114" t="str">
        <f t="shared" si="25"/>
        <v>OK</v>
      </c>
      <c r="T114" t="str">
        <f t="shared" si="19"/>
        <v>OK</v>
      </c>
      <c r="U114" t="str">
        <f t="shared" si="20"/>
        <v>OK</v>
      </c>
      <c r="V114" t="str">
        <f t="shared" si="21"/>
        <v>OK</v>
      </c>
      <c r="W114" t="str">
        <f t="shared" si="22"/>
        <v>OK</v>
      </c>
      <c r="X114" t="str">
        <f t="shared" si="23"/>
        <v>OK</v>
      </c>
      <c r="Y114" t="str">
        <f t="shared" si="24"/>
        <v>OK</v>
      </c>
      <c r="Z114">
        <v>109</v>
      </c>
      <c r="AA114">
        <v>111</v>
      </c>
      <c r="AB114" t="s">
        <v>2389</v>
      </c>
      <c r="AC114" t="s">
        <v>110</v>
      </c>
      <c r="AD114" t="s">
        <v>468</v>
      </c>
      <c r="AE114" t="s">
        <v>591</v>
      </c>
      <c r="AG114" t="s">
        <v>897</v>
      </c>
      <c r="AH114" t="s">
        <v>917</v>
      </c>
      <c r="AI114" t="s">
        <v>2414</v>
      </c>
      <c r="AJ114" t="s">
        <v>1400</v>
      </c>
      <c r="AK114" t="s">
        <v>2389</v>
      </c>
      <c r="AL114" t="s">
        <v>2390</v>
      </c>
      <c r="AN114" t="str">
        <f t="shared" si="26"/>
        <v>OK</v>
      </c>
      <c r="AO114" t="str">
        <f t="shared" si="27"/>
        <v>OK</v>
      </c>
      <c r="AP114" t="str">
        <f t="shared" si="28"/>
        <v>OK</v>
      </c>
      <c r="AR114" t="str">
        <f t="shared" si="29"/>
        <v>OK</v>
      </c>
      <c r="AS114" t="str">
        <f t="shared" si="30"/>
        <v>OK</v>
      </c>
      <c r="AT114" t="str">
        <f t="shared" si="31"/>
        <v>NOK</v>
      </c>
      <c r="AU114" t="str">
        <f t="shared" si="32"/>
        <v>OK</v>
      </c>
      <c r="AV114" t="str">
        <f t="shared" si="33"/>
        <v>OK</v>
      </c>
      <c r="AW114" t="str">
        <f t="shared" si="34"/>
        <v>OK</v>
      </c>
      <c r="AY114" s="25"/>
    </row>
    <row r="115" spans="1:51">
      <c r="A115">
        <f>Dbase_velden_versie4_2!A111</f>
        <v>111</v>
      </c>
      <c r="B115" t="str">
        <f>Dbase_velden_versie4_2!B111</f>
        <v>KV_DOOR_2MU</v>
      </c>
      <c r="C115" t="str">
        <f>Dbase_velden_versie4_2!C111</f>
        <v>%</v>
      </c>
      <c r="D115" t="str">
        <f>Dbase_velden_versie4_2!D111</f>
        <v>Gewichtspercentage van het gehele monster dat kleiner is dan 2 mu</v>
      </c>
      <c r="E115" t="str">
        <f>Dbase_velden_versie4_2!E111</f>
        <v>Double</v>
      </c>
      <c r="F115" t="str">
        <f>Dbase_velden_versie4_2!F111</f>
        <v>0%-100%</v>
      </c>
      <c r="G115" t="str">
        <f>Dbase_velden_versie4_2!G111</f>
        <v>KV DOOR 2MU</v>
      </c>
      <c r="H115" t="str">
        <f>Dbase_velden_versie4_2!H111</f>
        <v>[%]</v>
      </c>
      <c r="I115" t="str">
        <f>Dbase_velden_versie4_2!I111</f>
        <v>KV</v>
      </c>
      <c r="J115" t="str">
        <f>Dbase_velden_versie4_2!J111</f>
        <v>Korrelverdeling zeefproef en fractieverdeling</v>
      </c>
      <c r="K115">
        <v>111</v>
      </c>
      <c r="L115" t="str">
        <v>KV_DOOR_2MU</v>
      </c>
      <c r="M115" t="str">
        <v>%</v>
      </c>
      <c r="N115" t="str">
        <v>Gewichtspercentage van het gehele monster dat kleiner is dan 2 mu</v>
      </c>
      <c r="O115" t="str">
        <v>Double</v>
      </c>
      <c r="P115" t="str">
        <v>0%-100%</v>
      </c>
      <c r="Q115" t="str">
        <v>KV DOOR 2MU</v>
      </c>
      <c r="R115" t="str">
        <v>[%]</v>
      </c>
      <c r="S115" t="str">
        <f t="shared" si="25"/>
        <v>OK</v>
      </c>
      <c r="T115" t="str">
        <f t="shared" si="19"/>
        <v>OK</v>
      </c>
      <c r="U115" t="str">
        <f t="shared" si="20"/>
        <v>OK</v>
      </c>
      <c r="V115" t="str">
        <f t="shared" si="21"/>
        <v>OK</v>
      </c>
      <c r="W115" t="str">
        <f t="shared" si="22"/>
        <v>OK</v>
      </c>
      <c r="X115" t="str">
        <f t="shared" si="23"/>
        <v>OK</v>
      </c>
      <c r="Y115" t="str">
        <f t="shared" si="24"/>
        <v>OK</v>
      </c>
      <c r="Z115">
        <v>110</v>
      </c>
      <c r="AA115">
        <v>112</v>
      </c>
      <c r="AB115" t="s">
        <v>2389</v>
      </c>
      <c r="AC115" t="s">
        <v>111</v>
      </c>
      <c r="AD115" t="s">
        <v>468</v>
      </c>
      <c r="AE115" t="s">
        <v>592</v>
      </c>
      <c r="AG115" t="s">
        <v>897</v>
      </c>
      <c r="AH115" t="s">
        <v>917</v>
      </c>
      <c r="AI115" t="s">
        <v>2415</v>
      </c>
      <c r="AJ115" t="s">
        <v>1400</v>
      </c>
      <c r="AK115" t="s">
        <v>2389</v>
      </c>
      <c r="AL115" t="s">
        <v>2390</v>
      </c>
      <c r="AN115" t="str">
        <f t="shared" si="26"/>
        <v>OK</v>
      </c>
      <c r="AO115" t="str">
        <f t="shared" si="27"/>
        <v>OK</v>
      </c>
      <c r="AP115" t="str">
        <f t="shared" si="28"/>
        <v>OK</v>
      </c>
      <c r="AR115" t="str">
        <f t="shared" si="29"/>
        <v>OK</v>
      </c>
      <c r="AS115" t="str">
        <f t="shared" si="30"/>
        <v>OK</v>
      </c>
      <c r="AT115" t="str">
        <f t="shared" si="31"/>
        <v>NOK</v>
      </c>
      <c r="AU115" t="str">
        <f t="shared" si="32"/>
        <v>OK</v>
      </c>
      <c r="AV115" t="str">
        <f t="shared" si="33"/>
        <v>OK</v>
      </c>
      <c r="AW115" t="str">
        <f t="shared" si="34"/>
        <v>OK</v>
      </c>
      <c r="AY115" s="25"/>
    </row>
    <row r="116" spans="1:51">
      <c r="A116">
        <f>Dbase_velden_versie4_2!A112</f>
        <v>112</v>
      </c>
      <c r="B116" t="str">
        <f>Dbase_velden_versie4_2!B112</f>
        <v>KV_D70</v>
      </c>
      <c r="C116" t="str">
        <f>Dbase_velden_versie4_2!C112</f>
        <v>mu</v>
      </c>
      <c r="D116" t="str">
        <f>Dbase_velden_versie4_2!D112</f>
        <v>De korreldiameter waarbij 70% van de zandfractie kleiner is dan deze korreldiameter</v>
      </c>
      <c r="E116" t="str">
        <f>Dbase_velden_versie4_2!E112</f>
        <v>Double</v>
      </c>
      <c r="F116" t="str">
        <f>Dbase_velden_versie4_2!F112</f>
        <v>63 mu - 2000 mu</v>
      </c>
      <c r="G116" t="str">
        <f>Dbase_velden_versie4_2!G112</f>
        <v>KV D70</v>
      </c>
      <c r="H116" t="str">
        <f>Dbase_velden_versie4_2!H112</f>
        <v>[mu]</v>
      </c>
      <c r="I116" t="str">
        <f>Dbase_velden_versie4_2!I112</f>
        <v>KV</v>
      </c>
      <c r="J116" t="str">
        <f>Dbase_velden_versie4_2!J112</f>
        <v>Korrelverdeling zeefproef en fractieverdeling</v>
      </c>
      <c r="K116">
        <v>112</v>
      </c>
      <c r="L116" t="str">
        <v>KV_D70</v>
      </c>
      <c r="M116" t="str">
        <v>mu</v>
      </c>
      <c r="N116" t="str">
        <v>De korreldiameter waarbij 70% van de zandfractie kleiner is dan deze korreldiameter</v>
      </c>
      <c r="O116" t="str">
        <v>Double</v>
      </c>
      <c r="P116" t="str">
        <v>63 mu - 2000 mu</v>
      </c>
      <c r="Q116" t="str">
        <v>KV D70</v>
      </c>
      <c r="R116" t="str">
        <v>[mu]</v>
      </c>
      <c r="S116" t="str">
        <f t="shared" si="25"/>
        <v>OK</v>
      </c>
      <c r="T116" t="str">
        <f t="shared" si="19"/>
        <v>OK</v>
      </c>
      <c r="U116" t="str">
        <f t="shared" si="20"/>
        <v>OK</v>
      </c>
      <c r="V116" t="str">
        <f t="shared" si="21"/>
        <v>OK</v>
      </c>
      <c r="W116" t="str">
        <f t="shared" si="22"/>
        <v>OK</v>
      </c>
      <c r="X116" t="str">
        <f t="shared" si="23"/>
        <v>OK</v>
      </c>
      <c r="Y116" t="str">
        <f t="shared" si="24"/>
        <v>OK</v>
      </c>
      <c r="Z116">
        <v>111</v>
      </c>
      <c r="AA116">
        <v>113</v>
      </c>
      <c r="AB116" t="s">
        <v>2389</v>
      </c>
      <c r="AC116" t="s">
        <v>112</v>
      </c>
      <c r="AD116" t="s">
        <v>472</v>
      </c>
      <c r="AE116" t="s">
        <v>593</v>
      </c>
      <c r="AG116" t="s">
        <v>897</v>
      </c>
      <c r="AH116" t="s">
        <v>916</v>
      </c>
      <c r="AI116" t="s">
        <v>2416</v>
      </c>
      <c r="AJ116" t="s">
        <v>1404</v>
      </c>
      <c r="AK116" t="s">
        <v>2389</v>
      </c>
      <c r="AL116" t="s">
        <v>2390</v>
      </c>
      <c r="AN116" t="str">
        <f t="shared" si="26"/>
        <v>OK</v>
      </c>
      <c r="AO116" t="str">
        <f t="shared" si="27"/>
        <v>OK</v>
      </c>
      <c r="AP116" t="str">
        <f t="shared" si="28"/>
        <v>OK</v>
      </c>
      <c r="AR116" t="str">
        <f t="shared" si="29"/>
        <v>OK</v>
      </c>
      <c r="AS116" t="str">
        <f t="shared" si="30"/>
        <v>OK</v>
      </c>
      <c r="AT116" t="str">
        <f t="shared" si="31"/>
        <v>NOK</v>
      </c>
      <c r="AU116" t="str">
        <f t="shared" si="32"/>
        <v>OK</v>
      </c>
      <c r="AV116" t="str">
        <f t="shared" si="33"/>
        <v>OK</v>
      </c>
      <c r="AW116" t="str">
        <f t="shared" si="34"/>
        <v>OK</v>
      </c>
    </row>
    <row r="117" spans="1:51">
      <c r="A117">
        <f>Dbase_velden_versie4_2!A113</f>
        <v>113</v>
      </c>
      <c r="B117" t="str">
        <f>Dbase_velden_versie4_2!B113</f>
        <v>KV_D60</v>
      </c>
      <c r="C117" t="str">
        <f>Dbase_velden_versie4_2!C113</f>
        <v>mu</v>
      </c>
      <c r="D117" t="str">
        <f>Dbase_velden_versie4_2!D113</f>
        <v>De korreldiameter waarbij 60% van de zandfractie kleiner is dan deze korreldiameter</v>
      </c>
      <c r="E117" t="str">
        <f>Dbase_velden_versie4_2!E113</f>
        <v>Double</v>
      </c>
      <c r="F117" t="str">
        <f>Dbase_velden_versie4_2!F113</f>
        <v>63 mu - 2000 mu</v>
      </c>
      <c r="G117" t="str">
        <f>Dbase_velden_versie4_2!G113</f>
        <v>KV D60</v>
      </c>
      <c r="H117" t="str">
        <f>Dbase_velden_versie4_2!H113</f>
        <v>[mu]</v>
      </c>
      <c r="I117" t="str">
        <f>Dbase_velden_versie4_2!I113</f>
        <v>KV</v>
      </c>
      <c r="J117" t="str">
        <f>Dbase_velden_versie4_2!J113</f>
        <v>Korrelverdeling zeefproef en fractieverdeling</v>
      </c>
      <c r="K117">
        <v>113</v>
      </c>
      <c r="L117" t="str">
        <v>KV_D60</v>
      </c>
      <c r="M117" t="str">
        <v>mu</v>
      </c>
      <c r="N117" t="str">
        <v>De korreldiameter waarbij 60% van de zandfractie kleiner is dan deze korreldiameter</v>
      </c>
      <c r="O117" t="str">
        <v>Double</v>
      </c>
      <c r="P117" t="str">
        <v>63 mu - 2000 mu</v>
      </c>
      <c r="Q117" t="str">
        <v>KV D60</v>
      </c>
      <c r="R117" t="str">
        <v>[mu]</v>
      </c>
      <c r="S117" t="str">
        <f t="shared" si="25"/>
        <v>OK</v>
      </c>
      <c r="T117" t="str">
        <f t="shared" si="19"/>
        <v>OK</v>
      </c>
      <c r="U117" t="str">
        <f t="shared" si="20"/>
        <v>OK</v>
      </c>
      <c r="V117" t="str">
        <f t="shared" si="21"/>
        <v>OK</v>
      </c>
      <c r="W117" t="str">
        <f t="shared" si="22"/>
        <v>OK</v>
      </c>
      <c r="X117" t="str">
        <f t="shared" si="23"/>
        <v>OK</v>
      </c>
      <c r="Y117" t="str">
        <f t="shared" si="24"/>
        <v>OK</v>
      </c>
      <c r="Z117">
        <v>112</v>
      </c>
      <c r="AA117">
        <v>114</v>
      </c>
      <c r="AB117" t="s">
        <v>2389</v>
      </c>
      <c r="AC117" t="s">
        <v>113</v>
      </c>
      <c r="AD117" t="s">
        <v>472</v>
      </c>
      <c r="AE117" t="s">
        <v>594</v>
      </c>
      <c r="AG117" t="s">
        <v>897</v>
      </c>
      <c r="AH117" t="s">
        <v>916</v>
      </c>
      <c r="AI117" t="s">
        <v>2417</v>
      </c>
      <c r="AJ117" t="s">
        <v>1404</v>
      </c>
      <c r="AK117" t="s">
        <v>2389</v>
      </c>
      <c r="AL117" t="s">
        <v>2390</v>
      </c>
      <c r="AN117" t="str">
        <f t="shared" si="26"/>
        <v>OK</v>
      </c>
      <c r="AO117" t="str">
        <f t="shared" si="27"/>
        <v>OK</v>
      </c>
      <c r="AP117" t="str">
        <f t="shared" si="28"/>
        <v>OK</v>
      </c>
      <c r="AR117" t="str">
        <f t="shared" si="29"/>
        <v>OK</v>
      </c>
      <c r="AS117" t="str">
        <f t="shared" si="30"/>
        <v>OK</v>
      </c>
      <c r="AT117" t="str">
        <f t="shared" si="31"/>
        <v>NOK</v>
      </c>
      <c r="AU117" t="str">
        <f t="shared" si="32"/>
        <v>OK</v>
      </c>
      <c r="AV117" t="str">
        <f t="shared" si="33"/>
        <v>OK</v>
      </c>
      <c r="AW117" t="str">
        <f t="shared" si="34"/>
        <v>OK</v>
      </c>
    </row>
    <row r="118" spans="1:51">
      <c r="A118">
        <f>Dbase_velden_versie4_2!A114</f>
        <v>114</v>
      </c>
      <c r="B118" t="str">
        <f>Dbase_velden_versie4_2!B114</f>
        <v>KV_D50</v>
      </c>
      <c r="C118" t="str">
        <f>Dbase_velden_versie4_2!C114</f>
        <v>mu</v>
      </c>
      <c r="D118" t="str">
        <f>Dbase_velden_versie4_2!D114</f>
        <v>De korreldiameter waarbij 50% van de zandfractie kleiner is dan deze korreldiameter (D50 is gelijk aan de Zandmediaan)</v>
      </c>
      <c r="E118" t="str">
        <f>Dbase_velden_versie4_2!E114</f>
        <v>Double</v>
      </c>
      <c r="F118" t="str">
        <f>Dbase_velden_versie4_2!F114</f>
        <v>63 mu - 2000 mu</v>
      </c>
      <c r="G118" t="str">
        <f>Dbase_velden_versie4_2!G114</f>
        <v>KV D50</v>
      </c>
      <c r="H118" t="str">
        <f>Dbase_velden_versie4_2!H114</f>
        <v>[mu]</v>
      </c>
      <c r="I118" t="str">
        <f>Dbase_velden_versie4_2!I114</f>
        <v>KV</v>
      </c>
      <c r="J118" t="str">
        <f>Dbase_velden_versie4_2!J114</f>
        <v>Korrelverdeling zeefproef en fractieverdeling</v>
      </c>
      <c r="K118">
        <v>114</v>
      </c>
      <c r="L118" t="str">
        <v>KV_D50</v>
      </c>
      <c r="M118" t="str">
        <v>mu</v>
      </c>
      <c r="N118" t="str">
        <v>De korreldiameter waarbij 50% van de zandfractie kleiner is dan deze korreldiameter (D50 is gelijk aan de Zandmediaan)</v>
      </c>
      <c r="O118" t="str">
        <v>Double</v>
      </c>
      <c r="P118" t="str">
        <v>63 mu - 2000 mu</v>
      </c>
      <c r="Q118" t="str">
        <v>KV D50</v>
      </c>
      <c r="R118" t="str">
        <v>[mu]</v>
      </c>
      <c r="S118" t="str">
        <f t="shared" si="25"/>
        <v>OK</v>
      </c>
      <c r="T118" t="str">
        <f t="shared" si="19"/>
        <v>OK</v>
      </c>
      <c r="U118" t="str">
        <f t="shared" si="20"/>
        <v>OK</v>
      </c>
      <c r="V118" t="str">
        <f t="shared" si="21"/>
        <v>OK</v>
      </c>
      <c r="W118" t="str">
        <f t="shared" si="22"/>
        <v>OK</v>
      </c>
      <c r="X118" t="str">
        <f t="shared" si="23"/>
        <v>OK</v>
      </c>
      <c r="Y118" t="str">
        <f t="shared" si="24"/>
        <v>OK</v>
      </c>
      <c r="Z118">
        <v>113</v>
      </c>
      <c r="AA118">
        <v>115</v>
      </c>
      <c r="AB118" t="s">
        <v>2389</v>
      </c>
      <c r="AC118" t="s">
        <v>114</v>
      </c>
      <c r="AD118" t="s">
        <v>472</v>
      </c>
      <c r="AE118" t="s">
        <v>595</v>
      </c>
      <c r="AG118" t="s">
        <v>897</v>
      </c>
      <c r="AH118" t="s">
        <v>916</v>
      </c>
      <c r="AI118" t="s">
        <v>2418</v>
      </c>
      <c r="AJ118" t="s">
        <v>1404</v>
      </c>
      <c r="AK118" t="s">
        <v>2389</v>
      </c>
      <c r="AL118" t="s">
        <v>2390</v>
      </c>
      <c r="AN118" t="str">
        <f t="shared" si="26"/>
        <v>OK</v>
      </c>
      <c r="AO118" t="str">
        <f t="shared" si="27"/>
        <v>OK</v>
      </c>
      <c r="AP118" t="str">
        <f t="shared" si="28"/>
        <v>OK</v>
      </c>
      <c r="AR118" t="str">
        <f t="shared" si="29"/>
        <v>OK</v>
      </c>
      <c r="AS118" t="str">
        <f t="shared" si="30"/>
        <v>OK</v>
      </c>
      <c r="AT118" t="str">
        <f t="shared" si="31"/>
        <v>NOK</v>
      </c>
      <c r="AU118" t="str">
        <f t="shared" si="32"/>
        <v>OK</v>
      </c>
      <c r="AV118" t="str">
        <f t="shared" si="33"/>
        <v>OK</v>
      </c>
      <c r="AW118" t="str">
        <f t="shared" si="34"/>
        <v>OK</v>
      </c>
    </row>
    <row r="119" spans="1:51">
      <c r="A119">
        <f>Dbase_velden_versie4_2!A115</f>
        <v>115</v>
      </c>
      <c r="B119" t="str">
        <f>Dbase_velden_versie4_2!B115</f>
        <v>KV_D10</v>
      </c>
      <c r="C119" t="str">
        <f>Dbase_velden_versie4_2!C115</f>
        <v>mu</v>
      </c>
      <c r="D119" t="str">
        <f>Dbase_velden_versie4_2!D115</f>
        <v>De korreldiameter waarbij 10% van de zandfractie kleiner is dan deze korreldiameter</v>
      </c>
      <c r="E119" t="str">
        <f>Dbase_velden_versie4_2!E115</f>
        <v>Double</v>
      </c>
      <c r="F119" t="str">
        <f>Dbase_velden_versie4_2!F115</f>
        <v>63 mu - 2000 mu</v>
      </c>
      <c r="G119" t="str">
        <f>Dbase_velden_versie4_2!G115</f>
        <v>KV D10</v>
      </c>
      <c r="H119" t="str">
        <f>Dbase_velden_versie4_2!H115</f>
        <v>[mu]</v>
      </c>
      <c r="I119" t="str">
        <f>Dbase_velden_versie4_2!I115</f>
        <v>KV</v>
      </c>
      <c r="J119" t="str">
        <f>Dbase_velden_versie4_2!J115</f>
        <v>Korrelverdeling zeefproef en fractieverdeling</v>
      </c>
      <c r="K119">
        <v>115</v>
      </c>
      <c r="L119" t="str">
        <v>KV_D10</v>
      </c>
      <c r="M119" t="str">
        <v>mu</v>
      </c>
      <c r="N119" t="str">
        <v>De korreldiameter waarbij 10% van de zandfractie kleiner is dan deze korreldiameter</v>
      </c>
      <c r="O119" t="str">
        <v>Double</v>
      </c>
      <c r="P119" t="str">
        <v>63 mu - 2000 mu</v>
      </c>
      <c r="Q119" t="str">
        <v>KV D10</v>
      </c>
      <c r="R119" t="str">
        <v>[mu]</v>
      </c>
      <c r="S119" t="str">
        <f t="shared" si="25"/>
        <v>OK</v>
      </c>
      <c r="T119" t="str">
        <f t="shared" si="19"/>
        <v>OK</v>
      </c>
      <c r="U119" t="str">
        <f t="shared" si="20"/>
        <v>OK</v>
      </c>
      <c r="V119" t="str">
        <f t="shared" si="21"/>
        <v>OK</v>
      </c>
      <c r="W119" t="str">
        <f t="shared" si="22"/>
        <v>OK</v>
      </c>
      <c r="X119" t="str">
        <f t="shared" si="23"/>
        <v>OK</v>
      </c>
      <c r="Y119" t="str">
        <f t="shared" si="24"/>
        <v>OK</v>
      </c>
      <c r="Z119">
        <v>114</v>
      </c>
      <c r="AA119">
        <v>116</v>
      </c>
      <c r="AB119" t="s">
        <v>2389</v>
      </c>
      <c r="AC119" t="s">
        <v>115</v>
      </c>
      <c r="AD119" t="s">
        <v>472</v>
      </c>
      <c r="AE119" t="s">
        <v>596</v>
      </c>
      <c r="AG119" t="s">
        <v>897</v>
      </c>
      <c r="AH119" t="s">
        <v>916</v>
      </c>
      <c r="AI119" t="s">
        <v>2419</v>
      </c>
      <c r="AJ119" t="s">
        <v>1404</v>
      </c>
      <c r="AK119" t="s">
        <v>2389</v>
      </c>
      <c r="AL119" t="s">
        <v>2390</v>
      </c>
      <c r="AN119" t="str">
        <f t="shared" si="26"/>
        <v>OK</v>
      </c>
      <c r="AO119" t="str">
        <f t="shared" si="27"/>
        <v>OK</v>
      </c>
      <c r="AP119" t="str">
        <f t="shared" si="28"/>
        <v>OK</v>
      </c>
      <c r="AR119" t="str">
        <f t="shared" si="29"/>
        <v>OK</v>
      </c>
      <c r="AS119" t="str">
        <f t="shared" si="30"/>
        <v>OK</v>
      </c>
      <c r="AT119" t="str">
        <f t="shared" si="31"/>
        <v>NOK</v>
      </c>
      <c r="AU119" t="str">
        <f t="shared" si="32"/>
        <v>OK</v>
      </c>
      <c r="AV119" t="str">
        <f t="shared" si="33"/>
        <v>OK</v>
      </c>
      <c r="AW119" t="str">
        <f t="shared" si="34"/>
        <v>OK</v>
      </c>
    </row>
    <row r="120" spans="1:51">
      <c r="A120">
        <f>Dbase_velden_versie4_2!A116</f>
        <v>116</v>
      </c>
      <c r="B120" t="str">
        <f>Dbase_velden_versie4_2!B116</f>
        <v>KV_CU_ZAND</v>
      </c>
      <c r="C120" t="str">
        <f>Dbase_velden_versie4_2!C116</f>
        <v>-</v>
      </c>
      <c r="D120" t="str">
        <f>Dbase_velden_versie4_2!D116</f>
        <v>De gelijkmatigheidscoefficient Cu van de zandfractie. Bepaald door D60/D10 van het materiaal tussen 63 mu en 2 mm.</v>
      </c>
      <c r="E120" t="str">
        <f>Dbase_velden_versie4_2!E116</f>
        <v>Double</v>
      </c>
      <c r="F120" t="str">
        <f>Dbase_velden_versie4_2!F116</f>
        <v>1 - 30</v>
      </c>
      <c r="G120" t="str">
        <f>Dbase_velden_versie4_2!G116</f>
        <v>KV CU ZAND</v>
      </c>
      <c r="H120" t="str">
        <f>Dbase_velden_versie4_2!H116</f>
        <v>[-]</v>
      </c>
      <c r="I120" t="str">
        <f>Dbase_velden_versie4_2!I116</f>
        <v>KV</v>
      </c>
      <c r="J120" t="str">
        <f>Dbase_velden_versie4_2!J116</f>
        <v>Korrelverdeling zeefproef en fractieverdeling</v>
      </c>
      <c r="K120">
        <v>116</v>
      </c>
      <c r="L120" t="str">
        <v>KV_CU_ZAND</v>
      </c>
      <c r="M120" t="str">
        <v>-</v>
      </c>
      <c r="N120" t="str">
        <v>De gelijkmatigheidscoefficient Cu van de zandfractie. Bepaald door D60/D10 van het materiaal tussen 63 mu en 2 mm.</v>
      </c>
      <c r="O120" t="str">
        <v>Double</v>
      </c>
      <c r="P120" t="str">
        <v>1 - 30</v>
      </c>
      <c r="Q120" t="str">
        <v>KV CU ZAND</v>
      </c>
      <c r="R120" t="str">
        <v>[-]</v>
      </c>
      <c r="S120" t="str">
        <f t="shared" si="25"/>
        <v>OK</v>
      </c>
      <c r="T120" t="str">
        <f t="shared" si="19"/>
        <v>OK</v>
      </c>
      <c r="U120" t="str">
        <f t="shared" si="20"/>
        <v>OK</v>
      </c>
      <c r="V120" t="str">
        <f t="shared" si="21"/>
        <v>OK</v>
      </c>
      <c r="W120" t="str">
        <f t="shared" si="22"/>
        <v>OK</v>
      </c>
      <c r="X120" t="str">
        <f t="shared" si="23"/>
        <v>OK</v>
      </c>
      <c r="Y120" t="str">
        <f t="shared" si="24"/>
        <v>OK</v>
      </c>
      <c r="Z120">
        <v>115</v>
      </c>
      <c r="AA120">
        <v>117</v>
      </c>
      <c r="AB120" t="s">
        <v>2389</v>
      </c>
      <c r="AC120" t="s">
        <v>116</v>
      </c>
      <c r="AD120" t="s">
        <v>463</v>
      </c>
      <c r="AE120" t="s">
        <v>597</v>
      </c>
      <c r="AG120" t="s">
        <v>897</v>
      </c>
      <c r="AH120" t="s">
        <v>918</v>
      </c>
      <c r="AI120" t="s">
        <v>2420</v>
      </c>
      <c r="AJ120" t="s">
        <v>1395</v>
      </c>
      <c r="AK120" t="s">
        <v>2389</v>
      </c>
      <c r="AL120" t="s">
        <v>2390</v>
      </c>
      <c r="AN120" t="str">
        <f t="shared" si="26"/>
        <v>OK</v>
      </c>
      <c r="AO120" t="str">
        <f t="shared" si="27"/>
        <v>OK</v>
      </c>
      <c r="AP120" t="str">
        <f t="shared" si="28"/>
        <v>OK</v>
      </c>
      <c r="AR120" t="str">
        <f t="shared" si="29"/>
        <v>OK</v>
      </c>
      <c r="AS120" t="str">
        <f t="shared" si="30"/>
        <v>OK</v>
      </c>
      <c r="AT120" t="str">
        <f t="shared" si="31"/>
        <v>NOK</v>
      </c>
      <c r="AU120" t="str">
        <f t="shared" si="32"/>
        <v>OK</v>
      </c>
      <c r="AV120" t="str">
        <f t="shared" si="33"/>
        <v>OK</v>
      </c>
      <c r="AW120" t="str">
        <f t="shared" si="34"/>
        <v>OK</v>
      </c>
    </row>
    <row r="121" spans="1:51">
      <c r="A121">
        <f>Dbase_velden_versie4_2!A117</f>
        <v>117</v>
      </c>
      <c r="B121" t="str">
        <f>Dbase_velden_versie4_2!B117</f>
        <v>CPT_FILENAAM_PDF</v>
      </c>
      <c r="C121" t="str">
        <f>Dbase_velden_versie4_2!C117</f>
        <v>-</v>
      </c>
      <c r="D121" t="str">
        <f>Dbase_velden_versie4_2!D117</f>
        <v>Bestandsnaam van het GEF-bestand dat gebruikt is bij de bepaling van de gemiddelde waarden uit de sondering op de diepte van het monsterniveau (#CPT_NIVEAU).</v>
      </c>
      <c r="E121" t="str">
        <f>Dbase_velden_versie4_2!E117</f>
        <v>String</v>
      </c>
      <c r="F121">
        <f>Dbase_velden_versie4_2!F117</f>
        <v>0</v>
      </c>
      <c r="G121" t="str">
        <f>Dbase_velden_versie4_2!G117</f>
        <v>CPT FILENAAM PDF</v>
      </c>
      <c r="H121" t="str">
        <f>Dbase_velden_versie4_2!H117</f>
        <v>[-]</v>
      </c>
      <c r="I121" t="str">
        <f>Dbase_velden_versie4_2!I117</f>
        <v>CPT</v>
      </c>
      <c r="J121" t="str">
        <f>Dbase_velden_versie4_2!J117</f>
        <v>Kenmerken van de sondering</v>
      </c>
      <c r="K121">
        <v>117</v>
      </c>
      <c r="L121" t="str">
        <v>CPT_FILENAAM_PDF</v>
      </c>
      <c r="M121" t="str">
        <v>-</v>
      </c>
      <c r="N121" t="str">
        <v>Bestandsnaam van het GEF-bestand dat gebruikt is bij de bepaling van de gemiddelde waarden uit de sondering op de diepte van het monsterniveau (#CPT_NIVEAU).</v>
      </c>
      <c r="O121" t="str">
        <v>String</v>
      </c>
      <c r="P121">
        <v>0</v>
      </c>
      <c r="Q121" t="str">
        <v>CPT FILENAAM PDF</v>
      </c>
      <c r="R121" t="str">
        <v>[-]</v>
      </c>
      <c r="S121" t="str">
        <f t="shared" si="25"/>
        <v>OK</v>
      </c>
      <c r="T121" t="str">
        <f t="shared" si="19"/>
        <v>OK</v>
      </c>
      <c r="U121" t="str">
        <f t="shared" si="20"/>
        <v>OK</v>
      </c>
      <c r="V121" t="str">
        <f t="shared" si="21"/>
        <v>OK</v>
      </c>
      <c r="W121" t="str">
        <f t="shared" si="22"/>
        <v>OK</v>
      </c>
      <c r="X121" t="str">
        <f t="shared" si="23"/>
        <v>OK</v>
      </c>
      <c r="Y121" t="str">
        <f t="shared" si="24"/>
        <v>OK</v>
      </c>
      <c r="Z121">
        <v>116</v>
      </c>
      <c r="AA121">
        <v>118</v>
      </c>
      <c r="AB121" t="s">
        <v>2421</v>
      </c>
      <c r="AC121" t="s">
        <v>117</v>
      </c>
      <c r="AD121" t="s">
        <v>463</v>
      </c>
      <c r="AE121" t="s">
        <v>598</v>
      </c>
      <c r="AG121" t="s">
        <v>896</v>
      </c>
      <c r="AI121" t="s">
        <v>2328</v>
      </c>
      <c r="AJ121" t="s">
        <v>1395</v>
      </c>
      <c r="AK121" t="s">
        <v>2421</v>
      </c>
      <c r="AL121" t="s">
        <v>2422</v>
      </c>
      <c r="AN121" t="str">
        <f t="shared" si="26"/>
        <v>OK</v>
      </c>
      <c r="AO121" t="str">
        <f t="shared" si="27"/>
        <v>OK</v>
      </c>
      <c r="AP121" t="str">
        <f t="shared" si="28"/>
        <v>OK</v>
      </c>
      <c r="AR121" t="str">
        <f t="shared" si="29"/>
        <v>OK</v>
      </c>
      <c r="AS121" t="str">
        <f t="shared" si="30"/>
        <v>OK</v>
      </c>
      <c r="AT121" t="str">
        <f t="shared" si="31"/>
        <v>NOK</v>
      </c>
      <c r="AU121" t="str">
        <f t="shared" si="32"/>
        <v>OK</v>
      </c>
      <c r="AV121" t="str">
        <f t="shared" si="33"/>
        <v>OK</v>
      </c>
      <c r="AW121" t="str">
        <f t="shared" si="34"/>
        <v>OK</v>
      </c>
    </row>
    <row r="122" spans="1:51">
      <c r="A122">
        <f>Dbase_velden_versie4_2!A118</f>
        <v>118</v>
      </c>
      <c r="B122" t="str">
        <f>Dbase_velden_versie4_2!B118</f>
        <v>CPT_FILENAAM_GEF</v>
      </c>
      <c r="C122" t="str">
        <f>Dbase_velden_versie4_2!C118</f>
        <v>-</v>
      </c>
      <c r="D122" t="str">
        <f>Dbase_velden_versie4_2!D118</f>
        <v>Bestandsnaam van het GEF-bestand dat gebruikt is bij de bepaling van de gemiddelde waarden uit de sondering op de diepte van het monsterniveau (#CPT_NIVEAU).</v>
      </c>
      <c r="E122" t="str">
        <f>Dbase_velden_versie4_2!E118</f>
        <v>String</v>
      </c>
      <c r="F122">
        <f>Dbase_velden_versie4_2!F118</f>
        <v>0</v>
      </c>
      <c r="G122" t="str">
        <f>Dbase_velden_versie4_2!G118</f>
        <v>CPT FILENAAM GEF</v>
      </c>
      <c r="H122" t="str">
        <f>Dbase_velden_versie4_2!H118</f>
        <v>[-]</v>
      </c>
      <c r="I122" t="str">
        <f>Dbase_velden_versie4_2!I118</f>
        <v>CPT</v>
      </c>
      <c r="J122" t="str">
        <f>Dbase_velden_versie4_2!J118</f>
        <v>Kenmerken van de sondering</v>
      </c>
      <c r="K122">
        <v>118</v>
      </c>
      <c r="L122" t="str">
        <v>CPT_FILENAAM_GEF</v>
      </c>
      <c r="M122" t="str">
        <v>-</v>
      </c>
      <c r="N122" t="str">
        <v>Bestandsnaam van het GEF-bestand dat gebruikt is bij de bepaling van de gemiddelde waarden uit de sondering op de diepte van het monsterniveau (#CPT_NIVEAU).</v>
      </c>
      <c r="O122" t="str">
        <v>String</v>
      </c>
      <c r="P122">
        <v>0</v>
      </c>
      <c r="Q122" t="str">
        <v>CPT FILENAAM GEF</v>
      </c>
      <c r="R122" t="str">
        <v>[-]</v>
      </c>
      <c r="S122" t="str">
        <f t="shared" si="25"/>
        <v>OK</v>
      </c>
      <c r="T122" t="str">
        <f t="shared" si="19"/>
        <v>OK</v>
      </c>
      <c r="U122" t="str">
        <f t="shared" si="20"/>
        <v>OK</v>
      </c>
      <c r="V122" t="str">
        <f t="shared" si="21"/>
        <v>OK</v>
      </c>
      <c r="W122" t="str">
        <f t="shared" si="22"/>
        <v>OK</v>
      </c>
      <c r="X122" t="str">
        <f t="shared" si="23"/>
        <v>OK</v>
      </c>
      <c r="Y122" t="str">
        <f t="shared" si="24"/>
        <v>OK</v>
      </c>
      <c r="Z122">
        <v>117</v>
      </c>
      <c r="AA122">
        <v>119</v>
      </c>
      <c r="AB122" t="s">
        <v>2421</v>
      </c>
      <c r="AC122" t="s">
        <v>118</v>
      </c>
      <c r="AD122" t="s">
        <v>463</v>
      </c>
      <c r="AE122" t="s">
        <v>598</v>
      </c>
      <c r="AG122" t="s">
        <v>896</v>
      </c>
      <c r="AI122" t="s">
        <v>2329</v>
      </c>
      <c r="AJ122" t="s">
        <v>1395</v>
      </c>
      <c r="AK122" t="s">
        <v>2421</v>
      </c>
      <c r="AL122" t="s">
        <v>2422</v>
      </c>
      <c r="AN122" t="str">
        <f t="shared" si="26"/>
        <v>OK</v>
      </c>
      <c r="AO122" t="str">
        <f t="shared" si="27"/>
        <v>OK</v>
      </c>
      <c r="AP122" t="str">
        <f t="shared" si="28"/>
        <v>OK</v>
      </c>
      <c r="AR122" t="str">
        <f t="shared" si="29"/>
        <v>OK</v>
      </c>
      <c r="AS122" t="str">
        <f t="shared" si="30"/>
        <v>OK</v>
      </c>
      <c r="AT122" t="str">
        <f t="shared" si="31"/>
        <v>NOK</v>
      </c>
      <c r="AU122" t="str">
        <f t="shared" si="32"/>
        <v>OK</v>
      </c>
      <c r="AV122" t="str">
        <f t="shared" si="33"/>
        <v>OK</v>
      </c>
      <c r="AW122" t="str">
        <f t="shared" si="34"/>
        <v>OK</v>
      </c>
    </row>
    <row r="123" spans="1:51">
      <c r="A123">
        <f>Dbase_velden_versie4_2!A119</f>
        <v>119</v>
      </c>
      <c r="B123" t="str">
        <f>Dbase_velden_versie4_2!B119</f>
        <v>CPT_NIVEAU</v>
      </c>
      <c r="C123" t="str">
        <f>Dbase_velden_versie4_2!C119</f>
        <v>m NAP</v>
      </c>
      <c r="D123" t="str">
        <f>Dbase_velden_versie4_2!D119</f>
        <v>Monsterniveaus waarbij de bepaling van de gemiddelde waarden uit de sondering is bepaald. Het traject waarover gemiddeld is loopt van 0.5 x trajectlengte (#CPT_TRAJECTLENGTE) boven het monsterniveau (#CPT_NIVEAU) tot 0.5 x trjactlengte beneden het monsterniveau.</v>
      </c>
      <c r="E123" t="str">
        <f>Dbase_velden_versie4_2!E119</f>
        <v>Double</v>
      </c>
      <c r="F123" t="str">
        <f>Dbase_velden_versie4_2!F119</f>
        <v>+10 / - 50</v>
      </c>
      <c r="G123" t="str">
        <f>Dbase_velden_versie4_2!G119</f>
        <v>CPT NIVEAU</v>
      </c>
      <c r="H123" t="str">
        <f>Dbase_velden_versie4_2!H119</f>
        <v>[m NAP]</v>
      </c>
      <c r="I123" t="str">
        <f>Dbase_velden_versie4_2!I119</f>
        <v>CPT</v>
      </c>
      <c r="J123" t="str">
        <f>Dbase_velden_versie4_2!J119</f>
        <v>Kenmerken van de sondering</v>
      </c>
      <c r="K123">
        <v>119</v>
      </c>
      <c r="L123" t="str">
        <v>CPT_NIVEAU</v>
      </c>
      <c r="M123" t="str">
        <v>m NAP</v>
      </c>
      <c r="N123" t="str">
        <v>Monsterniveaus waarbij de bepaling van de gemiddelde waarden uit de sondering is bepaald. Het traject waarover gemiddeld is loopt van 0.5 x trajectlengte (#CPT_TRAJECTLENGTE) boven het monsterniveau (#CPT_NIVEAU) tot 0.5 x trjactlengte beneden het monsterniveau.</v>
      </c>
      <c r="O123" t="str">
        <v>Double</v>
      </c>
      <c r="P123" t="str">
        <v>+10 / - 50</v>
      </c>
      <c r="Q123" t="str">
        <v>CPT NIVEAU</v>
      </c>
      <c r="R123" t="str">
        <v>[m NAP]</v>
      </c>
      <c r="S123" t="str">
        <f t="shared" si="25"/>
        <v>OK</v>
      </c>
      <c r="T123" t="str">
        <f t="shared" si="19"/>
        <v>OK</v>
      </c>
      <c r="U123" t="str">
        <f t="shared" si="20"/>
        <v>OK</v>
      </c>
      <c r="V123" t="str">
        <f t="shared" si="21"/>
        <v>OK</v>
      </c>
      <c r="W123" t="str">
        <f t="shared" si="22"/>
        <v>OK</v>
      </c>
      <c r="X123" t="str">
        <f t="shared" si="23"/>
        <v>OK</v>
      </c>
      <c r="Y123" t="str">
        <f t="shared" si="24"/>
        <v>OK</v>
      </c>
      <c r="Z123">
        <v>118</v>
      </c>
      <c r="AA123">
        <v>120</v>
      </c>
      <c r="AB123" t="s">
        <v>2421</v>
      </c>
      <c r="AC123" t="s">
        <v>119</v>
      </c>
      <c r="AD123" t="s">
        <v>465</v>
      </c>
      <c r="AE123" t="s">
        <v>599</v>
      </c>
      <c r="AG123" t="s">
        <v>897</v>
      </c>
      <c r="AH123" t="s">
        <v>907</v>
      </c>
      <c r="AI123" t="s">
        <v>2423</v>
      </c>
      <c r="AJ123" t="s">
        <v>1397</v>
      </c>
      <c r="AK123" t="s">
        <v>2421</v>
      </c>
      <c r="AL123" t="s">
        <v>2422</v>
      </c>
      <c r="AN123" t="str">
        <f t="shared" si="26"/>
        <v>OK</v>
      </c>
      <c r="AO123" t="str">
        <f t="shared" si="27"/>
        <v>OK</v>
      </c>
      <c r="AP123" t="str">
        <f t="shared" si="28"/>
        <v>OK</v>
      </c>
      <c r="AR123" t="str">
        <f t="shared" si="29"/>
        <v>OK</v>
      </c>
      <c r="AS123" t="str">
        <f t="shared" si="30"/>
        <v>OK</v>
      </c>
      <c r="AT123" t="str">
        <f t="shared" si="31"/>
        <v>NOK</v>
      </c>
      <c r="AU123" t="str">
        <f t="shared" si="32"/>
        <v>OK</v>
      </c>
      <c r="AV123" t="str">
        <f t="shared" si="33"/>
        <v>OK</v>
      </c>
      <c r="AW123" t="str">
        <f t="shared" si="34"/>
        <v>OK</v>
      </c>
    </row>
    <row r="124" spans="1:51">
      <c r="A124">
        <f>Dbase_velden_versie4_2!A120</f>
        <v>120</v>
      </c>
      <c r="B124" t="str">
        <f>Dbase_velden_versie4_2!B120</f>
        <v>CPT_TRAJECTLENGTE_GEM</v>
      </c>
      <c r="C124" t="str">
        <f>Dbase_velden_versie4_2!C120</f>
        <v>cm</v>
      </c>
      <c r="D124" t="str">
        <f>Dbase_velden_versie4_2!D120</f>
        <v>Lengte waarover de gemiddelde sondeerwaarden zijn bepaald.</v>
      </c>
      <c r="E124" t="str">
        <f>Dbase_velden_versie4_2!E120</f>
        <v>Double</v>
      </c>
      <c r="F124">
        <f>Dbase_velden_versie4_2!F120</f>
        <v>0</v>
      </c>
      <c r="G124" t="str">
        <f>Dbase_velden_versie4_2!G120</f>
        <v>CPT TRAJECTLENGTE GEM</v>
      </c>
      <c r="H124" t="str">
        <f>Dbase_velden_versie4_2!H120</f>
        <v>[cm]</v>
      </c>
      <c r="I124" t="str">
        <f>Dbase_velden_versie4_2!I120</f>
        <v>CPT</v>
      </c>
      <c r="J124" t="str">
        <f>Dbase_velden_versie4_2!J120</f>
        <v>Kenmerken van de sondering</v>
      </c>
      <c r="K124">
        <v>120</v>
      </c>
      <c r="L124" t="str">
        <v>CPT_TRAJECTLENGTE_GEM</v>
      </c>
      <c r="M124" t="str">
        <v>cm</v>
      </c>
      <c r="N124" t="str">
        <v>Lengte waarover de gemiddelde sondeerwaarden zijn bepaald.</v>
      </c>
      <c r="O124" t="str">
        <v>Double</v>
      </c>
      <c r="P124">
        <v>0</v>
      </c>
      <c r="Q124" t="str">
        <v>CPT TRAJECTLENGTE GEM</v>
      </c>
      <c r="R124" t="str">
        <v>[cm]</v>
      </c>
      <c r="S124" t="str">
        <f t="shared" si="25"/>
        <v>OK</v>
      </c>
      <c r="T124" t="str">
        <f t="shared" si="19"/>
        <v>OK</v>
      </c>
      <c r="U124" t="str">
        <f t="shared" si="20"/>
        <v>OK</v>
      </c>
      <c r="V124" t="str">
        <f t="shared" si="21"/>
        <v>OK</v>
      </c>
      <c r="W124" t="str">
        <f t="shared" si="22"/>
        <v>OK</v>
      </c>
      <c r="X124" t="str">
        <f t="shared" si="23"/>
        <v>OK</v>
      </c>
      <c r="Y124" t="str">
        <f t="shared" si="24"/>
        <v>OK</v>
      </c>
      <c r="Z124">
        <v>119</v>
      </c>
      <c r="AA124">
        <v>121</v>
      </c>
      <c r="AB124" t="s">
        <v>2421</v>
      </c>
      <c r="AC124" t="s">
        <v>120</v>
      </c>
      <c r="AD124" t="s">
        <v>473</v>
      </c>
      <c r="AE124" t="s">
        <v>600</v>
      </c>
      <c r="AG124" t="s">
        <v>897</v>
      </c>
      <c r="AI124" t="s">
        <v>2424</v>
      </c>
      <c r="AJ124" t="s">
        <v>1405</v>
      </c>
      <c r="AK124" t="s">
        <v>2421</v>
      </c>
      <c r="AL124" t="s">
        <v>2422</v>
      </c>
      <c r="AN124" t="str">
        <f t="shared" si="26"/>
        <v>OK</v>
      </c>
      <c r="AO124" t="str">
        <f t="shared" si="27"/>
        <v>OK</v>
      </c>
      <c r="AP124" t="str">
        <f t="shared" si="28"/>
        <v>OK</v>
      </c>
      <c r="AR124" t="str">
        <f t="shared" si="29"/>
        <v>OK</v>
      </c>
      <c r="AS124" t="str">
        <f t="shared" si="30"/>
        <v>OK</v>
      </c>
      <c r="AT124" t="str">
        <f t="shared" si="31"/>
        <v>NOK</v>
      </c>
      <c r="AU124" t="str">
        <f t="shared" si="32"/>
        <v>OK</v>
      </c>
      <c r="AV124" t="str">
        <f t="shared" si="33"/>
        <v>OK</v>
      </c>
      <c r="AW124" t="str">
        <f t="shared" si="34"/>
        <v>OK</v>
      </c>
    </row>
    <row r="125" spans="1:51">
      <c r="A125">
        <f>Dbase_velden_versie4_2!A121</f>
        <v>121</v>
      </c>
      <c r="B125" t="str">
        <f>Dbase_velden_versie4_2!B121</f>
        <v>CPT_CONUSWEERSTAND_GEM</v>
      </c>
      <c r="C125" t="str">
        <f>Dbase_velden_versie4_2!C121</f>
        <v>kPa</v>
      </c>
      <c r="D125" t="str">
        <f>Dbase_velden_versie4_2!D121</f>
        <v>Gemiddelde conusweerstand gemeten tijdens de sondering op het monsterniveau (#CPT_NIVEAU) over een bepaalde lengte (#CPT_TRAJECTLENGTE)</v>
      </c>
      <c r="E125" t="str">
        <f>Dbase_velden_versie4_2!E121</f>
        <v>Double</v>
      </c>
      <c r="F125" t="str">
        <f>Dbase_velden_versie4_2!F121</f>
        <v>0 / 100 000</v>
      </c>
      <c r="G125" t="str">
        <f>Dbase_velden_versie4_2!G121</f>
        <v>CPT CONUSWEERSTAND GEM</v>
      </c>
      <c r="H125" t="str">
        <f>Dbase_velden_versie4_2!H121</f>
        <v>[kPa]</v>
      </c>
      <c r="I125" t="str">
        <f>Dbase_velden_versie4_2!I121</f>
        <v>CPT</v>
      </c>
      <c r="J125" t="str">
        <f>Dbase_velden_versie4_2!J121</f>
        <v>Kenmerken van de sondering</v>
      </c>
      <c r="K125">
        <v>121</v>
      </c>
      <c r="L125" t="str">
        <v>CPT_CONUSWEERSTAND_GEM</v>
      </c>
      <c r="M125" t="str">
        <v>kPa</v>
      </c>
      <c r="N125" t="str">
        <v>Gemiddelde conusweerstand gemeten tijdens de sondering op het monsterniveau (#CPT_NIVEAU) over een bepaalde lengte (#CPT_TRAJECTLENGTE)</v>
      </c>
      <c r="O125" t="str">
        <v>Double</v>
      </c>
      <c r="P125" t="str">
        <v>0 / 100 000</v>
      </c>
      <c r="Q125" t="str">
        <v>CPT CONUSWEERSTAND GEM</v>
      </c>
      <c r="R125" t="str">
        <v>[kPa]</v>
      </c>
      <c r="S125" t="str">
        <f t="shared" si="25"/>
        <v>OK</v>
      </c>
      <c r="T125" t="str">
        <f t="shared" si="19"/>
        <v>OK</v>
      </c>
      <c r="U125" t="str">
        <f t="shared" si="20"/>
        <v>OK</v>
      </c>
      <c r="V125" t="str">
        <f t="shared" si="21"/>
        <v>OK</v>
      </c>
      <c r="W125" t="str">
        <f t="shared" si="22"/>
        <v>OK</v>
      </c>
      <c r="X125" t="str">
        <f t="shared" si="23"/>
        <v>OK</v>
      </c>
      <c r="Y125" t="str">
        <f t="shared" si="24"/>
        <v>OK</v>
      </c>
      <c r="Z125">
        <v>120</v>
      </c>
      <c r="AA125">
        <v>122</v>
      </c>
      <c r="AB125" t="s">
        <v>2421</v>
      </c>
      <c r="AC125" t="s">
        <v>121</v>
      </c>
      <c r="AD125" t="s">
        <v>470</v>
      </c>
      <c r="AE125" t="s">
        <v>601</v>
      </c>
      <c r="AG125" t="s">
        <v>897</v>
      </c>
      <c r="AH125" t="s">
        <v>919</v>
      </c>
      <c r="AI125" t="s">
        <v>2425</v>
      </c>
      <c r="AJ125" t="s">
        <v>1402</v>
      </c>
      <c r="AK125" t="s">
        <v>2421</v>
      </c>
      <c r="AL125" t="s">
        <v>2422</v>
      </c>
      <c r="AN125" t="str">
        <f t="shared" si="26"/>
        <v>OK</v>
      </c>
      <c r="AO125" t="str">
        <f t="shared" si="27"/>
        <v>OK</v>
      </c>
      <c r="AP125" t="str">
        <f t="shared" si="28"/>
        <v>OK</v>
      </c>
      <c r="AR125" t="str">
        <f t="shared" si="29"/>
        <v>OK</v>
      </c>
      <c r="AS125" t="str">
        <f t="shared" si="30"/>
        <v>OK</v>
      </c>
      <c r="AT125" t="str">
        <f t="shared" si="31"/>
        <v>NOK</v>
      </c>
      <c r="AU125" t="str">
        <f t="shared" si="32"/>
        <v>OK</v>
      </c>
      <c r="AV125" t="str">
        <f t="shared" si="33"/>
        <v>OK</v>
      </c>
      <c r="AW125" t="str">
        <f t="shared" si="34"/>
        <v>OK</v>
      </c>
    </row>
    <row r="126" spans="1:51">
      <c r="A126">
        <f>Dbase_velden_versie4_2!A122</f>
        <v>122</v>
      </c>
      <c r="B126" t="str">
        <f>Dbase_velden_versie4_2!B122</f>
        <v>CPT_WRIJVINGSWEERSTAND_GEM</v>
      </c>
      <c r="C126" t="str">
        <f>Dbase_velden_versie4_2!C122</f>
        <v>kPa</v>
      </c>
      <c r="D126" t="str">
        <f>Dbase_velden_versie4_2!D122</f>
        <v>Gemiddelde wrijvingsweerstand gemeten tijdens de sondering op het monsterniveau (#CPT_NIVEAU) over een bepaalde lengte (#CPT_TRAJECTLENGTE)</v>
      </c>
      <c r="E126" t="str">
        <f>Dbase_velden_versie4_2!E122</f>
        <v>Double</v>
      </c>
      <c r="F126" t="str">
        <f>Dbase_velden_versie4_2!F122</f>
        <v>0 / 5 000</v>
      </c>
      <c r="G126" t="str">
        <f>Dbase_velden_versie4_2!G122</f>
        <v>CPT WRIJVINGSWEERSTAND GEM</v>
      </c>
      <c r="H126" t="str">
        <f>Dbase_velden_versie4_2!H122</f>
        <v>[kPa]</v>
      </c>
      <c r="I126" t="str">
        <f>Dbase_velden_versie4_2!I122</f>
        <v>CPT</v>
      </c>
      <c r="J126" t="str">
        <f>Dbase_velden_versie4_2!J122</f>
        <v>Kenmerken van de sondering</v>
      </c>
      <c r="K126">
        <v>122</v>
      </c>
      <c r="L126" t="str">
        <v>CPT_WRIJVINGSWEERSTAND_GEM</v>
      </c>
      <c r="M126" t="str">
        <v>kPa</v>
      </c>
      <c r="N126" t="str">
        <v>Gemiddelde wrijvingsweerstand gemeten tijdens de sondering op het monsterniveau (#CPT_NIVEAU) over een bepaalde lengte (#CPT_TRAJECTLENGTE)</v>
      </c>
      <c r="O126" t="str">
        <v>Double</v>
      </c>
      <c r="P126" t="str">
        <v>0 / 5 000</v>
      </c>
      <c r="Q126" t="str">
        <v>CPT WRIJVINGSWEERSTAND GEM</v>
      </c>
      <c r="R126" t="str">
        <v>[kPa]</v>
      </c>
      <c r="S126" t="str">
        <f t="shared" si="25"/>
        <v>OK</v>
      </c>
      <c r="T126" t="str">
        <f t="shared" si="19"/>
        <v>OK</v>
      </c>
      <c r="U126" t="str">
        <f t="shared" si="20"/>
        <v>OK</v>
      </c>
      <c r="V126" t="str">
        <f t="shared" si="21"/>
        <v>OK</v>
      </c>
      <c r="W126" t="str">
        <f t="shared" si="22"/>
        <v>OK</v>
      </c>
      <c r="X126" t="str">
        <f t="shared" si="23"/>
        <v>OK</v>
      </c>
      <c r="Y126" t="str">
        <f t="shared" si="24"/>
        <v>OK</v>
      </c>
      <c r="Z126">
        <v>121</v>
      </c>
      <c r="AA126">
        <v>123</v>
      </c>
      <c r="AB126" t="s">
        <v>2421</v>
      </c>
      <c r="AC126" t="s">
        <v>122</v>
      </c>
      <c r="AD126" t="s">
        <v>470</v>
      </c>
      <c r="AE126" t="s">
        <v>602</v>
      </c>
      <c r="AG126" t="s">
        <v>897</v>
      </c>
      <c r="AH126" t="s">
        <v>920</v>
      </c>
      <c r="AI126" t="s">
        <v>2426</v>
      </c>
      <c r="AJ126" t="s">
        <v>1402</v>
      </c>
      <c r="AK126" t="s">
        <v>2421</v>
      </c>
      <c r="AL126" t="s">
        <v>2422</v>
      </c>
      <c r="AN126" t="str">
        <f t="shared" si="26"/>
        <v>OK</v>
      </c>
      <c r="AO126" t="str">
        <f t="shared" si="27"/>
        <v>OK</v>
      </c>
      <c r="AP126" t="str">
        <f t="shared" si="28"/>
        <v>OK</v>
      </c>
      <c r="AR126" t="str">
        <f t="shared" si="29"/>
        <v>OK</v>
      </c>
      <c r="AS126" t="str">
        <f t="shared" si="30"/>
        <v>OK</v>
      </c>
      <c r="AT126" t="str">
        <f t="shared" si="31"/>
        <v>NOK</v>
      </c>
      <c r="AU126" t="str">
        <f t="shared" si="32"/>
        <v>OK</v>
      </c>
      <c r="AV126" t="str">
        <f t="shared" si="33"/>
        <v>OK</v>
      </c>
      <c r="AW126" t="str">
        <f t="shared" si="34"/>
        <v>OK</v>
      </c>
    </row>
    <row r="127" spans="1:51">
      <c r="A127">
        <f>Dbase_velden_versie4_2!A123</f>
        <v>123</v>
      </c>
      <c r="B127" t="str">
        <f>Dbase_velden_versie4_2!B123</f>
        <v>CPT_WRIJVINGSGETAL_GEM</v>
      </c>
      <c r="C127" t="str">
        <f>Dbase_velden_versie4_2!C123</f>
        <v>-</v>
      </c>
      <c r="D127" t="str">
        <f>Dbase_velden_versie4_2!D123</f>
        <v>Gemiddelde wrijvingsgetal op het monsterniveau (#CPT_NIVEAU) over een bepaalde lengte (#CPT_TRAJECTLENGTE) bepaald uit de gemeten conusweerstand (#CPT_CONUSWEERSTAND_GEM) en de gemeten wrijvingsweerstand (#CPT_WRIJVINGSWEERSTAND_GEM)</v>
      </c>
      <c r="E127" t="str">
        <f>Dbase_velden_versie4_2!E123</f>
        <v>Double</v>
      </c>
      <c r="F127" t="str">
        <f>Dbase_velden_versie4_2!F123</f>
        <v>0 / 20</v>
      </c>
      <c r="G127" t="str">
        <f>Dbase_velden_versie4_2!G123</f>
        <v>CPT WRIJVINGSGETAL GEM</v>
      </c>
      <c r="H127" t="str">
        <f>Dbase_velden_versie4_2!H123</f>
        <v>[-]</v>
      </c>
      <c r="I127" t="str">
        <f>Dbase_velden_versie4_2!I123</f>
        <v>CPT</v>
      </c>
      <c r="J127" t="str">
        <f>Dbase_velden_versie4_2!J123</f>
        <v>Kenmerken van de sondering</v>
      </c>
      <c r="K127">
        <v>123</v>
      </c>
      <c r="L127" t="str">
        <v>CPT_WRIJVINGSGETAL_GEM</v>
      </c>
      <c r="M127" t="str">
        <v>-</v>
      </c>
      <c r="N127" t="str">
        <v>Gemiddelde wrijvingsgetal op het monsterniveau (#CPT_NIVEAU) over een bepaalde lengte (#CPT_TRAJECTLENGTE) bepaald uit de gemeten conusweerstand (#CPT_CONUSWEERSTAND_GEM) en de gemeten wrijvingsweerstand (#CPT_WRIJVINGSWEERSTAND_GEM)</v>
      </c>
      <c r="O127" t="str">
        <v>Double</v>
      </c>
      <c r="P127" t="str">
        <v>0 / 20</v>
      </c>
      <c r="Q127" t="str">
        <v>CPT WRIJVINGSGETAL GEM</v>
      </c>
      <c r="R127" t="str">
        <v>[-]</v>
      </c>
      <c r="S127" t="str">
        <f t="shared" si="25"/>
        <v>OK</v>
      </c>
      <c r="T127" t="str">
        <f t="shared" si="19"/>
        <v>OK</v>
      </c>
      <c r="U127" t="str">
        <f t="shared" si="20"/>
        <v>OK</v>
      </c>
      <c r="V127" t="str">
        <f t="shared" si="21"/>
        <v>OK</v>
      </c>
      <c r="W127" t="str">
        <f t="shared" si="22"/>
        <v>OK</v>
      </c>
      <c r="X127" t="str">
        <f t="shared" si="23"/>
        <v>OK</v>
      </c>
      <c r="Y127" t="str">
        <f t="shared" si="24"/>
        <v>OK</v>
      </c>
      <c r="Z127">
        <v>122</v>
      </c>
      <c r="AA127">
        <v>124</v>
      </c>
      <c r="AB127" t="s">
        <v>2421</v>
      </c>
      <c r="AC127" t="s">
        <v>123</v>
      </c>
      <c r="AD127" t="s">
        <v>463</v>
      </c>
      <c r="AE127" t="s">
        <v>603</v>
      </c>
      <c r="AG127" t="s">
        <v>897</v>
      </c>
      <c r="AH127" t="s">
        <v>921</v>
      </c>
      <c r="AI127" t="s">
        <v>2427</v>
      </c>
      <c r="AJ127" t="s">
        <v>1395</v>
      </c>
      <c r="AK127" t="s">
        <v>2421</v>
      </c>
      <c r="AL127" t="s">
        <v>2422</v>
      </c>
      <c r="AN127" t="str">
        <f t="shared" si="26"/>
        <v>OK</v>
      </c>
      <c r="AO127" t="str">
        <f t="shared" si="27"/>
        <v>OK</v>
      </c>
      <c r="AP127" t="str">
        <f t="shared" si="28"/>
        <v>OK</v>
      </c>
      <c r="AR127" t="str">
        <f t="shared" si="29"/>
        <v>OK</v>
      </c>
      <c r="AS127" t="str">
        <f t="shared" si="30"/>
        <v>OK</v>
      </c>
      <c r="AT127" t="str">
        <f t="shared" si="31"/>
        <v>NOK</v>
      </c>
      <c r="AU127" t="str">
        <f t="shared" si="32"/>
        <v>OK</v>
      </c>
      <c r="AV127" t="str">
        <f t="shared" si="33"/>
        <v>OK</v>
      </c>
      <c r="AW127" t="str">
        <f t="shared" si="34"/>
        <v>OK</v>
      </c>
    </row>
    <row r="128" spans="1:51">
      <c r="A128">
        <f>Dbase_velden_versie4_2!A124</f>
        <v>124</v>
      </c>
      <c r="B128" t="str">
        <f>Dbase_velden_versie4_2!B124</f>
        <v>CPT_WATERSPANNING_GEM</v>
      </c>
      <c r="C128" t="str">
        <f>Dbase_velden_versie4_2!C124</f>
        <v>kPa</v>
      </c>
      <c r="D128" t="str">
        <f>Dbase_velden_versie4_2!D124</f>
        <v>Gemiddelde waterspanning gemeten tijdens de sondering op het monsterniveau (#CPT_NIVEAU) over een bepaalde lengte (#CPT_TRAJECTLENGTE)</v>
      </c>
      <c r="E128" t="str">
        <f>Dbase_velden_versie4_2!E124</f>
        <v>Double</v>
      </c>
      <c r="F128" t="str">
        <f>Dbase_velden_versie4_2!F124</f>
        <v>0 / 50 000</v>
      </c>
      <c r="G128" t="str">
        <f>Dbase_velden_versie4_2!G124</f>
        <v>CPT WATERSPANNING GEM</v>
      </c>
      <c r="H128" t="str">
        <f>Dbase_velden_versie4_2!H124</f>
        <v>[kPa]</v>
      </c>
      <c r="I128" t="str">
        <f>Dbase_velden_versie4_2!I124</f>
        <v>CPT</v>
      </c>
      <c r="J128" t="str">
        <f>Dbase_velden_versie4_2!J124</f>
        <v>Kenmerken van de sondering</v>
      </c>
      <c r="K128">
        <v>124</v>
      </c>
      <c r="L128" t="str">
        <v>CPT_WATERSPANNING_GEM</v>
      </c>
      <c r="M128" t="str">
        <v>kPa</v>
      </c>
      <c r="N128" t="str">
        <v>Gemiddelde waterspanning gemeten tijdens de sondering op het monsterniveau (#CPT_NIVEAU) over een bepaalde lengte (#CPT_TRAJECTLENGTE)</v>
      </c>
      <c r="O128" t="str">
        <v>Double</v>
      </c>
      <c r="P128" t="str">
        <v>0 / 50 000</v>
      </c>
      <c r="Q128" t="str">
        <v>CPT WATERSPANNING GEM</v>
      </c>
      <c r="R128" t="str">
        <v>[kPa]</v>
      </c>
      <c r="S128" t="str">
        <f t="shared" si="25"/>
        <v>OK</v>
      </c>
      <c r="T128" t="str">
        <f t="shared" si="19"/>
        <v>OK</v>
      </c>
      <c r="U128" t="str">
        <f t="shared" si="20"/>
        <v>OK</v>
      </c>
      <c r="V128" t="str">
        <f t="shared" si="21"/>
        <v>OK</v>
      </c>
      <c r="W128" t="str">
        <f t="shared" si="22"/>
        <v>OK</v>
      </c>
      <c r="X128" t="str">
        <f t="shared" si="23"/>
        <v>OK</v>
      </c>
      <c r="Y128" t="str">
        <f t="shared" si="24"/>
        <v>OK</v>
      </c>
      <c r="Z128">
        <v>123</v>
      </c>
      <c r="AA128">
        <v>125</v>
      </c>
      <c r="AB128" t="s">
        <v>2421</v>
      </c>
      <c r="AC128" t="s">
        <v>124</v>
      </c>
      <c r="AD128" t="s">
        <v>470</v>
      </c>
      <c r="AE128" t="s">
        <v>604</v>
      </c>
      <c r="AG128" t="s">
        <v>897</v>
      </c>
      <c r="AH128" t="s">
        <v>922</v>
      </c>
      <c r="AI128" t="s">
        <v>2428</v>
      </c>
      <c r="AJ128" t="s">
        <v>1402</v>
      </c>
      <c r="AK128" t="s">
        <v>2421</v>
      </c>
      <c r="AL128" t="s">
        <v>2422</v>
      </c>
      <c r="AN128" t="str">
        <f t="shared" si="26"/>
        <v>OK</v>
      </c>
      <c r="AO128" t="str">
        <f t="shared" si="27"/>
        <v>OK</v>
      </c>
      <c r="AP128" t="str">
        <f t="shared" si="28"/>
        <v>OK</v>
      </c>
      <c r="AR128" t="str">
        <f t="shared" si="29"/>
        <v>OK</v>
      </c>
      <c r="AS128" t="str">
        <f t="shared" si="30"/>
        <v>OK</v>
      </c>
      <c r="AT128" t="str">
        <f t="shared" si="31"/>
        <v>NOK</v>
      </c>
      <c r="AU128" t="str">
        <f t="shared" si="32"/>
        <v>OK</v>
      </c>
      <c r="AV128" t="str">
        <f t="shared" si="33"/>
        <v>OK</v>
      </c>
      <c r="AW128" t="str">
        <f t="shared" si="34"/>
        <v>OK</v>
      </c>
    </row>
    <row r="129" spans="1:49">
      <c r="A129">
        <f>Dbase_velden_versie4_2!A125</f>
        <v>125</v>
      </c>
      <c r="B129" t="str">
        <f>Dbase_velden_versie4_2!B125</f>
        <v>CPT_QNET</v>
      </c>
      <c r="C129" t="str">
        <f>Dbase_velden_versie4_2!C125</f>
        <v>kPa</v>
      </c>
      <c r="D129" t="str">
        <f>Dbase_velden_versie4_2!D125</f>
        <v>Netto conusweerstand = qnet = qt - σv0</v>
      </c>
      <c r="E129" t="str">
        <f>Dbase_velden_versie4_2!E125</f>
        <v>Double</v>
      </c>
      <c r="F129">
        <f>Dbase_velden_versie4_2!F125</f>
        <v>0</v>
      </c>
      <c r="G129" t="str">
        <f>Dbase_velden_versie4_2!G125</f>
        <v>CPT QNET</v>
      </c>
      <c r="H129" t="str">
        <f>Dbase_velden_versie4_2!H125</f>
        <v>[kPa]</v>
      </c>
      <c r="I129" t="str">
        <f>Dbase_velden_versie4_2!I125</f>
        <v>CPT</v>
      </c>
      <c r="J129" t="str">
        <f>Dbase_velden_versie4_2!J125</f>
        <v>Kenmerken van de sondering</v>
      </c>
      <c r="K129">
        <v>125</v>
      </c>
      <c r="L129" t="str">
        <v>CPT_QNET</v>
      </c>
      <c r="M129" t="str">
        <v>kPa</v>
      </c>
      <c r="N129" t="str">
        <v>Netto conusweerstand = qnet = qt - σv0</v>
      </c>
      <c r="O129" t="str">
        <v>Double</v>
      </c>
      <c r="P129">
        <v>0</v>
      </c>
      <c r="Q129" t="str">
        <v>CPT QNET</v>
      </c>
      <c r="R129" t="str">
        <v>[kPa]</v>
      </c>
      <c r="S129" t="str">
        <f t="shared" si="25"/>
        <v>OK</v>
      </c>
      <c r="T129" t="str">
        <f t="shared" si="19"/>
        <v>OK</v>
      </c>
      <c r="U129" t="str">
        <f t="shared" si="20"/>
        <v>OK</v>
      </c>
      <c r="V129" t="str">
        <f t="shared" si="21"/>
        <v>OK</v>
      </c>
      <c r="W129" t="str">
        <f t="shared" si="22"/>
        <v>OK</v>
      </c>
      <c r="X129" t="str">
        <f t="shared" si="23"/>
        <v>OK</v>
      </c>
      <c r="Y129" t="str">
        <f t="shared" si="24"/>
        <v>OK</v>
      </c>
      <c r="Z129">
        <v>124</v>
      </c>
      <c r="AA129">
        <v>126</v>
      </c>
      <c r="AB129" t="s">
        <v>2421</v>
      </c>
      <c r="AC129" t="s">
        <v>125</v>
      </c>
      <c r="AD129" t="s">
        <v>470</v>
      </c>
      <c r="AE129" t="s">
        <v>605</v>
      </c>
      <c r="AG129" t="s">
        <v>897</v>
      </c>
      <c r="AI129" t="s">
        <v>605</v>
      </c>
      <c r="AJ129" t="s">
        <v>1402</v>
      </c>
      <c r="AK129" t="s">
        <v>2421</v>
      </c>
      <c r="AL129" t="s">
        <v>2422</v>
      </c>
      <c r="AN129" t="str">
        <f t="shared" si="26"/>
        <v>OK</v>
      </c>
      <c r="AO129" t="str">
        <f t="shared" si="27"/>
        <v>OK</v>
      </c>
      <c r="AP129" t="str">
        <f t="shared" si="28"/>
        <v>OK</v>
      </c>
      <c r="AR129" t="str">
        <f t="shared" si="29"/>
        <v>OK</v>
      </c>
      <c r="AS129" t="str">
        <f t="shared" si="30"/>
        <v>OK</v>
      </c>
      <c r="AT129" t="str">
        <f t="shared" si="31"/>
        <v>NOK</v>
      </c>
      <c r="AU129" t="str">
        <f t="shared" si="32"/>
        <v>OK</v>
      </c>
      <c r="AV129" t="str">
        <f t="shared" si="33"/>
        <v>OK</v>
      </c>
      <c r="AW129" t="str">
        <f t="shared" si="34"/>
        <v>OK</v>
      </c>
    </row>
    <row r="130" spans="1:49">
      <c r="A130">
        <f>Dbase_velden_versie4_2!A126</f>
        <v>126</v>
      </c>
      <c r="B130" t="str">
        <f>Dbase_velden_versie4_2!B126</f>
        <v>CPT_QT</v>
      </c>
      <c r="C130" t="str">
        <f>Dbase_velden_versie4_2!C126</f>
        <v>kPa</v>
      </c>
      <c r="D130" t="str">
        <f>Dbase_velden_versie4_2!D126</f>
        <v>Conusweerstand gecorrigeerd voor gemeten waterspanning qt = qc + (1-a).u2</v>
      </c>
      <c r="E130" t="str">
        <f>Dbase_velden_versie4_2!E126</f>
        <v>Double</v>
      </c>
      <c r="F130">
        <f>Dbase_velden_versie4_2!F126</f>
        <v>0</v>
      </c>
      <c r="G130" t="str">
        <f>Dbase_velden_versie4_2!G126</f>
        <v>CPT QT</v>
      </c>
      <c r="H130" t="str">
        <f>Dbase_velden_versie4_2!H126</f>
        <v>[kPa]</v>
      </c>
      <c r="I130" t="str">
        <f>Dbase_velden_versie4_2!I126</f>
        <v>CPT</v>
      </c>
      <c r="J130" t="str">
        <f>Dbase_velden_versie4_2!J126</f>
        <v>Kenmerken van de sondering</v>
      </c>
      <c r="K130">
        <v>126</v>
      </c>
      <c r="L130" t="str">
        <v>CPT_QT</v>
      </c>
      <c r="M130" t="str">
        <v>kPa</v>
      </c>
      <c r="N130" t="str">
        <v>Conusweerstand gecorrigeerd voor gemeten waterspanning qt = qc + (1-a).u2</v>
      </c>
      <c r="O130" t="str">
        <v>Double</v>
      </c>
      <c r="P130">
        <v>0</v>
      </c>
      <c r="Q130" t="str">
        <v>CPT QT</v>
      </c>
      <c r="R130" t="str">
        <v>[kPa]</v>
      </c>
      <c r="S130" t="str">
        <f t="shared" si="25"/>
        <v>OK</v>
      </c>
      <c r="T130" t="str">
        <f t="shared" si="19"/>
        <v>OK</v>
      </c>
      <c r="U130" t="str">
        <f t="shared" si="20"/>
        <v>OK</v>
      </c>
      <c r="V130" t="str">
        <f t="shared" si="21"/>
        <v>OK</v>
      </c>
      <c r="W130" t="str">
        <f t="shared" si="22"/>
        <v>OK</v>
      </c>
      <c r="X130" t="str">
        <f t="shared" si="23"/>
        <v>OK</v>
      </c>
      <c r="Y130" t="str">
        <f t="shared" si="24"/>
        <v>OK</v>
      </c>
      <c r="Z130">
        <v>125</v>
      </c>
      <c r="AA130">
        <v>127</v>
      </c>
      <c r="AB130" t="s">
        <v>2421</v>
      </c>
      <c r="AC130" t="s">
        <v>126</v>
      </c>
      <c r="AD130" t="s">
        <v>470</v>
      </c>
      <c r="AE130" t="s">
        <v>606</v>
      </c>
      <c r="AG130" t="s">
        <v>897</v>
      </c>
      <c r="AI130" t="s">
        <v>2429</v>
      </c>
      <c r="AJ130" t="s">
        <v>1402</v>
      </c>
      <c r="AK130" t="s">
        <v>2421</v>
      </c>
      <c r="AL130" t="s">
        <v>2422</v>
      </c>
      <c r="AN130" t="str">
        <f t="shared" si="26"/>
        <v>OK</v>
      </c>
      <c r="AO130" t="str">
        <f t="shared" si="27"/>
        <v>OK</v>
      </c>
      <c r="AP130" t="str">
        <f t="shared" si="28"/>
        <v>OK</v>
      </c>
      <c r="AR130" t="str">
        <f t="shared" si="29"/>
        <v>OK</v>
      </c>
      <c r="AS130" t="str">
        <f t="shared" si="30"/>
        <v>OK</v>
      </c>
      <c r="AT130" t="str">
        <f t="shared" si="31"/>
        <v>NOK</v>
      </c>
      <c r="AU130" t="str">
        <f t="shared" si="32"/>
        <v>OK</v>
      </c>
      <c r="AV130" t="str">
        <f t="shared" si="33"/>
        <v>OK</v>
      </c>
      <c r="AW130" t="str">
        <f t="shared" si="34"/>
        <v>OK</v>
      </c>
    </row>
    <row r="131" spans="1:49">
      <c r="A131">
        <f>Dbase_velden_versie4_2!A127</f>
        <v>127</v>
      </c>
      <c r="B131" t="str">
        <f>Dbase_velden_versie4_2!B127</f>
        <v>CPT_VO</v>
      </c>
      <c r="C131" t="str">
        <f>Dbase_velden_versie4_2!C127</f>
        <v>kPa</v>
      </c>
      <c r="D131" t="str">
        <f>Dbase_velden_versie4_2!D127</f>
        <v>Verticale grondspanning σv0 (totaalspanning)</v>
      </c>
      <c r="E131" t="str">
        <f>Dbase_velden_versie4_2!E127</f>
        <v>Double</v>
      </c>
      <c r="F131">
        <f>Dbase_velden_versie4_2!F127</f>
        <v>0</v>
      </c>
      <c r="G131" t="str">
        <f>Dbase_velden_versie4_2!G127</f>
        <v>CPT VO</v>
      </c>
      <c r="H131" t="str">
        <f>Dbase_velden_versie4_2!H127</f>
        <v>[kPa]</v>
      </c>
      <c r="I131" t="str">
        <f>Dbase_velden_versie4_2!I127</f>
        <v>CPT</v>
      </c>
      <c r="J131" t="str">
        <f>Dbase_velden_versie4_2!J127</f>
        <v>Kenmerken van de sondering</v>
      </c>
      <c r="K131">
        <v>127</v>
      </c>
      <c r="L131" t="str">
        <v>CPT_VO</v>
      </c>
      <c r="M131" t="str">
        <v>kPa</v>
      </c>
      <c r="N131" t="str">
        <v>Verticale grondspanning σv0 (totaalspanning)</v>
      </c>
      <c r="O131" t="str">
        <v>Double</v>
      </c>
      <c r="P131">
        <v>0</v>
      </c>
      <c r="Q131" t="str">
        <v>CPT VO</v>
      </c>
      <c r="R131" t="str">
        <v>[kPa]</v>
      </c>
      <c r="S131" t="str">
        <f t="shared" si="25"/>
        <v>OK</v>
      </c>
      <c r="T131" t="str">
        <f t="shared" si="19"/>
        <v>OK</v>
      </c>
      <c r="U131" t="str">
        <f t="shared" si="20"/>
        <v>OK</v>
      </c>
      <c r="V131" t="str">
        <f t="shared" si="21"/>
        <v>OK</v>
      </c>
      <c r="W131" t="str">
        <f t="shared" si="22"/>
        <v>OK</v>
      </c>
      <c r="X131" t="str">
        <f t="shared" si="23"/>
        <v>OK</v>
      </c>
      <c r="Y131" t="str">
        <f t="shared" si="24"/>
        <v>OK</v>
      </c>
      <c r="Z131">
        <v>126</v>
      </c>
      <c r="AA131">
        <v>128</v>
      </c>
      <c r="AB131" t="s">
        <v>2421</v>
      </c>
      <c r="AC131" t="s">
        <v>127</v>
      </c>
      <c r="AD131" t="s">
        <v>470</v>
      </c>
      <c r="AE131" t="s">
        <v>607</v>
      </c>
      <c r="AG131" t="s">
        <v>897</v>
      </c>
      <c r="AI131" t="s">
        <v>2430</v>
      </c>
      <c r="AJ131" t="s">
        <v>1402</v>
      </c>
      <c r="AK131" t="s">
        <v>2421</v>
      </c>
      <c r="AL131" t="s">
        <v>2422</v>
      </c>
      <c r="AN131" t="str">
        <f t="shared" si="26"/>
        <v>OK</v>
      </c>
      <c r="AO131" t="str">
        <f t="shared" si="27"/>
        <v>OK</v>
      </c>
      <c r="AP131" t="str">
        <f t="shared" si="28"/>
        <v>OK</v>
      </c>
      <c r="AR131" t="str">
        <f t="shared" si="29"/>
        <v>OK</v>
      </c>
      <c r="AS131" t="str">
        <f t="shared" si="30"/>
        <v>OK</v>
      </c>
      <c r="AT131" t="str">
        <f t="shared" si="31"/>
        <v>NOK</v>
      </c>
      <c r="AU131" t="str">
        <f t="shared" si="32"/>
        <v>OK</v>
      </c>
      <c r="AV131" t="str">
        <f t="shared" si="33"/>
        <v>OK</v>
      </c>
      <c r="AW131" t="str">
        <f t="shared" si="34"/>
        <v>OK</v>
      </c>
    </row>
    <row r="132" spans="1:49">
      <c r="A132">
        <f>Dbase_velden_versie4_2!A128</f>
        <v>128</v>
      </c>
      <c r="B132" t="str">
        <f>Dbase_velden_versie4_2!B128</f>
        <v>CPT_KLASSE</v>
      </c>
      <c r="C132" t="str">
        <f>Dbase_velden_versie4_2!C128</f>
        <v>-</v>
      </c>
      <c r="D132" t="str">
        <f>Dbase_velden_versie4_2!D128</f>
        <v>Sonderingklasse 1 of 2</v>
      </c>
      <c r="E132" t="str">
        <f>Dbase_velden_versie4_2!E128</f>
        <v>Double</v>
      </c>
      <c r="F132">
        <f>Dbase_velden_versie4_2!F128</f>
        <v>0</v>
      </c>
      <c r="G132" t="str">
        <f>Dbase_velden_versie4_2!G128</f>
        <v>CPT KLASSE</v>
      </c>
      <c r="H132" t="str">
        <f>Dbase_velden_versie4_2!H128</f>
        <v>[-]</v>
      </c>
      <c r="I132" t="str">
        <f>Dbase_velden_versie4_2!I128</f>
        <v>CPT</v>
      </c>
      <c r="J132" t="str">
        <f>Dbase_velden_versie4_2!J128</f>
        <v>Kenmerken van de sondering</v>
      </c>
      <c r="K132">
        <v>128</v>
      </c>
      <c r="L132" t="str">
        <v>CPT_KLASSE</v>
      </c>
      <c r="M132" t="str">
        <v>-</v>
      </c>
      <c r="N132" t="str">
        <v>Sonderingklasse 1 of 2</v>
      </c>
      <c r="O132" t="str">
        <v>Double</v>
      </c>
      <c r="P132">
        <v>0</v>
      </c>
      <c r="Q132" t="str">
        <v>CPT KLASSE</v>
      </c>
      <c r="R132" t="str">
        <v>[-]</v>
      </c>
      <c r="S132" t="str">
        <f t="shared" si="25"/>
        <v>OK</v>
      </c>
      <c r="T132" t="str">
        <f t="shared" si="19"/>
        <v>OK</v>
      </c>
      <c r="U132" t="str">
        <f t="shared" si="20"/>
        <v>OK</v>
      </c>
      <c r="V132" t="str">
        <f t="shared" si="21"/>
        <v>OK</v>
      </c>
      <c r="W132" t="str">
        <f t="shared" si="22"/>
        <v>OK</v>
      </c>
      <c r="X132" t="str">
        <f t="shared" si="23"/>
        <v>OK</v>
      </c>
      <c r="Y132" t="str">
        <f t="shared" si="24"/>
        <v>OK</v>
      </c>
      <c r="Z132">
        <v>127</v>
      </c>
      <c r="AA132">
        <v>129</v>
      </c>
      <c r="AB132" t="s">
        <v>2421</v>
      </c>
      <c r="AC132" t="s">
        <v>128</v>
      </c>
      <c r="AD132" t="s">
        <v>463</v>
      </c>
      <c r="AE132" t="s">
        <v>608</v>
      </c>
      <c r="AG132" t="s">
        <v>897</v>
      </c>
      <c r="AI132" t="s">
        <v>608</v>
      </c>
      <c r="AJ132" t="s">
        <v>1395</v>
      </c>
      <c r="AK132" t="s">
        <v>2421</v>
      </c>
      <c r="AL132" t="s">
        <v>2422</v>
      </c>
      <c r="AN132" t="str">
        <f t="shared" si="26"/>
        <v>OK</v>
      </c>
      <c r="AO132" t="str">
        <f t="shared" si="27"/>
        <v>OK</v>
      </c>
      <c r="AP132" t="str">
        <f t="shared" si="28"/>
        <v>OK</v>
      </c>
      <c r="AR132" t="str">
        <f t="shared" si="29"/>
        <v>OK</v>
      </c>
      <c r="AS132" t="str">
        <f t="shared" si="30"/>
        <v>OK</v>
      </c>
      <c r="AT132" t="str">
        <f t="shared" si="31"/>
        <v>NOK</v>
      </c>
      <c r="AU132" t="str">
        <f t="shared" si="32"/>
        <v>OK</v>
      </c>
      <c r="AV132" t="str">
        <f t="shared" si="33"/>
        <v>OK</v>
      </c>
      <c r="AW132" t="str">
        <f t="shared" si="34"/>
        <v>OK</v>
      </c>
    </row>
    <row r="133" spans="1:49">
      <c r="A133">
        <f>Dbase_velden_versie4_2!A129</f>
        <v>129</v>
      </c>
      <c r="B133" t="str">
        <f>Dbase_velden_versie4_2!B129</f>
        <v>CPT_A_FACTOR</v>
      </c>
      <c r="C133" t="str">
        <f>Dbase_velden_versie4_2!C129</f>
        <v>-</v>
      </c>
      <c r="D133" t="str">
        <f>Dbase_velden_versie4_2!D129</f>
        <v>netto oppervlakteverhoudingscoëfficiënt van de conus = a</v>
      </c>
      <c r="E133" t="str">
        <f>Dbase_velden_versie4_2!E129</f>
        <v>Double</v>
      </c>
      <c r="F133">
        <f>Dbase_velden_versie4_2!F129</f>
        <v>0</v>
      </c>
      <c r="G133" t="str">
        <f>Dbase_velden_versie4_2!G129</f>
        <v>CPT A FACTOR</v>
      </c>
      <c r="H133" t="str">
        <f>Dbase_velden_versie4_2!H129</f>
        <v>[-]</v>
      </c>
      <c r="I133" t="str">
        <f>Dbase_velden_versie4_2!I129</f>
        <v>CPT</v>
      </c>
      <c r="J133" t="str">
        <f>Dbase_velden_versie4_2!J129</f>
        <v>Kenmerken van de sondering</v>
      </c>
      <c r="K133">
        <v>129</v>
      </c>
      <c r="L133" t="str">
        <v>CPT_A_FACTOR</v>
      </c>
      <c r="M133" t="str">
        <v>-</v>
      </c>
      <c r="N133" t="str">
        <v>netto oppervlakteverhoudingscoëfficiënt van de conus = a</v>
      </c>
      <c r="O133" t="str">
        <v>Double</v>
      </c>
      <c r="P133">
        <v>0</v>
      </c>
      <c r="Q133" t="str">
        <v>CPT A FACTOR</v>
      </c>
      <c r="R133" t="str">
        <v>[-]</v>
      </c>
      <c r="S133" t="str">
        <f t="shared" si="25"/>
        <v>OK</v>
      </c>
      <c r="T133" t="str">
        <f t="shared" si="19"/>
        <v>OK</v>
      </c>
      <c r="U133" t="str">
        <f t="shared" si="20"/>
        <v>OK</v>
      </c>
      <c r="V133" t="str">
        <f t="shared" si="21"/>
        <v>OK</v>
      </c>
      <c r="W133" t="str">
        <f t="shared" si="22"/>
        <v>OK</v>
      </c>
      <c r="X133" t="str">
        <f t="shared" si="23"/>
        <v>OK</v>
      </c>
      <c r="Y133" t="str">
        <f t="shared" si="24"/>
        <v>OK</v>
      </c>
      <c r="Z133">
        <v>128</v>
      </c>
      <c r="AA133">
        <v>130</v>
      </c>
      <c r="AB133" t="s">
        <v>2421</v>
      </c>
      <c r="AC133" t="s">
        <v>129</v>
      </c>
      <c r="AD133" t="s">
        <v>463</v>
      </c>
      <c r="AE133" t="s">
        <v>609</v>
      </c>
      <c r="AG133" t="s">
        <v>897</v>
      </c>
      <c r="AI133" t="s">
        <v>609</v>
      </c>
      <c r="AJ133" t="s">
        <v>1395</v>
      </c>
      <c r="AK133" t="s">
        <v>2421</v>
      </c>
      <c r="AL133" t="s">
        <v>2422</v>
      </c>
      <c r="AN133" t="str">
        <f t="shared" si="26"/>
        <v>OK</v>
      </c>
      <c r="AO133" t="str">
        <f t="shared" si="27"/>
        <v>OK</v>
      </c>
      <c r="AP133" t="str">
        <f t="shared" si="28"/>
        <v>OK</v>
      </c>
      <c r="AR133" t="str">
        <f t="shared" si="29"/>
        <v>OK</v>
      </c>
      <c r="AS133" t="str">
        <f t="shared" si="30"/>
        <v>OK</v>
      </c>
      <c r="AT133" t="str">
        <f t="shared" si="31"/>
        <v>NOK</v>
      </c>
      <c r="AU133" t="str">
        <f t="shared" si="32"/>
        <v>OK</v>
      </c>
      <c r="AV133" t="str">
        <f t="shared" si="33"/>
        <v>OK</v>
      </c>
      <c r="AW133" t="str">
        <f t="shared" si="34"/>
        <v>OK</v>
      </c>
    </row>
    <row r="134" spans="1:49">
      <c r="A134">
        <f>Dbase_velden_versie4_2!A130</f>
        <v>130</v>
      </c>
      <c r="B134" t="str">
        <f>Dbase_velden_versie4_2!B130</f>
        <v>CPT_QBALL</v>
      </c>
      <c r="C134" t="str">
        <f>Dbase_velden_versie4_2!C130</f>
        <v>kPa</v>
      </c>
      <c r="D134" t="str">
        <f>Dbase_velden_versie4_2!D130</f>
        <v>qball weerstandbolsonde</v>
      </c>
      <c r="E134" t="str">
        <f>Dbase_velden_versie4_2!E130</f>
        <v>Double</v>
      </c>
      <c r="F134">
        <f>Dbase_velden_versie4_2!F130</f>
        <v>0</v>
      </c>
      <c r="G134" t="str">
        <f>Dbase_velden_versie4_2!G130</f>
        <v>CPT QBALL</v>
      </c>
      <c r="H134" t="str">
        <f>Dbase_velden_versie4_2!H130</f>
        <v>[kPa]</v>
      </c>
      <c r="I134" t="str">
        <f>Dbase_velden_versie4_2!I130</f>
        <v>CPT</v>
      </c>
      <c r="J134" t="str">
        <f>Dbase_velden_versie4_2!J130</f>
        <v>Kenmerken van de sondering</v>
      </c>
      <c r="K134">
        <v>130</v>
      </c>
      <c r="L134" t="str">
        <v>CPT_QBALL</v>
      </c>
      <c r="M134" t="str">
        <v>kPa</v>
      </c>
      <c r="N134" t="str">
        <v>qball weerstandbolsonde</v>
      </c>
      <c r="O134" t="str">
        <v>Double</v>
      </c>
      <c r="P134">
        <v>0</v>
      </c>
      <c r="Q134" t="str">
        <v>CPT QBALL</v>
      </c>
      <c r="R134" t="str">
        <v>[kPa]</v>
      </c>
      <c r="S134" t="str">
        <f t="shared" si="25"/>
        <v>OK</v>
      </c>
      <c r="T134" t="str">
        <f t="shared" ref="T134:T197" si="35">IF(B134=L134,"OK","NOK")</f>
        <v>OK</v>
      </c>
      <c r="U134" t="str">
        <f t="shared" ref="U134:U197" si="36">IF(C134=M134,"OK","NOK")</f>
        <v>OK</v>
      </c>
      <c r="V134" t="str">
        <f t="shared" ref="V134:V197" si="37">IF(D134=N134,"OK","NOK")</f>
        <v>OK</v>
      </c>
      <c r="W134" t="str">
        <f t="shared" ref="W134:W197" si="38">IF(E134=O134,"OK","NOK")</f>
        <v>OK</v>
      </c>
      <c r="X134" t="str">
        <f t="shared" ref="X134:X197" si="39">IF(F134=P134,"OK","NOK")</f>
        <v>OK</v>
      </c>
      <c r="Y134" t="str">
        <f t="shared" ref="Y134:Y197" si="40">IF(G134=Q134,"OK","NOK")</f>
        <v>OK</v>
      </c>
      <c r="Z134">
        <v>129</v>
      </c>
      <c r="AA134">
        <v>131</v>
      </c>
      <c r="AB134" t="s">
        <v>2421</v>
      </c>
      <c r="AC134" t="s">
        <v>130</v>
      </c>
      <c r="AD134" t="s">
        <v>470</v>
      </c>
      <c r="AE134" t="s">
        <v>610</v>
      </c>
      <c r="AG134" t="s">
        <v>897</v>
      </c>
      <c r="AI134" s="25" t="s">
        <v>2431</v>
      </c>
      <c r="AJ134" t="s">
        <v>1402</v>
      </c>
      <c r="AK134" t="s">
        <v>2421</v>
      </c>
      <c r="AL134" t="s">
        <v>2422</v>
      </c>
      <c r="AN134" t="str">
        <f t="shared" si="26"/>
        <v>OK</v>
      </c>
      <c r="AO134" t="str">
        <f t="shared" si="27"/>
        <v>OK</v>
      </c>
      <c r="AP134" t="str">
        <f t="shared" si="28"/>
        <v>OK</v>
      </c>
      <c r="AR134" t="str">
        <f t="shared" si="29"/>
        <v>OK</v>
      </c>
      <c r="AS134" t="str">
        <f t="shared" si="30"/>
        <v>OK</v>
      </c>
      <c r="AT134" t="str">
        <f t="shared" si="31"/>
        <v>NOK</v>
      </c>
      <c r="AU134" t="str">
        <f t="shared" si="32"/>
        <v>OK</v>
      </c>
      <c r="AV134" t="str">
        <f t="shared" si="33"/>
        <v>OK</v>
      </c>
      <c r="AW134" t="str">
        <f t="shared" si="34"/>
        <v>OK</v>
      </c>
    </row>
    <row r="135" spans="1:49">
      <c r="A135">
        <f>Dbase_velden_versie4_2!A131</f>
        <v>131</v>
      </c>
      <c r="B135" t="str">
        <f>Dbase_velden_versie4_2!B131</f>
        <v>CRS_FILENAAM_PDF</v>
      </c>
      <c r="C135" t="str">
        <f>Dbase_velden_versie4_2!C131</f>
        <v>-</v>
      </c>
      <c r="D135" t="str">
        <f>Dbase_velden_versie4_2!D131</f>
        <v>Bestandnaam van de pdf waarin de CRS-proef is gerapporteerd</v>
      </c>
      <c r="E135" t="str">
        <f>Dbase_velden_versie4_2!E131</f>
        <v>String</v>
      </c>
      <c r="F135">
        <f>Dbase_velden_versie4_2!F131</f>
        <v>0</v>
      </c>
      <c r="G135" t="str">
        <f>Dbase_velden_versie4_2!G131</f>
        <v>CRS FILENAAM PDF</v>
      </c>
      <c r="H135" t="str">
        <f>Dbase_velden_versie4_2!H131</f>
        <v>[-]</v>
      </c>
      <c r="I135" t="str">
        <f>Dbase_velden_versie4_2!I131</f>
        <v>CRS</v>
      </c>
      <c r="J135" t="str">
        <f>Dbase_velden_versie4_2!J131</f>
        <v>CRS proef</v>
      </c>
      <c r="K135">
        <v>131</v>
      </c>
      <c r="L135" t="str">
        <v>CRS_FILENAAM_PDF</v>
      </c>
      <c r="M135" t="str">
        <v>-</v>
      </c>
      <c r="N135" t="str">
        <v>Bestandnaam van de pdf waarin de CRS-proef is gerapporteerd</v>
      </c>
      <c r="O135" t="str">
        <v>String</v>
      </c>
      <c r="P135">
        <v>0</v>
      </c>
      <c r="Q135" t="str">
        <v>CRS FILENAAM PDF</v>
      </c>
      <c r="R135" t="str">
        <v>[-]</v>
      </c>
      <c r="S135" t="str">
        <f t="shared" ref="S135:S198" si="41">IF(A135=K135,"OK","NOK")</f>
        <v>OK</v>
      </c>
      <c r="T135" t="str">
        <f t="shared" si="35"/>
        <v>OK</v>
      </c>
      <c r="U135" t="str">
        <f t="shared" si="36"/>
        <v>OK</v>
      </c>
      <c r="V135" t="str">
        <f t="shared" si="37"/>
        <v>OK</v>
      </c>
      <c r="W135" t="str">
        <f t="shared" si="38"/>
        <v>OK</v>
      </c>
      <c r="X135" t="str">
        <f t="shared" si="39"/>
        <v>OK</v>
      </c>
      <c r="Y135" t="str">
        <f t="shared" si="40"/>
        <v>OK</v>
      </c>
      <c r="Z135">
        <v>130</v>
      </c>
      <c r="AA135">
        <v>132</v>
      </c>
      <c r="AB135" t="s">
        <v>2432</v>
      </c>
      <c r="AC135" t="s">
        <v>131</v>
      </c>
      <c r="AD135" t="s">
        <v>463</v>
      </c>
      <c r="AE135" t="s">
        <v>611</v>
      </c>
      <c r="AG135" t="s">
        <v>896</v>
      </c>
      <c r="AI135" t="s">
        <v>2328</v>
      </c>
      <c r="AJ135" t="s">
        <v>1395</v>
      </c>
      <c r="AK135" t="s">
        <v>2432</v>
      </c>
      <c r="AL135" t="s">
        <v>2433</v>
      </c>
      <c r="AN135" t="str">
        <f t="shared" ref="AN135:AN198" si="42">IF(B135=AC135,"OK","NOK")</f>
        <v>OK</v>
      </c>
      <c r="AO135" t="str">
        <f t="shared" ref="AO135:AO198" si="43">IF(C135=AD135,"OK","NOK")</f>
        <v>OK</v>
      </c>
      <c r="AP135" t="str">
        <f t="shared" ref="AP135:AP198" si="44">IF(D135=AE135,"OK","NOK")</f>
        <v>OK</v>
      </c>
      <c r="AR135" t="str">
        <f t="shared" ref="AR135:AR198" si="45">IF(E135=AG135,"OK","NOK")</f>
        <v>OK</v>
      </c>
      <c r="AS135" t="str">
        <f t="shared" ref="AS135:AS198" si="46">IF(F135=AH135,"OK","NOK")</f>
        <v>OK</v>
      </c>
      <c r="AT135" t="str">
        <f t="shared" ref="AT135:AT198" si="47">IF(G135=AI135,"OK","NOK")</f>
        <v>NOK</v>
      </c>
      <c r="AU135" t="str">
        <f t="shared" ref="AU135:AU198" si="48">IF(H135=AJ135,"OK","NOK")</f>
        <v>OK</v>
      </c>
      <c r="AV135" t="str">
        <f t="shared" ref="AV135:AV198" si="49">IF(I135=AK135,"OK","NOK")</f>
        <v>OK</v>
      </c>
      <c r="AW135" t="str">
        <f t="shared" ref="AW135:AW198" si="50">IF(J135=AL135,"OK","NOK")</f>
        <v>OK</v>
      </c>
    </row>
    <row r="136" spans="1:49">
      <c r="A136">
        <f>Dbase_velden_versie4_2!A132</f>
        <v>132</v>
      </c>
      <c r="B136" t="str">
        <f>Dbase_velden_versie4_2!B132</f>
        <v>CRS_FILENAAM_SPANNINGSPAD</v>
      </c>
      <c r="C136" t="str">
        <f>Dbase_velden_versie4_2!C132</f>
        <v>-</v>
      </c>
      <c r="D136" t="str">
        <f>Dbase_velden_versie4_2!D132</f>
        <v>Bestandsnaam van de file waarin het spanningspad conform het STOWA-format is opgenomen</v>
      </c>
      <c r="E136" t="str">
        <f>Dbase_velden_versie4_2!E132</f>
        <v>String</v>
      </c>
      <c r="F136">
        <f>Dbase_velden_versie4_2!F132</f>
        <v>0</v>
      </c>
      <c r="G136" t="str">
        <f>Dbase_velden_versie4_2!G132</f>
        <v>CRS FILENAAM SPANNINGSPAD</v>
      </c>
      <c r="H136" t="str">
        <f>Dbase_velden_versie4_2!H132</f>
        <v>[-]</v>
      </c>
      <c r="I136" t="str">
        <f>Dbase_velden_versie4_2!I132</f>
        <v>CRS</v>
      </c>
      <c r="J136" t="str">
        <f>Dbase_velden_versie4_2!J132</f>
        <v>CRS proef</v>
      </c>
      <c r="K136">
        <v>132</v>
      </c>
      <c r="L136" t="str">
        <v>CRS_FILENAAM_SPANNINGSPAD</v>
      </c>
      <c r="M136" t="str">
        <v>-</v>
      </c>
      <c r="N136" t="str">
        <v>Bestandsnaam van de file waarin het spanningspad conform het STOWA-format is opgenomen</v>
      </c>
      <c r="O136" t="str">
        <v>String</v>
      </c>
      <c r="P136">
        <v>0</v>
      </c>
      <c r="Q136" t="str">
        <v>CRS FILENAAM SPANNINGSPAD</v>
      </c>
      <c r="R136" t="str">
        <v>[-]</v>
      </c>
      <c r="S136" t="str">
        <f t="shared" si="41"/>
        <v>OK</v>
      </c>
      <c r="T136" t="str">
        <f t="shared" si="35"/>
        <v>OK</v>
      </c>
      <c r="U136" t="str">
        <f t="shared" si="36"/>
        <v>OK</v>
      </c>
      <c r="V136" t="str">
        <f t="shared" si="37"/>
        <v>OK</v>
      </c>
      <c r="W136" t="str">
        <f t="shared" si="38"/>
        <v>OK</v>
      </c>
      <c r="X136" t="str">
        <f t="shared" si="39"/>
        <v>OK</v>
      </c>
      <c r="Y136" t="str">
        <f t="shared" si="40"/>
        <v>OK</v>
      </c>
      <c r="Z136">
        <v>131</v>
      </c>
      <c r="AA136">
        <v>133</v>
      </c>
      <c r="AB136" t="s">
        <v>2432</v>
      </c>
      <c r="AC136" t="s">
        <v>132</v>
      </c>
      <c r="AD136" t="s">
        <v>463</v>
      </c>
      <c r="AE136" t="s">
        <v>612</v>
      </c>
      <c r="AG136" t="s">
        <v>896</v>
      </c>
      <c r="AI136" t="s">
        <v>2434</v>
      </c>
      <c r="AJ136" t="s">
        <v>1395</v>
      </c>
      <c r="AK136" t="s">
        <v>2432</v>
      </c>
      <c r="AL136" t="s">
        <v>2433</v>
      </c>
      <c r="AN136" t="str">
        <f t="shared" si="42"/>
        <v>OK</v>
      </c>
      <c r="AO136" t="str">
        <f t="shared" si="43"/>
        <v>OK</v>
      </c>
      <c r="AP136" t="str">
        <f t="shared" si="44"/>
        <v>OK</v>
      </c>
      <c r="AR136" t="str">
        <f t="shared" si="45"/>
        <v>OK</v>
      </c>
      <c r="AS136" t="str">
        <f t="shared" si="46"/>
        <v>OK</v>
      </c>
      <c r="AT136" t="str">
        <f t="shared" si="47"/>
        <v>NOK</v>
      </c>
      <c r="AU136" t="str">
        <f t="shared" si="48"/>
        <v>OK</v>
      </c>
      <c r="AV136" t="str">
        <f t="shared" si="49"/>
        <v>OK</v>
      </c>
      <c r="AW136" t="str">
        <f t="shared" si="50"/>
        <v>OK</v>
      </c>
    </row>
    <row r="137" spans="1:49">
      <c r="A137">
        <f>Dbase_velden_versie4_2!A133</f>
        <v>133</v>
      </c>
      <c r="B137" t="str">
        <f>Dbase_velden_versie4_2!B133</f>
        <v>CRS_MONSTERID</v>
      </c>
      <c r="C137" t="str">
        <f>Dbase_velden_versie4_2!C133</f>
        <v>-</v>
      </c>
      <c r="D137" t="str">
        <f>Dbase_velden_versie4_2!D133</f>
        <v>Monsternummering van de CRS-proef</v>
      </c>
      <c r="E137" t="str">
        <f>Dbase_velden_versie4_2!E133</f>
        <v>String</v>
      </c>
      <c r="F137">
        <f>Dbase_velden_versie4_2!F133</f>
        <v>0</v>
      </c>
      <c r="G137" t="str">
        <f>Dbase_velden_versie4_2!G133</f>
        <v>CRS MONSTERID</v>
      </c>
      <c r="H137" t="str">
        <f>Dbase_velden_versie4_2!H133</f>
        <v>[-]</v>
      </c>
      <c r="I137" t="str">
        <f>Dbase_velden_versie4_2!I133</f>
        <v>CRS</v>
      </c>
      <c r="J137" t="str">
        <f>Dbase_velden_versie4_2!J133</f>
        <v>CRS proef</v>
      </c>
      <c r="K137">
        <v>133</v>
      </c>
      <c r="L137" t="str">
        <v>CRS_MONSTERID</v>
      </c>
      <c r="M137" t="str">
        <v>-</v>
      </c>
      <c r="N137" t="str">
        <v>Monsternummering van de CRS-proef</v>
      </c>
      <c r="O137" t="str">
        <v>String</v>
      </c>
      <c r="P137">
        <v>0</v>
      </c>
      <c r="Q137" t="str">
        <v>CRS MONSTERID</v>
      </c>
      <c r="R137" t="str">
        <v>[-]</v>
      </c>
      <c r="S137" t="str">
        <f t="shared" si="41"/>
        <v>OK</v>
      </c>
      <c r="T137" t="str">
        <f t="shared" si="35"/>
        <v>OK</v>
      </c>
      <c r="U137" t="str">
        <f t="shared" si="36"/>
        <v>OK</v>
      </c>
      <c r="V137" t="str">
        <f t="shared" si="37"/>
        <v>OK</v>
      </c>
      <c r="W137" t="str">
        <f t="shared" si="38"/>
        <v>OK</v>
      </c>
      <c r="X137" t="str">
        <f t="shared" si="39"/>
        <v>OK</v>
      </c>
      <c r="Y137" t="str">
        <f t="shared" si="40"/>
        <v>OK</v>
      </c>
      <c r="Z137">
        <v>132</v>
      </c>
      <c r="AA137">
        <v>134</v>
      </c>
      <c r="AB137" t="s">
        <v>2432</v>
      </c>
      <c r="AC137" t="s">
        <v>133</v>
      </c>
      <c r="AD137" t="s">
        <v>463</v>
      </c>
      <c r="AE137" t="s">
        <v>613</v>
      </c>
      <c r="AG137" t="s">
        <v>896</v>
      </c>
      <c r="AI137" t="s">
        <v>2348</v>
      </c>
      <c r="AJ137" t="s">
        <v>1395</v>
      </c>
      <c r="AK137" t="s">
        <v>2432</v>
      </c>
      <c r="AL137" t="s">
        <v>2433</v>
      </c>
      <c r="AN137" t="str">
        <f t="shared" si="42"/>
        <v>OK</v>
      </c>
      <c r="AO137" t="str">
        <f t="shared" si="43"/>
        <v>OK</v>
      </c>
      <c r="AP137" t="str">
        <f t="shared" si="44"/>
        <v>OK</v>
      </c>
      <c r="AR137" t="str">
        <f t="shared" si="45"/>
        <v>OK</v>
      </c>
      <c r="AS137" t="str">
        <f t="shared" si="46"/>
        <v>OK</v>
      </c>
      <c r="AT137" t="str">
        <f t="shared" si="47"/>
        <v>NOK</v>
      </c>
      <c r="AU137" t="str">
        <f t="shared" si="48"/>
        <v>OK</v>
      </c>
      <c r="AV137" t="str">
        <f t="shared" si="49"/>
        <v>OK</v>
      </c>
      <c r="AW137" t="str">
        <f t="shared" si="50"/>
        <v>OK</v>
      </c>
    </row>
    <row r="138" spans="1:49">
      <c r="A138">
        <f>Dbase_velden_versie4_2!A134</f>
        <v>134</v>
      </c>
      <c r="B138" t="str">
        <f>Dbase_velden_versie4_2!B134</f>
        <v>CRS_LABORATORIUM</v>
      </c>
      <c r="C138" t="str">
        <f>Dbase_velden_versie4_2!C134</f>
        <v>-</v>
      </c>
      <c r="D138" t="str">
        <f>Dbase_velden_versie4_2!D134</f>
        <v>Laboratorium waar de CRS-proef is uitgevoerd</v>
      </c>
      <c r="E138" t="str">
        <f>Dbase_velden_versie4_2!E134</f>
        <v>String</v>
      </c>
      <c r="F138">
        <f>Dbase_velden_versie4_2!F134</f>
        <v>0</v>
      </c>
      <c r="G138" t="str">
        <f>Dbase_velden_versie4_2!G134</f>
        <v>CRS LABORATORIUM</v>
      </c>
      <c r="H138" t="str">
        <f>Dbase_velden_versie4_2!H134</f>
        <v>[-]</v>
      </c>
      <c r="I138" t="str">
        <f>Dbase_velden_versie4_2!I134</f>
        <v>CRS</v>
      </c>
      <c r="J138" t="str">
        <f>Dbase_velden_versie4_2!J134</f>
        <v>CRS proef</v>
      </c>
      <c r="K138">
        <v>134</v>
      </c>
      <c r="L138" t="str">
        <v>CRS_LABORATORIUM</v>
      </c>
      <c r="M138" t="str">
        <v>-</v>
      </c>
      <c r="N138" t="str">
        <v>Laboratorium waar de CRS-proef is uitgevoerd</v>
      </c>
      <c r="O138" t="str">
        <v>String</v>
      </c>
      <c r="P138">
        <v>0</v>
      </c>
      <c r="Q138" t="str">
        <v>CRS LABORATORIUM</v>
      </c>
      <c r="R138" t="str">
        <v>[-]</v>
      </c>
      <c r="S138" t="str">
        <f t="shared" si="41"/>
        <v>OK</v>
      </c>
      <c r="T138" t="str">
        <f t="shared" si="35"/>
        <v>OK</v>
      </c>
      <c r="U138" t="str">
        <f t="shared" si="36"/>
        <v>OK</v>
      </c>
      <c r="V138" t="str">
        <f t="shared" si="37"/>
        <v>OK</v>
      </c>
      <c r="W138" t="str">
        <f t="shared" si="38"/>
        <v>OK</v>
      </c>
      <c r="X138" t="str">
        <f t="shared" si="39"/>
        <v>OK</v>
      </c>
      <c r="Y138" t="str">
        <f t="shared" si="40"/>
        <v>OK</v>
      </c>
      <c r="Z138">
        <v>133</v>
      </c>
      <c r="AA138">
        <v>135</v>
      </c>
      <c r="AB138" t="s">
        <v>2432</v>
      </c>
      <c r="AC138" t="s">
        <v>134</v>
      </c>
      <c r="AD138" t="s">
        <v>463</v>
      </c>
      <c r="AE138" t="s">
        <v>614</v>
      </c>
      <c r="AG138" t="s">
        <v>896</v>
      </c>
      <c r="AI138" t="s">
        <v>2391</v>
      </c>
      <c r="AJ138" t="s">
        <v>1395</v>
      </c>
      <c r="AK138" t="s">
        <v>2432</v>
      </c>
      <c r="AL138" t="s">
        <v>2433</v>
      </c>
      <c r="AN138" t="str">
        <f t="shared" si="42"/>
        <v>OK</v>
      </c>
      <c r="AO138" t="str">
        <f t="shared" si="43"/>
        <v>OK</v>
      </c>
      <c r="AP138" t="str">
        <f t="shared" si="44"/>
        <v>OK</v>
      </c>
      <c r="AR138" t="str">
        <f t="shared" si="45"/>
        <v>OK</v>
      </c>
      <c r="AS138" t="str">
        <f t="shared" si="46"/>
        <v>OK</v>
      </c>
      <c r="AT138" t="str">
        <f t="shared" si="47"/>
        <v>NOK</v>
      </c>
      <c r="AU138" t="str">
        <f t="shared" si="48"/>
        <v>OK</v>
      </c>
      <c r="AV138" t="str">
        <f t="shared" si="49"/>
        <v>OK</v>
      </c>
      <c r="AW138" t="str">
        <f t="shared" si="50"/>
        <v>OK</v>
      </c>
    </row>
    <row r="139" spans="1:49">
      <c r="A139">
        <f>Dbase_velden_versie4_2!A135</f>
        <v>135</v>
      </c>
      <c r="B139" t="str">
        <f>Dbase_velden_versie4_2!B135</f>
        <v>CRS_NORM</v>
      </c>
      <c r="C139" t="str">
        <f>Dbase_velden_versie4_2!C135</f>
        <v>-</v>
      </c>
      <c r="D139" t="str">
        <f>Dbase_velden_versie4_2!D135</f>
        <v>Bij de uitvoering van de CRS-proef aangehouden normen</v>
      </c>
      <c r="E139" t="str">
        <f>Dbase_velden_versie4_2!E135</f>
        <v>String</v>
      </c>
      <c r="F139">
        <f>Dbase_velden_versie4_2!F135</f>
        <v>0</v>
      </c>
      <c r="G139" t="str">
        <f>Dbase_velden_versie4_2!G135</f>
        <v>CRS NORM</v>
      </c>
      <c r="H139" t="str">
        <f>Dbase_velden_versie4_2!H135</f>
        <v>[-]</v>
      </c>
      <c r="I139" t="str">
        <f>Dbase_velden_versie4_2!I135</f>
        <v>CRS</v>
      </c>
      <c r="J139" t="str">
        <f>Dbase_velden_versie4_2!J135</f>
        <v>CRS proef</v>
      </c>
      <c r="K139">
        <v>135</v>
      </c>
      <c r="L139" t="str">
        <v>CRS_NORM</v>
      </c>
      <c r="M139" t="str">
        <v>-</v>
      </c>
      <c r="N139" t="str">
        <v>Bij de uitvoering van de CRS-proef aangehouden normen</v>
      </c>
      <c r="O139" t="str">
        <v>String</v>
      </c>
      <c r="P139">
        <v>0</v>
      </c>
      <c r="Q139" t="str">
        <v>CRS NORM</v>
      </c>
      <c r="R139" t="str">
        <v>[-]</v>
      </c>
      <c r="S139" t="str">
        <f t="shared" si="41"/>
        <v>OK</v>
      </c>
      <c r="T139" t="str">
        <f t="shared" si="35"/>
        <v>OK</v>
      </c>
      <c r="U139" t="str">
        <f t="shared" si="36"/>
        <v>OK</v>
      </c>
      <c r="V139" t="str">
        <f t="shared" si="37"/>
        <v>OK</v>
      </c>
      <c r="W139" t="str">
        <f t="shared" si="38"/>
        <v>OK</v>
      </c>
      <c r="X139" t="str">
        <f t="shared" si="39"/>
        <v>OK</v>
      </c>
      <c r="Y139" t="str">
        <f t="shared" si="40"/>
        <v>OK</v>
      </c>
      <c r="Z139">
        <v>134</v>
      </c>
      <c r="AA139">
        <v>136</v>
      </c>
      <c r="AB139" t="s">
        <v>2432</v>
      </c>
      <c r="AC139" t="s">
        <v>135</v>
      </c>
      <c r="AD139" t="s">
        <v>463</v>
      </c>
      <c r="AE139" t="s">
        <v>615</v>
      </c>
      <c r="AG139" t="s">
        <v>896</v>
      </c>
      <c r="AI139" t="s">
        <v>2435</v>
      </c>
      <c r="AJ139" t="s">
        <v>1395</v>
      </c>
      <c r="AK139" t="s">
        <v>2432</v>
      </c>
      <c r="AL139" t="s">
        <v>2433</v>
      </c>
      <c r="AN139" t="str">
        <f t="shared" si="42"/>
        <v>OK</v>
      </c>
      <c r="AO139" t="str">
        <f t="shared" si="43"/>
        <v>OK</v>
      </c>
      <c r="AP139" t="str">
        <f t="shared" si="44"/>
        <v>OK</v>
      </c>
      <c r="AR139" t="str">
        <f t="shared" si="45"/>
        <v>OK</v>
      </c>
      <c r="AS139" t="str">
        <f t="shared" si="46"/>
        <v>OK</v>
      </c>
      <c r="AT139" t="str">
        <f t="shared" si="47"/>
        <v>NOK</v>
      </c>
      <c r="AU139" t="str">
        <f t="shared" si="48"/>
        <v>OK</v>
      </c>
      <c r="AV139" t="str">
        <f t="shared" si="49"/>
        <v>OK</v>
      </c>
      <c r="AW139" t="str">
        <f t="shared" si="50"/>
        <v>OK</v>
      </c>
    </row>
    <row r="140" spans="1:49">
      <c r="A140">
        <f>Dbase_velden_versie4_2!A136</f>
        <v>136</v>
      </c>
      <c r="B140" t="str">
        <f>Dbase_velden_versie4_2!B136</f>
        <v>CRS_DATUM</v>
      </c>
      <c r="C140" t="str">
        <f>Dbase_velden_versie4_2!C136</f>
        <v>DD-MM-JJJJ</v>
      </c>
      <c r="D140" t="str">
        <f>Dbase_velden_versie4_2!D136</f>
        <v>Datum waarop de CRS-proef is uitgevoerd</v>
      </c>
      <c r="E140" t="str">
        <f>Dbase_velden_versie4_2!E136</f>
        <v>Date</v>
      </c>
      <c r="F140">
        <f>Dbase_velden_versie4_2!F136</f>
        <v>0</v>
      </c>
      <c r="G140" t="str">
        <f>Dbase_velden_versie4_2!G136</f>
        <v>CRS DATUM</v>
      </c>
      <c r="H140" t="str">
        <f>Dbase_velden_versie4_2!H136</f>
        <v>[DD-MM-JJJJ]</v>
      </c>
      <c r="I140" t="str">
        <f>Dbase_velden_versie4_2!I136</f>
        <v>CRS</v>
      </c>
      <c r="J140" t="str">
        <f>Dbase_velden_versie4_2!J136</f>
        <v>CRS proef</v>
      </c>
      <c r="K140">
        <v>136</v>
      </c>
      <c r="L140" t="str">
        <v>CRS_DATUM</v>
      </c>
      <c r="M140" t="str">
        <v>DD-MM-JJJJ</v>
      </c>
      <c r="N140" t="str">
        <v>Datum waarop de CRS-proef is uitgevoerd</v>
      </c>
      <c r="O140" t="str">
        <v>Date</v>
      </c>
      <c r="P140">
        <v>0</v>
      </c>
      <c r="Q140" t="str">
        <v>CRS DATUM</v>
      </c>
      <c r="R140" t="str">
        <v>[DD-MM-JJJJ]</v>
      </c>
      <c r="S140" t="str">
        <f t="shared" si="41"/>
        <v>OK</v>
      </c>
      <c r="T140" t="str">
        <f t="shared" si="35"/>
        <v>OK</v>
      </c>
      <c r="U140" t="str">
        <f t="shared" si="36"/>
        <v>OK</v>
      </c>
      <c r="V140" t="str">
        <f t="shared" si="37"/>
        <v>OK</v>
      </c>
      <c r="W140" t="str">
        <f t="shared" si="38"/>
        <v>OK</v>
      </c>
      <c r="X140" t="str">
        <f t="shared" si="39"/>
        <v>OK</v>
      </c>
      <c r="Y140" t="str">
        <f t="shared" si="40"/>
        <v>OK</v>
      </c>
      <c r="Z140">
        <v>135</v>
      </c>
      <c r="AA140">
        <v>137</v>
      </c>
      <c r="AB140" t="s">
        <v>2432</v>
      </c>
      <c r="AC140" t="s">
        <v>136</v>
      </c>
      <c r="AD140" t="s">
        <v>466</v>
      </c>
      <c r="AE140" t="s">
        <v>616</v>
      </c>
      <c r="AG140" t="s">
        <v>898</v>
      </c>
      <c r="AI140" t="s">
        <v>2327</v>
      </c>
      <c r="AJ140" t="s">
        <v>1398</v>
      </c>
      <c r="AK140" t="s">
        <v>2432</v>
      </c>
      <c r="AL140" t="s">
        <v>2433</v>
      </c>
      <c r="AN140" t="str">
        <f t="shared" si="42"/>
        <v>OK</v>
      </c>
      <c r="AO140" t="str">
        <f t="shared" si="43"/>
        <v>OK</v>
      </c>
      <c r="AP140" t="str">
        <f t="shared" si="44"/>
        <v>OK</v>
      </c>
      <c r="AR140" t="str">
        <f t="shared" si="45"/>
        <v>OK</v>
      </c>
      <c r="AS140" t="str">
        <f t="shared" si="46"/>
        <v>OK</v>
      </c>
      <c r="AT140" t="str">
        <f t="shared" si="47"/>
        <v>NOK</v>
      </c>
      <c r="AU140" t="str">
        <f t="shared" si="48"/>
        <v>OK</v>
      </c>
      <c r="AV140" t="str">
        <f t="shared" si="49"/>
        <v>OK</v>
      </c>
      <c r="AW140" t="str">
        <f t="shared" si="50"/>
        <v>OK</v>
      </c>
    </row>
    <row r="141" spans="1:49">
      <c r="A141">
        <f>Dbase_velden_versie4_2!A137</f>
        <v>137</v>
      </c>
      <c r="B141" t="str">
        <f>Dbase_velden_versie4_2!B137</f>
        <v>CRS_CLASSIFICATIE</v>
      </c>
      <c r="C141" t="str">
        <f>Dbase_velden_versie4_2!C137</f>
        <v>-</v>
      </c>
      <c r="D141" t="str">
        <f>Dbase_velden_versie4_2!D137</f>
        <v>Classificatie van de grond conform de gehanteerde norm</v>
      </c>
      <c r="E141" t="str">
        <f>Dbase_velden_versie4_2!E137</f>
        <v>String</v>
      </c>
      <c r="F141">
        <f>Dbase_velden_versie4_2!F137</f>
        <v>0</v>
      </c>
      <c r="G141" t="str">
        <f>Dbase_velden_versie4_2!G137</f>
        <v>CRS CLASSIFICATIE</v>
      </c>
      <c r="H141" t="str">
        <f>Dbase_velden_versie4_2!H137</f>
        <v>[-]</v>
      </c>
      <c r="I141" t="str">
        <f>Dbase_velden_versie4_2!I137</f>
        <v>CRS</v>
      </c>
      <c r="J141" t="str">
        <f>Dbase_velden_versie4_2!J137</f>
        <v>CRS proef</v>
      </c>
      <c r="K141">
        <v>137</v>
      </c>
      <c r="L141" t="str">
        <v>CRS_GRONDSOORT</v>
      </c>
      <c r="M141" t="str">
        <v>-</v>
      </c>
      <c r="N141" t="str">
        <v>Classificatie van de grond conform de gehanteerde norm</v>
      </c>
      <c r="O141" t="str">
        <v>String</v>
      </c>
      <c r="P141">
        <v>0</v>
      </c>
      <c r="Q141" t="str">
        <v>CRS CLASSIFICATIE</v>
      </c>
      <c r="R141" t="str">
        <v>[-]</v>
      </c>
      <c r="S141" t="str">
        <f t="shared" si="41"/>
        <v>OK</v>
      </c>
      <c r="T141" t="str">
        <f t="shared" si="35"/>
        <v>NOK</v>
      </c>
      <c r="U141" t="str">
        <f t="shared" si="36"/>
        <v>OK</v>
      </c>
      <c r="V141" t="str">
        <f t="shared" si="37"/>
        <v>OK</v>
      </c>
      <c r="W141" t="str">
        <f t="shared" si="38"/>
        <v>OK</v>
      </c>
      <c r="X141" t="str">
        <f t="shared" si="39"/>
        <v>OK</v>
      </c>
      <c r="Y141" t="str">
        <f t="shared" si="40"/>
        <v>OK</v>
      </c>
      <c r="Z141">
        <v>136</v>
      </c>
      <c r="AA141">
        <v>138</v>
      </c>
      <c r="AB141" t="s">
        <v>2432</v>
      </c>
      <c r="AC141" t="s">
        <v>2436</v>
      </c>
      <c r="AD141" t="s">
        <v>463</v>
      </c>
      <c r="AE141" t="s">
        <v>2353</v>
      </c>
      <c r="AG141" t="s">
        <v>896</v>
      </c>
      <c r="AH141" t="s">
        <v>2354</v>
      </c>
      <c r="AI141" t="s">
        <v>2355</v>
      </c>
      <c r="AJ141" t="s">
        <v>1395</v>
      </c>
      <c r="AK141" t="s">
        <v>2432</v>
      </c>
      <c r="AL141" t="s">
        <v>2433</v>
      </c>
      <c r="AN141" t="str">
        <f t="shared" si="42"/>
        <v>NOK</v>
      </c>
      <c r="AO141" t="str">
        <f t="shared" si="43"/>
        <v>OK</v>
      </c>
      <c r="AP141" t="str">
        <f t="shared" si="44"/>
        <v>NOK</v>
      </c>
      <c r="AR141" t="str">
        <f t="shared" si="45"/>
        <v>OK</v>
      </c>
      <c r="AS141" t="str">
        <f t="shared" si="46"/>
        <v>NOK</v>
      </c>
      <c r="AT141" t="str">
        <f t="shared" si="47"/>
        <v>NOK</v>
      </c>
      <c r="AU141" t="str">
        <f t="shared" si="48"/>
        <v>OK</v>
      </c>
      <c r="AV141" t="str">
        <f t="shared" si="49"/>
        <v>OK</v>
      </c>
      <c r="AW141" t="str">
        <f t="shared" si="50"/>
        <v>OK</v>
      </c>
    </row>
    <row r="142" spans="1:49">
      <c r="A142">
        <f>Dbase_velden_versie4_2!A138</f>
        <v>138</v>
      </c>
      <c r="B142" t="str">
        <f>Dbase_velden_versie4_2!B138</f>
        <v>CRS_CLASSIFICATIE_BIJMENGING</v>
      </c>
      <c r="C142" t="str">
        <f>Dbase_velden_versie4_2!C138</f>
        <v>-</v>
      </c>
      <c r="D142" t="str">
        <f>Dbase_velden_versie4_2!D138</f>
        <v>Beschrijving van de bijzondere bestanddelen of secundaire of tertiaire fracties</v>
      </c>
      <c r="E142" t="str">
        <f>Dbase_velden_versie4_2!E138</f>
        <v>String</v>
      </c>
      <c r="F142">
        <f>Dbase_velden_versie4_2!F138</f>
        <v>0</v>
      </c>
      <c r="G142" t="str">
        <f>Dbase_velden_versie4_2!G138</f>
        <v>CRS CLASSIFICATIE BIJMENGING</v>
      </c>
      <c r="H142" t="str">
        <f>Dbase_velden_versie4_2!H138</f>
        <v>[-]</v>
      </c>
      <c r="I142" t="str">
        <f>Dbase_velden_versie4_2!I138</f>
        <v>CRS</v>
      </c>
      <c r="J142" t="str">
        <f>Dbase_velden_versie4_2!J138</f>
        <v>CRS proef</v>
      </c>
      <c r="K142">
        <v>138</v>
      </c>
      <c r="L142" t="str">
        <v>CRS_OVERIGE_BESTANDDELEN</v>
      </c>
      <c r="M142" t="str">
        <v>-</v>
      </c>
      <c r="N142" t="str">
        <v>Beschrijving van de bijzondere bestanddelen of secundaire of tertiaire fracties</v>
      </c>
      <c r="O142" t="str">
        <v>String</v>
      </c>
      <c r="P142">
        <v>0</v>
      </c>
      <c r="Q142" t="str">
        <v>CRS OVERIGE BESTANDDELEN</v>
      </c>
      <c r="R142" t="str">
        <v>[-]</v>
      </c>
      <c r="S142" t="str">
        <f t="shared" si="41"/>
        <v>OK</v>
      </c>
      <c r="T142" t="str">
        <f t="shared" si="35"/>
        <v>NOK</v>
      </c>
      <c r="U142" t="str">
        <f t="shared" si="36"/>
        <v>OK</v>
      </c>
      <c r="V142" t="str">
        <f t="shared" si="37"/>
        <v>OK</v>
      </c>
      <c r="W142" t="str">
        <f t="shared" si="38"/>
        <v>OK</v>
      </c>
      <c r="X142" t="str">
        <f t="shared" si="39"/>
        <v>OK</v>
      </c>
      <c r="Y142" t="str">
        <f t="shared" si="40"/>
        <v>NOK</v>
      </c>
      <c r="Z142">
        <v>137</v>
      </c>
      <c r="AA142">
        <v>139</v>
      </c>
      <c r="AB142" t="s">
        <v>2432</v>
      </c>
      <c r="AC142" t="s">
        <v>2437</v>
      </c>
      <c r="AD142" t="s">
        <v>463</v>
      </c>
      <c r="AE142" t="s">
        <v>2394</v>
      </c>
      <c r="AG142" t="s">
        <v>896</v>
      </c>
      <c r="AI142" t="s">
        <v>2358</v>
      </c>
      <c r="AJ142" t="s">
        <v>1395</v>
      </c>
      <c r="AK142" t="s">
        <v>2432</v>
      </c>
      <c r="AL142" t="s">
        <v>2433</v>
      </c>
      <c r="AN142" t="str">
        <f t="shared" si="42"/>
        <v>NOK</v>
      </c>
      <c r="AO142" t="str">
        <f t="shared" si="43"/>
        <v>OK</v>
      </c>
      <c r="AP142" t="str">
        <f t="shared" si="44"/>
        <v>NOK</v>
      </c>
      <c r="AR142" t="str">
        <f t="shared" si="45"/>
        <v>OK</v>
      </c>
      <c r="AS142" t="str">
        <f t="shared" si="46"/>
        <v>OK</v>
      </c>
      <c r="AT142" t="str">
        <f t="shared" si="47"/>
        <v>NOK</v>
      </c>
      <c r="AU142" t="str">
        <f t="shared" si="48"/>
        <v>OK</v>
      </c>
      <c r="AV142" t="str">
        <f t="shared" si="49"/>
        <v>OK</v>
      </c>
      <c r="AW142" t="str">
        <f t="shared" si="50"/>
        <v>OK</v>
      </c>
    </row>
    <row r="143" spans="1:49">
      <c r="A143">
        <f>Dbase_velden_versie4_2!A139</f>
        <v>139</v>
      </c>
      <c r="B143" t="str">
        <f>Dbase_velden_versie4_2!B139</f>
        <v>CRS_MONSTERNIVEAU</v>
      </c>
      <c r="C143" t="str">
        <f>Dbase_velden_versie4_2!C139</f>
        <v>m NAP</v>
      </c>
      <c r="D143" t="str">
        <f>Dbase_velden_versie4_2!D139</f>
        <v>Niveau van het monster van de CRS-proef</v>
      </c>
      <c r="E143" t="str">
        <f>Dbase_velden_versie4_2!E139</f>
        <v>Double</v>
      </c>
      <c r="F143" t="str">
        <f>Dbase_velden_versie4_2!F139</f>
        <v>+10 / - 50</v>
      </c>
      <c r="G143" t="str">
        <f>Dbase_velden_versie4_2!G139</f>
        <v>CRS MONSTERNIVEAU</v>
      </c>
      <c r="H143" t="str">
        <f>Dbase_velden_versie4_2!H139</f>
        <v>[m NAP]</v>
      </c>
      <c r="I143" t="str">
        <f>Dbase_velden_versie4_2!I139</f>
        <v>CRS</v>
      </c>
      <c r="J143" t="str">
        <f>Dbase_velden_versie4_2!J139</f>
        <v>CRS proef</v>
      </c>
      <c r="K143">
        <v>139</v>
      </c>
      <c r="L143" t="str">
        <v>CRS_MONSTERNIVEAU</v>
      </c>
      <c r="M143" t="str">
        <v>m NAP</v>
      </c>
      <c r="N143" t="str">
        <v>Niveau van het monster van de CRS-proef</v>
      </c>
      <c r="O143" t="str">
        <v>Double</v>
      </c>
      <c r="P143" t="str">
        <v>+10 / - 50</v>
      </c>
      <c r="Q143" t="str">
        <v>CRS MONSTERNIVEAU</v>
      </c>
      <c r="R143" t="str">
        <v>[m NAP]</v>
      </c>
      <c r="S143" t="str">
        <f t="shared" si="41"/>
        <v>OK</v>
      </c>
      <c r="T143" t="str">
        <f t="shared" si="35"/>
        <v>OK</v>
      </c>
      <c r="U143" t="str">
        <f t="shared" si="36"/>
        <v>OK</v>
      </c>
      <c r="V143" t="str">
        <f t="shared" si="37"/>
        <v>OK</v>
      </c>
      <c r="W143" t="str">
        <f t="shared" si="38"/>
        <v>OK</v>
      </c>
      <c r="X143" t="str">
        <f t="shared" si="39"/>
        <v>OK</v>
      </c>
      <c r="Y143" t="str">
        <f t="shared" si="40"/>
        <v>OK</v>
      </c>
      <c r="Z143">
        <v>138</v>
      </c>
      <c r="AA143">
        <v>140</v>
      </c>
      <c r="AB143" t="s">
        <v>2432</v>
      </c>
      <c r="AC143" t="s">
        <v>139</v>
      </c>
      <c r="AD143" t="s">
        <v>465</v>
      </c>
      <c r="AE143" t="s">
        <v>617</v>
      </c>
      <c r="AG143" t="s">
        <v>897</v>
      </c>
      <c r="AH143" t="s">
        <v>907</v>
      </c>
      <c r="AI143" t="s">
        <v>2359</v>
      </c>
      <c r="AJ143" t="s">
        <v>1397</v>
      </c>
      <c r="AK143" t="s">
        <v>2432</v>
      </c>
      <c r="AL143" t="s">
        <v>2433</v>
      </c>
      <c r="AN143" t="str">
        <f t="shared" si="42"/>
        <v>OK</v>
      </c>
      <c r="AO143" t="str">
        <f t="shared" si="43"/>
        <v>OK</v>
      </c>
      <c r="AP143" t="str">
        <f t="shared" si="44"/>
        <v>OK</v>
      </c>
      <c r="AR143" t="str">
        <f t="shared" si="45"/>
        <v>OK</v>
      </c>
      <c r="AS143" t="str">
        <f t="shared" si="46"/>
        <v>OK</v>
      </c>
      <c r="AT143" t="str">
        <f t="shared" si="47"/>
        <v>NOK</v>
      </c>
      <c r="AU143" t="str">
        <f t="shared" si="48"/>
        <v>OK</v>
      </c>
      <c r="AV143" t="str">
        <f t="shared" si="49"/>
        <v>OK</v>
      </c>
      <c r="AW143" t="str">
        <f t="shared" si="50"/>
        <v>OK</v>
      </c>
    </row>
    <row r="144" spans="1:49">
      <c r="A144">
        <f>Dbase_velden_versie4_2!A140</f>
        <v>140</v>
      </c>
      <c r="B144" t="str">
        <f>Dbase_velden_versie4_2!B140</f>
        <v>CRS_TERREINSPANNING</v>
      </c>
      <c r="C144" t="str">
        <f>Dbase_velden_versie4_2!C140</f>
        <v>kPa</v>
      </c>
      <c r="D144" t="str">
        <f>Dbase_velden_versie4_2!D140</f>
        <v>Inschatting van de terreinspanning op het niveau van het beproefde monster</v>
      </c>
      <c r="E144" t="str">
        <f>Dbase_velden_versie4_2!E140</f>
        <v>Double</v>
      </c>
      <c r="F144">
        <f>Dbase_velden_versie4_2!F140</f>
        <v>0</v>
      </c>
      <c r="G144" t="str">
        <f>Dbase_velden_versie4_2!G140</f>
        <v>CRS TERREINSPANNING</v>
      </c>
      <c r="H144" t="str">
        <f>Dbase_velden_versie4_2!H140</f>
        <v>[kPa]</v>
      </c>
      <c r="I144" t="str">
        <f>Dbase_velden_versie4_2!I140</f>
        <v>CRS</v>
      </c>
      <c r="J144" t="str">
        <f>Dbase_velden_versie4_2!J140</f>
        <v>CRS proef</v>
      </c>
      <c r="K144">
        <v>140</v>
      </c>
      <c r="L144" t="str">
        <v>CRS_TERREINSPANNING</v>
      </c>
      <c r="M144" t="str">
        <v>kPa</v>
      </c>
      <c r="N144" t="str">
        <v>Inschatting van de terreinspanning op het niveau van het beproefde monster</v>
      </c>
      <c r="O144" t="str">
        <v>Double</v>
      </c>
      <c r="P144">
        <v>0</v>
      </c>
      <c r="Q144" t="str">
        <v>CRS TERREINSPANNING</v>
      </c>
      <c r="R144" t="str">
        <v>[kPa]</v>
      </c>
      <c r="S144" t="str">
        <f t="shared" si="41"/>
        <v>OK</v>
      </c>
      <c r="T144" t="str">
        <f t="shared" si="35"/>
        <v>OK</v>
      </c>
      <c r="U144" t="str">
        <f t="shared" si="36"/>
        <v>OK</v>
      </c>
      <c r="V144" t="str">
        <f t="shared" si="37"/>
        <v>OK</v>
      </c>
      <c r="W144" t="str">
        <f t="shared" si="38"/>
        <v>OK</v>
      </c>
      <c r="X144" t="str">
        <f t="shared" si="39"/>
        <v>OK</v>
      </c>
      <c r="Y144" t="str">
        <f t="shared" si="40"/>
        <v>OK</v>
      </c>
      <c r="Z144">
        <v>139</v>
      </c>
      <c r="AA144">
        <v>141</v>
      </c>
      <c r="AB144" t="s">
        <v>2432</v>
      </c>
      <c r="AC144" t="s">
        <v>140</v>
      </c>
      <c r="AD144" t="s">
        <v>470</v>
      </c>
      <c r="AE144" t="s">
        <v>618</v>
      </c>
      <c r="AG144" t="s">
        <v>897</v>
      </c>
      <c r="AI144" t="s">
        <v>2438</v>
      </c>
      <c r="AJ144" t="s">
        <v>1402</v>
      </c>
      <c r="AK144" t="s">
        <v>2432</v>
      </c>
      <c r="AL144" t="s">
        <v>2433</v>
      </c>
      <c r="AN144" t="str">
        <f t="shared" si="42"/>
        <v>OK</v>
      </c>
      <c r="AO144" t="str">
        <f t="shared" si="43"/>
        <v>OK</v>
      </c>
      <c r="AP144" t="str">
        <f t="shared" si="44"/>
        <v>OK</v>
      </c>
      <c r="AR144" t="str">
        <f t="shared" si="45"/>
        <v>OK</v>
      </c>
      <c r="AS144" t="str">
        <f t="shared" si="46"/>
        <v>OK</v>
      </c>
      <c r="AT144" t="str">
        <f t="shared" si="47"/>
        <v>NOK</v>
      </c>
      <c r="AU144" t="str">
        <f t="shared" si="48"/>
        <v>OK</v>
      </c>
      <c r="AV144" t="str">
        <f t="shared" si="49"/>
        <v>OK</v>
      </c>
      <c r="AW144" t="str">
        <f t="shared" si="50"/>
        <v>OK</v>
      </c>
    </row>
    <row r="145" spans="1:49">
      <c r="A145">
        <f>Dbase_velden_versie4_2!A141</f>
        <v>141</v>
      </c>
      <c r="B145" t="str">
        <f>Dbase_velden_versie4_2!B141</f>
        <v>CRS_VOLUMEGEWICHT_NAT</v>
      </c>
      <c r="C145" t="str">
        <f>Dbase_velden_versie4_2!C141</f>
        <v>kN/m3</v>
      </c>
      <c r="D145" t="str">
        <f>Dbase_velden_versie4_2!D141</f>
        <v>Resultaat van de bepaling van het initiele volumieke gewicht conform NEN5110/5111 voor uitvoering van de proef</v>
      </c>
      <c r="E145" t="str">
        <f>Dbase_velden_versie4_2!E141</f>
        <v>Double</v>
      </c>
      <c r="F145" t="str">
        <f>Dbase_velden_versie4_2!F141</f>
        <v>+5,0 - +30,0</v>
      </c>
      <c r="G145" t="str">
        <f>Dbase_velden_versie4_2!G141</f>
        <v>CRS VOLUMEGEWICHT NAT</v>
      </c>
      <c r="H145" t="str">
        <f>Dbase_velden_versie4_2!H141</f>
        <v>[kN/m3]</v>
      </c>
      <c r="I145" t="str">
        <f>Dbase_velden_versie4_2!I141</f>
        <v>CRS</v>
      </c>
      <c r="J145" t="str">
        <f>Dbase_velden_versie4_2!J141</f>
        <v>CRS proef</v>
      </c>
      <c r="K145">
        <v>141</v>
      </c>
      <c r="L145" t="str">
        <v>CRS_VOLUMEGEWICHT_NAT</v>
      </c>
      <c r="M145" t="str">
        <v>kN/m3</v>
      </c>
      <c r="N145" t="str">
        <v>Resultaat van de bepaling van het initiele volumieke gewicht conform NEN5110/5111 voor uitvoering van de proef</v>
      </c>
      <c r="O145" t="str">
        <v>Double</v>
      </c>
      <c r="P145" t="str">
        <v>+5,0 - +30,0</v>
      </c>
      <c r="Q145" t="str">
        <v>CRS VOLUMEGEWICHT NAT</v>
      </c>
      <c r="R145" t="str">
        <v>[kN/m3]</v>
      </c>
      <c r="S145" t="str">
        <f t="shared" si="41"/>
        <v>OK</v>
      </c>
      <c r="T145" t="str">
        <f t="shared" si="35"/>
        <v>OK</v>
      </c>
      <c r="U145" t="str">
        <f t="shared" si="36"/>
        <v>OK</v>
      </c>
      <c r="V145" t="str">
        <f t="shared" si="37"/>
        <v>OK</v>
      </c>
      <c r="W145" t="str">
        <f t="shared" si="38"/>
        <v>OK</v>
      </c>
      <c r="X145" t="str">
        <f t="shared" si="39"/>
        <v>OK</v>
      </c>
      <c r="Y145" t="str">
        <f t="shared" si="40"/>
        <v>OK</v>
      </c>
      <c r="Z145">
        <v>140</v>
      </c>
      <c r="AA145">
        <v>142</v>
      </c>
      <c r="AB145" t="s">
        <v>2432</v>
      </c>
      <c r="AC145" t="s">
        <v>141</v>
      </c>
      <c r="AD145" t="s">
        <v>467</v>
      </c>
      <c r="AE145" t="s">
        <v>619</v>
      </c>
      <c r="AG145" t="s">
        <v>897</v>
      </c>
      <c r="AH145" t="s">
        <v>908</v>
      </c>
      <c r="AI145" t="s">
        <v>2360</v>
      </c>
      <c r="AJ145" t="s">
        <v>1399</v>
      </c>
      <c r="AK145" t="s">
        <v>2432</v>
      </c>
      <c r="AL145" t="s">
        <v>2433</v>
      </c>
      <c r="AN145" t="str">
        <f t="shared" si="42"/>
        <v>OK</v>
      </c>
      <c r="AO145" t="str">
        <f t="shared" si="43"/>
        <v>OK</v>
      </c>
      <c r="AP145" t="str">
        <f t="shared" si="44"/>
        <v>OK</v>
      </c>
      <c r="AR145" t="str">
        <f t="shared" si="45"/>
        <v>OK</v>
      </c>
      <c r="AS145" t="str">
        <f t="shared" si="46"/>
        <v>OK</v>
      </c>
      <c r="AT145" t="str">
        <f t="shared" si="47"/>
        <v>NOK</v>
      </c>
      <c r="AU145" t="str">
        <f t="shared" si="48"/>
        <v>OK</v>
      </c>
      <c r="AV145" t="str">
        <f t="shared" si="49"/>
        <v>OK</v>
      </c>
      <c r="AW145" t="str">
        <f t="shared" si="50"/>
        <v>OK</v>
      </c>
    </row>
    <row r="146" spans="1:49">
      <c r="A146">
        <f>Dbase_velden_versie4_2!A142</f>
        <v>142</v>
      </c>
      <c r="B146" t="str">
        <f>Dbase_velden_versie4_2!B142</f>
        <v>CRS_VOLUMEGEWICHT_DRG</v>
      </c>
      <c r="C146" t="str">
        <f>Dbase_velden_versie4_2!C142</f>
        <v>kN/m3</v>
      </c>
      <c r="D146" t="str">
        <f>Dbase_velden_versie4_2!D142</f>
        <v>Resultaat van de bepaling van het droge volumieke gewicht conform NEN5110/5111 voor uitvoering van de proef</v>
      </c>
      <c r="E146" t="str">
        <f>Dbase_velden_versie4_2!E142</f>
        <v>Double</v>
      </c>
      <c r="F146" t="str">
        <f>Dbase_velden_versie4_2!F142</f>
        <v>+0,0 - +30,0</v>
      </c>
      <c r="G146" t="str">
        <f>Dbase_velden_versie4_2!G142</f>
        <v>CRS VOLUMEGEWICHT DRG</v>
      </c>
      <c r="H146" t="str">
        <f>Dbase_velden_versie4_2!H142</f>
        <v>[kN/m3]</v>
      </c>
      <c r="I146" t="str">
        <f>Dbase_velden_versie4_2!I142</f>
        <v>CRS</v>
      </c>
      <c r="J146" t="str">
        <f>Dbase_velden_versie4_2!J142</f>
        <v>CRS proef</v>
      </c>
      <c r="K146">
        <v>142</v>
      </c>
      <c r="L146" t="str">
        <v>CRS_VOLUMEGEWICHT_DRG</v>
      </c>
      <c r="M146" t="str">
        <v>kN/m3</v>
      </c>
      <c r="N146" t="str">
        <v>Resultaat van de bepaling van het droge volumieke gewicht conform NEN5110/5111 voor uitvoering van de proef</v>
      </c>
      <c r="O146" t="str">
        <v>Double</v>
      </c>
      <c r="P146" t="str">
        <v>+0,0 - +30,0</v>
      </c>
      <c r="Q146" t="str">
        <v>CRS VOLUMEGEWICHT DRG</v>
      </c>
      <c r="R146" t="str">
        <v>[kN/m3]</v>
      </c>
      <c r="S146" t="str">
        <f t="shared" si="41"/>
        <v>OK</v>
      </c>
      <c r="T146" t="str">
        <f t="shared" si="35"/>
        <v>OK</v>
      </c>
      <c r="U146" t="str">
        <f t="shared" si="36"/>
        <v>OK</v>
      </c>
      <c r="V146" t="str">
        <f t="shared" si="37"/>
        <v>OK</v>
      </c>
      <c r="W146" t="str">
        <f t="shared" si="38"/>
        <v>OK</v>
      </c>
      <c r="X146" t="str">
        <f t="shared" si="39"/>
        <v>OK</v>
      </c>
      <c r="Y146" t="str">
        <f t="shared" si="40"/>
        <v>OK</v>
      </c>
      <c r="Z146">
        <v>141</v>
      </c>
      <c r="AA146">
        <v>143</v>
      </c>
      <c r="AB146" t="s">
        <v>2432</v>
      </c>
      <c r="AC146" t="s">
        <v>142</v>
      </c>
      <c r="AD146" t="s">
        <v>467</v>
      </c>
      <c r="AE146" t="s">
        <v>620</v>
      </c>
      <c r="AG146" t="s">
        <v>897</v>
      </c>
      <c r="AH146" t="s">
        <v>909</v>
      </c>
      <c r="AI146" t="s">
        <v>2361</v>
      </c>
      <c r="AJ146" t="s">
        <v>1399</v>
      </c>
      <c r="AK146" t="s">
        <v>2432</v>
      </c>
      <c r="AL146" t="s">
        <v>2433</v>
      </c>
      <c r="AN146" t="str">
        <f t="shared" si="42"/>
        <v>OK</v>
      </c>
      <c r="AO146" t="str">
        <f t="shared" si="43"/>
        <v>OK</v>
      </c>
      <c r="AP146" t="str">
        <f t="shared" si="44"/>
        <v>OK</v>
      </c>
      <c r="AR146" t="str">
        <f t="shared" si="45"/>
        <v>OK</v>
      </c>
      <c r="AS146" t="str">
        <f t="shared" si="46"/>
        <v>OK</v>
      </c>
      <c r="AT146" t="str">
        <f t="shared" si="47"/>
        <v>NOK</v>
      </c>
      <c r="AU146" t="str">
        <f t="shared" si="48"/>
        <v>OK</v>
      </c>
      <c r="AV146" t="str">
        <f t="shared" si="49"/>
        <v>OK</v>
      </c>
      <c r="AW146" t="str">
        <f t="shared" si="50"/>
        <v>OK</v>
      </c>
    </row>
    <row r="147" spans="1:49">
      <c r="A147">
        <f>Dbase_velden_versie4_2!A143</f>
        <v>143</v>
      </c>
      <c r="B147" t="str">
        <f>Dbase_velden_versie4_2!B143</f>
        <v>CRS_WATERGEHALTE_VOOR</v>
      </c>
      <c r="C147" t="str">
        <f>Dbase_velden_versie4_2!C143</f>
        <v>%</v>
      </c>
      <c r="D147" t="str">
        <f>Dbase_velden_versie4_2!D143</f>
        <v>Resultaat van de bepaling van het initiele watergehalte conform NEN5112/5113 voor uitvoering van de proef</v>
      </c>
      <c r="E147" t="str">
        <f>Dbase_velden_versie4_2!E143</f>
        <v>Double</v>
      </c>
      <c r="F147" t="str">
        <f>Dbase_velden_versie4_2!F143</f>
        <v>0,0 - 1000,0</v>
      </c>
      <c r="G147" t="str">
        <f>Dbase_velden_versie4_2!G143</f>
        <v>CRS WATERGEHALTE VOOR</v>
      </c>
      <c r="H147" t="str">
        <f>Dbase_velden_versie4_2!H143</f>
        <v>[%]</v>
      </c>
      <c r="I147" t="str">
        <f>Dbase_velden_versie4_2!I143</f>
        <v>CRS</v>
      </c>
      <c r="J147" t="str">
        <f>Dbase_velden_versie4_2!J143</f>
        <v>CRS proef</v>
      </c>
      <c r="K147">
        <v>143</v>
      </c>
      <c r="L147" t="str">
        <v>CRS_WATERGEHALTE_VOOR</v>
      </c>
      <c r="M147" t="str">
        <v>%</v>
      </c>
      <c r="N147" t="str">
        <v>Resultaat van de bepaling van het initiele watergehalte conform NEN5112/5113 voor uitvoering van de proef</v>
      </c>
      <c r="O147" t="str">
        <v>Double</v>
      </c>
      <c r="P147" t="str">
        <v>0,0 - 1000,0</v>
      </c>
      <c r="Q147" t="str">
        <v>CRS WATERGEHALTE VOOR</v>
      </c>
      <c r="R147" t="str">
        <v>[%]</v>
      </c>
      <c r="S147" t="str">
        <f t="shared" si="41"/>
        <v>OK</v>
      </c>
      <c r="T147" t="str">
        <f t="shared" si="35"/>
        <v>OK</v>
      </c>
      <c r="U147" t="str">
        <f t="shared" si="36"/>
        <v>OK</v>
      </c>
      <c r="V147" t="str">
        <f t="shared" si="37"/>
        <v>OK</v>
      </c>
      <c r="W147" t="str">
        <f t="shared" si="38"/>
        <v>OK</v>
      </c>
      <c r="X147" t="str">
        <f t="shared" si="39"/>
        <v>OK</v>
      </c>
      <c r="Y147" t="str">
        <f t="shared" si="40"/>
        <v>OK</v>
      </c>
      <c r="Z147">
        <v>142</v>
      </c>
      <c r="AA147">
        <v>144</v>
      </c>
      <c r="AB147" t="s">
        <v>2432</v>
      </c>
      <c r="AC147" t="s">
        <v>143</v>
      </c>
      <c r="AD147" t="s">
        <v>468</v>
      </c>
      <c r="AE147" t="s">
        <v>621</v>
      </c>
      <c r="AG147" t="s">
        <v>897</v>
      </c>
      <c r="AH147" t="s">
        <v>910</v>
      </c>
      <c r="AI147" t="s">
        <v>2439</v>
      </c>
      <c r="AJ147" t="s">
        <v>1400</v>
      </c>
      <c r="AK147" t="s">
        <v>2432</v>
      </c>
      <c r="AL147" t="s">
        <v>2433</v>
      </c>
      <c r="AN147" t="str">
        <f t="shared" si="42"/>
        <v>OK</v>
      </c>
      <c r="AO147" t="str">
        <f t="shared" si="43"/>
        <v>OK</v>
      </c>
      <c r="AP147" t="str">
        <f t="shared" si="44"/>
        <v>OK</v>
      </c>
      <c r="AR147" t="str">
        <f t="shared" si="45"/>
        <v>OK</v>
      </c>
      <c r="AS147" t="str">
        <f t="shared" si="46"/>
        <v>OK</v>
      </c>
      <c r="AT147" t="str">
        <f t="shared" si="47"/>
        <v>NOK</v>
      </c>
      <c r="AU147" t="str">
        <f t="shared" si="48"/>
        <v>OK</v>
      </c>
      <c r="AV147" t="str">
        <f t="shared" si="49"/>
        <v>OK</v>
      </c>
      <c r="AW147" t="str">
        <f t="shared" si="50"/>
        <v>OK</v>
      </c>
    </row>
    <row r="148" spans="1:49">
      <c r="A148">
        <f>Dbase_velden_versie4_2!A144</f>
        <v>144</v>
      </c>
      <c r="B148" t="str">
        <f>Dbase_velden_versie4_2!B144</f>
        <v>CRS_WATERGEHALTE_NA_PROEF</v>
      </c>
      <c r="C148" t="str">
        <f>Dbase_velden_versie4_2!C144</f>
        <v>%</v>
      </c>
      <c r="D148" t="str">
        <f>Dbase_velden_versie4_2!D144</f>
        <v>Resultaat van de bepaling van het initiele watergehalte conform NEN5112/5113 na uitvoering van de proef</v>
      </c>
      <c r="E148" t="str">
        <f>Dbase_velden_versie4_2!E144</f>
        <v>Double</v>
      </c>
      <c r="F148" t="str">
        <f>Dbase_velden_versie4_2!F144</f>
        <v>0,0 - 1000,0</v>
      </c>
      <c r="G148" t="str">
        <f>Dbase_velden_versie4_2!G144</f>
        <v>CRS WATERGEHALTE NA PROEF</v>
      </c>
      <c r="H148" t="str">
        <f>Dbase_velden_versie4_2!H144</f>
        <v>[%]</v>
      </c>
      <c r="I148" t="str">
        <f>Dbase_velden_versie4_2!I144</f>
        <v>CRS</v>
      </c>
      <c r="J148" t="str">
        <f>Dbase_velden_versie4_2!J144</f>
        <v>CRS proef</v>
      </c>
      <c r="K148">
        <v>144</v>
      </c>
      <c r="L148" t="str">
        <v>CRS_WATERGEHALTE_NA_PROEF</v>
      </c>
      <c r="M148" t="str">
        <v>%</v>
      </c>
      <c r="N148" t="str">
        <v>Resultaat van de bepaling van het initiele watergehalte conform NEN5112/5113 na uitvoering van de proef</v>
      </c>
      <c r="O148" t="str">
        <v>Double</v>
      </c>
      <c r="P148" t="str">
        <v>0,0 - 1000,0</v>
      </c>
      <c r="Q148" t="str">
        <v>CRS WATERGEHALTE NA PROEF</v>
      </c>
      <c r="R148" t="str">
        <v>[%]</v>
      </c>
      <c r="S148" t="str">
        <f t="shared" si="41"/>
        <v>OK</v>
      </c>
      <c r="T148" t="str">
        <f t="shared" si="35"/>
        <v>OK</v>
      </c>
      <c r="U148" t="str">
        <f t="shared" si="36"/>
        <v>OK</v>
      </c>
      <c r="V148" t="str">
        <f t="shared" si="37"/>
        <v>OK</v>
      </c>
      <c r="W148" t="str">
        <f t="shared" si="38"/>
        <v>OK</v>
      </c>
      <c r="X148" t="str">
        <f t="shared" si="39"/>
        <v>OK</v>
      </c>
      <c r="Y148" t="str">
        <f t="shared" si="40"/>
        <v>OK</v>
      </c>
      <c r="Z148">
        <v>143</v>
      </c>
      <c r="AA148">
        <v>145</v>
      </c>
      <c r="AB148" t="s">
        <v>2432</v>
      </c>
      <c r="AC148" t="s">
        <v>144</v>
      </c>
      <c r="AD148" t="s">
        <v>468</v>
      </c>
      <c r="AE148" t="s">
        <v>622</v>
      </c>
      <c r="AG148" t="s">
        <v>897</v>
      </c>
      <c r="AH148" t="s">
        <v>910</v>
      </c>
      <c r="AI148" t="s">
        <v>2440</v>
      </c>
      <c r="AJ148" t="s">
        <v>1400</v>
      </c>
      <c r="AK148" t="s">
        <v>2432</v>
      </c>
      <c r="AL148" t="s">
        <v>2433</v>
      </c>
      <c r="AN148" t="str">
        <f t="shared" si="42"/>
        <v>OK</v>
      </c>
      <c r="AO148" t="str">
        <f t="shared" si="43"/>
        <v>OK</v>
      </c>
      <c r="AP148" t="str">
        <f t="shared" si="44"/>
        <v>OK</v>
      </c>
      <c r="AR148" t="str">
        <f t="shared" si="45"/>
        <v>OK</v>
      </c>
      <c r="AS148" t="str">
        <f t="shared" si="46"/>
        <v>OK</v>
      </c>
      <c r="AT148" t="str">
        <f t="shared" si="47"/>
        <v>NOK</v>
      </c>
      <c r="AU148" t="str">
        <f t="shared" si="48"/>
        <v>OK</v>
      </c>
      <c r="AV148" t="str">
        <f t="shared" si="49"/>
        <v>OK</v>
      </c>
      <c r="AW148" t="str">
        <f t="shared" si="50"/>
        <v>OK</v>
      </c>
    </row>
    <row r="149" spans="1:49">
      <c r="A149">
        <f>Dbase_velden_versie4_2!A145</f>
        <v>145</v>
      </c>
      <c r="B149" t="str">
        <f>Dbase_velden_versie4_2!B145</f>
        <v>CRS_VERZADIGING</v>
      </c>
      <c r="C149" t="str">
        <f>Dbase_velden_versie4_2!C145</f>
        <v>kPa</v>
      </c>
      <c r="D149" t="str">
        <f>Dbase_velden_versie4_2!D145</f>
        <v>Verzadigingsniveau van het monster</v>
      </c>
      <c r="E149" t="str">
        <f>Dbase_velden_versie4_2!E145</f>
        <v>Double</v>
      </c>
      <c r="F149" t="str">
        <f>Dbase_velden_versie4_2!F145</f>
        <v>0% - 100%</v>
      </c>
      <c r="G149" t="str">
        <f>Dbase_velden_versie4_2!G145</f>
        <v>CRS VERZADIGING</v>
      </c>
      <c r="H149" t="str">
        <f>Dbase_velden_versie4_2!H145</f>
        <v>[kPa]</v>
      </c>
      <c r="I149" t="str">
        <f>Dbase_velden_versie4_2!I145</f>
        <v>CRS</v>
      </c>
      <c r="J149" t="str">
        <f>Dbase_velden_versie4_2!J145</f>
        <v>CRS proef</v>
      </c>
      <c r="K149">
        <v>145</v>
      </c>
      <c r="L149" t="str">
        <v>CRS_VERZADIGING</v>
      </c>
      <c r="M149" t="str">
        <v>kPa</v>
      </c>
      <c r="N149" t="str">
        <v>Verzadigingsniveau van het monster</v>
      </c>
      <c r="O149" t="str">
        <v>Double</v>
      </c>
      <c r="P149" t="str">
        <v>0% - 100%</v>
      </c>
      <c r="Q149" t="str">
        <v>CRS VERZADIGING</v>
      </c>
      <c r="R149" t="str">
        <v>[kPa]</v>
      </c>
      <c r="S149" t="str">
        <f t="shared" si="41"/>
        <v>OK</v>
      </c>
      <c r="T149" t="str">
        <f t="shared" si="35"/>
        <v>OK</v>
      </c>
      <c r="U149" t="str">
        <f t="shared" si="36"/>
        <v>OK</v>
      </c>
      <c r="V149" t="str">
        <f t="shared" si="37"/>
        <v>OK</v>
      </c>
      <c r="W149" t="str">
        <f t="shared" si="38"/>
        <v>OK</v>
      </c>
      <c r="X149" t="str">
        <f t="shared" si="39"/>
        <v>OK</v>
      </c>
      <c r="Y149" t="str">
        <f t="shared" si="40"/>
        <v>OK</v>
      </c>
      <c r="Z149">
        <v>144</v>
      </c>
      <c r="AA149">
        <v>146</v>
      </c>
      <c r="AB149" t="s">
        <v>2432</v>
      </c>
      <c r="AC149" t="s">
        <v>145</v>
      </c>
      <c r="AD149" t="s">
        <v>470</v>
      </c>
      <c r="AE149" t="s">
        <v>623</v>
      </c>
      <c r="AG149" t="s">
        <v>897</v>
      </c>
      <c r="AH149" t="s">
        <v>911</v>
      </c>
      <c r="AI149" t="s">
        <v>2441</v>
      </c>
      <c r="AJ149" t="s">
        <v>1402</v>
      </c>
      <c r="AK149" t="s">
        <v>2432</v>
      </c>
      <c r="AL149" t="s">
        <v>2433</v>
      </c>
      <c r="AN149" t="str">
        <f t="shared" si="42"/>
        <v>OK</v>
      </c>
      <c r="AO149" t="str">
        <f t="shared" si="43"/>
        <v>OK</v>
      </c>
      <c r="AP149" t="str">
        <f t="shared" si="44"/>
        <v>OK</v>
      </c>
      <c r="AR149" t="str">
        <f t="shared" si="45"/>
        <v>OK</v>
      </c>
      <c r="AS149" t="str">
        <f t="shared" si="46"/>
        <v>OK</v>
      </c>
      <c r="AT149" t="str">
        <f t="shared" si="47"/>
        <v>NOK</v>
      </c>
      <c r="AU149" t="str">
        <f t="shared" si="48"/>
        <v>OK</v>
      </c>
      <c r="AV149" t="str">
        <f t="shared" si="49"/>
        <v>OK</v>
      </c>
      <c r="AW149" t="str">
        <f t="shared" si="50"/>
        <v>OK</v>
      </c>
    </row>
    <row r="150" spans="1:49">
      <c r="A150">
        <f>Dbase_velden_versie4_2!A146</f>
        <v>146</v>
      </c>
      <c r="B150" t="str">
        <f>Dbase_velden_versie4_2!B146</f>
        <v>CRS_TEMPERATUUR_PROEF_MAX</v>
      </c>
      <c r="C150" t="str">
        <f>Dbase_velden_versie4_2!C146</f>
        <v>°C</v>
      </c>
      <c r="D150" t="str">
        <f>Dbase_velden_versie4_2!D146</f>
        <v>Maximum temperatuur in het laboratorium gedurende de uitvoering van de proef</v>
      </c>
      <c r="E150" t="str">
        <f>Dbase_velden_versie4_2!E146</f>
        <v>Double</v>
      </c>
      <c r="F150" t="str">
        <f>Dbase_velden_versie4_2!F146</f>
        <v>0  / 50</v>
      </c>
      <c r="G150" t="str">
        <f>Dbase_velden_versie4_2!G146</f>
        <v>CRS TEMPERATUUR PROEF MAX</v>
      </c>
      <c r="H150" t="str">
        <f>Dbase_velden_versie4_2!H146</f>
        <v>[°C]</v>
      </c>
      <c r="I150" t="str">
        <f>Dbase_velden_versie4_2!I146</f>
        <v>CRS</v>
      </c>
      <c r="J150" t="str">
        <f>Dbase_velden_versie4_2!J146</f>
        <v>CRS proef</v>
      </c>
      <c r="K150">
        <v>146</v>
      </c>
      <c r="L150" t="str">
        <v>CRS_TEMPERATUUR_PROEF_MAX</v>
      </c>
      <c r="M150" t="str">
        <v>°C</v>
      </c>
      <c r="N150" t="str">
        <v>Maximum temperatuur in het laboratorium gedurende de uitvoering van de proef</v>
      </c>
      <c r="O150" t="str">
        <v>Double</v>
      </c>
      <c r="P150" t="str">
        <v>0  / 50</v>
      </c>
      <c r="Q150" t="str">
        <v>CRS TEMPERATUUR PROEF MAX</v>
      </c>
      <c r="R150" t="str">
        <v>[°C]</v>
      </c>
      <c r="S150" t="str">
        <f t="shared" si="41"/>
        <v>OK</v>
      </c>
      <c r="T150" t="str">
        <f t="shared" si="35"/>
        <v>OK</v>
      </c>
      <c r="U150" t="str">
        <f t="shared" si="36"/>
        <v>OK</v>
      </c>
      <c r="V150" t="str">
        <f t="shared" si="37"/>
        <v>OK</v>
      </c>
      <c r="W150" t="str">
        <f t="shared" si="38"/>
        <v>OK</v>
      </c>
      <c r="X150" t="str">
        <f t="shared" si="39"/>
        <v>OK</v>
      </c>
      <c r="Y150" t="str">
        <f t="shared" si="40"/>
        <v>OK</v>
      </c>
      <c r="Z150">
        <v>145</v>
      </c>
      <c r="AA150">
        <v>147</v>
      </c>
      <c r="AB150" t="s">
        <v>2432</v>
      </c>
      <c r="AC150" t="s">
        <v>146</v>
      </c>
      <c r="AD150" t="s">
        <v>474</v>
      </c>
      <c r="AE150" t="s">
        <v>624</v>
      </c>
      <c r="AG150" t="s">
        <v>897</v>
      </c>
      <c r="AH150" t="s">
        <v>923</v>
      </c>
      <c r="AI150" t="s">
        <v>2442</v>
      </c>
      <c r="AJ150" t="s">
        <v>1406</v>
      </c>
      <c r="AK150" t="s">
        <v>2432</v>
      </c>
      <c r="AL150" t="s">
        <v>2433</v>
      </c>
      <c r="AN150" t="str">
        <f t="shared" si="42"/>
        <v>OK</v>
      </c>
      <c r="AO150" t="str">
        <f t="shared" si="43"/>
        <v>OK</v>
      </c>
      <c r="AP150" t="str">
        <f t="shared" si="44"/>
        <v>OK</v>
      </c>
      <c r="AR150" t="str">
        <f t="shared" si="45"/>
        <v>OK</v>
      </c>
      <c r="AS150" t="str">
        <f t="shared" si="46"/>
        <v>OK</v>
      </c>
      <c r="AT150" t="str">
        <f t="shared" si="47"/>
        <v>NOK</v>
      </c>
      <c r="AU150" t="str">
        <f t="shared" si="48"/>
        <v>OK</v>
      </c>
      <c r="AV150" t="str">
        <f t="shared" si="49"/>
        <v>OK</v>
      </c>
      <c r="AW150" t="str">
        <f t="shared" si="50"/>
        <v>OK</v>
      </c>
    </row>
    <row r="151" spans="1:49">
      <c r="A151">
        <f>Dbase_velden_versie4_2!A147</f>
        <v>147</v>
      </c>
      <c r="B151" t="str">
        <f>Dbase_velden_versie4_2!B147</f>
        <v>CRS_TEMPERATUUR_PROEF_MIN</v>
      </c>
      <c r="C151" t="str">
        <f>Dbase_velden_versie4_2!C147</f>
        <v>°C</v>
      </c>
      <c r="D151" t="str">
        <f>Dbase_velden_versie4_2!D147</f>
        <v>Minimum temperatuur in het laboratorium gedurende de uitvoering van de proef</v>
      </c>
      <c r="E151" t="str">
        <f>Dbase_velden_versie4_2!E147</f>
        <v>Double</v>
      </c>
      <c r="F151" t="str">
        <f>Dbase_velden_versie4_2!F147</f>
        <v>0  / 50</v>
      </c>
      <c r="G151" t="str">
        <f>Dbase_velden_versie4_2!G147</f>
        <v>CRS TEMPERATUUR PROEF MIN</v>
      </c>
      <c r="H151" t="str">
        <f>Dbase_velden_versie4_2!H147</f>
        <v>[°C]</v>
      </c>
      <c r="I151" t="str">
        <f>Dbase_velden_versie4_2!I147</f>
        <v>CRS</v>
      </c>
      <c r="J151" t="str">
        <f>Dbase_velden_versie4_2!J147</f>
        <v>CRS proef</v>
      </c>
      <c r="K151">
        <v>147</v>
      </c>
      <c r="L151" t="str">
        <v>CRS_TEMPERATUUR_PROEF_MIN</v>
      </c>
      <c r="M151" t="str">
        <v>°C</v>
      </c>
      <c r="N151" t="str">
        <v>Minimum temperatuur in het laboratorium gedurende de uitvoering van de proef</v>
      </c>
      <c r="O151" t="str">
        <v>Double</v>
      </c>
      <c r="P151" t="str">
        <v>0  / 50</v>
      </c>
      <c r="Q151" t="str">
        <v>CRS TEMPERATUUR PROEF MIN</v>
      </c>
      <c r="R151" t="str">
        <v>[°C]</v>
      </c>
      <c r="S151" t="str">
        <f t="shared" si="41"/>
        <v>OK</v>
      </c>
      <c r="T151" t="str">
        <f t="shared" si="35"/>
        <v>OK</v>
      </c>
      <c r="U151" t="str">
        <f t="shared" si="36"/>
        <v>OK</v>
      </c>
      <c r="V151" t="str">
        <f t="shared" si="37"/>
        <v>OK</v>
      </c>
      <c r="W151" t="str">
        <f t="shared" si="38"/>
        <v>OK</v>
      </c>
      <c r="X151" t="str">
        <f t="shared" si="39"/>
        <v>OK</v>
      </c>
      <c r="Y151" t="str">
        <f t="shared" si="40"/>
        <v>OK</v>
      </c>
      <c r="Z151">
        <v>146</v>
      </c>
      <c r="AA151">
        <v>148</v>
      </c>
      <c r="AB151" t="s">
        <v>2432</v>
      </c>
      <c r="AC151" t="s">
        <v>147</v>
      </c>
      <c r="AD151" t="s">
        <v>474</v>
      </c>
      <c r="AE151" t="s">
        <v>625</v>
      </c>
      <c r="AG151" t="s">
        <v>897</v>
      </c>
      <c r="AH151" t="s">
        <v>923</v>
      </c>
      <c r="AI151" t="s">
        <v>2443</v>
      </c>
      <c r="AJ151" t="s">
        <v>1406</v>
      </c>
      <c r="AK151" t="s">
        <v>2432</v>
      </c>
      <c r="AL151" t="s">
        <v>2433</v>
      </c>
      <c r="AN151" t="str">
        <f t="shared" si="42"/>
        <v>OK</v>
      </c>
      <c r="AO151" t="str">
        <f t="shared" si="43"/>
        <v>OK</v>
      </c>
      <c r="AP151" t="str">
        <f t="shared" si="44"/>
        <v>OK</v>
      </c>
      <c r="AR151" t="str">
        <f t="shared" si="45"/>
        <v>OK</v>
      </c>
      <c r="AS151" t="str">
        <f t="shared" si="46"/>
        <v>OK</v>
      </c>
      <c r="AT151" t="str">
        <f t="shared" si="47"/>
        <v>NOK</v>
      </c>
      <c r="AU151" t="str">
        <f t="shared" si="48"/>
        <v>OK</v>
      </c>
      <c r="AV151" t="str">
        <f t="shared" si="49"/>
        <v>OK</v>
      </c>
      <c r="AW151" t="str">
        <f t="shared" si="50"/>
        <v>OK</v>
      </c>
    </row>
    <row r="152" spans="1:49">
      <c r="A152">
        <f>Dbase_velden_versie4_2!A148</f>
        <v>148</v>
      </c>
      <c r="B152" t="str">
        <f>Dbase_velden_versie4_2!B148</f>
        <v>CRS_PROEFSTUKDIAMETER_VOOR</v>
      </c>
      <c r="C152" t="str">
        <f>Dbase_velden_versie4_2!C148</f>
        <v>mm</v>
      </c>
      <c r="D152" t="str">
        <f>Dbase_velden_versie4_2!D148</f>
        <v>Diameter van het proefstuk dat in het CRS-apparaat is beproefd voor beproeving</v>
      </c>
      <c r="E152" t="str">
        <f>Dbase_velden_versie4_2!E148</f>
        <v>Double</v>
      </c>
      <c r="F152" t="str">
        <f>Dbase_velden_versie4_2!F148</f>
        <v>0 - 1000</v>
      </c>
      <c r="G152" t="str">
        <f>Dbase_velden_versie4_2!G148</f>
        <v>CRS PROEFSTUKDIAMETER VOOR</v>
      </c>
      <c r="H152" t="str">
        <f>Dbase_velden_versie4_2!H148</f>
        <v>[mm]</v>
      </c>
      <c r="I152" t="str">
        <f>Dbase_velden_versie4_2!I148</f>
        <v>CRS</v>
      </c>
      <c r="J152" t="str">
        <f>Dbase_velden_versie4_2!J148</f>
        <v>CRS proef</v>
      </c>
      <c r="K152">
        <v>148</v>
      </c>
      <c r="L152" t="str">
        <v>CRS_PROEFSTUKDIAMETER_VOOR</v>
      </c>
      <c r="M152" t="str">
        <v>mm</v>
      </c>
      <c r="N152" t="str">
        <v>Diameter van het proefstuk dat in het CRS-apparaat is beproefd voor beproeving</v>
      </c>
      <c r="O152" t="str">
        <v>Double</v>
      </c>
      <c r="P152" t="str">
        <v>0 - 1000</v>
      </c>
      <c r="Q152" t="str">
        <v>CRS PROEFSTUKDIAMETER VOOR</v>
      </c>
      <c r="R152" t="str">
        <v>[mm]</v>
      </c>
      <c r="S152" t="str">
        <f t="shared" si="41"/>
        <v>OK</v>
      </c>
      <c r="T152" t="str">
        <f t="shared" si="35"/>
        <v>OK</v>
      </c>
      <c r="U152" t="str">
        <f t="shared" si="36"/>
        <v>OK</v>
      </c>
      <c r="V152" t="str">
        <f t="shared" si="37"/>
        <v>OK</v>
      </c>
      <c r="W152" t="str">
        <f t="shared" si="38"/>
        <v>OK</v>
      </c>
      <c r="X152" t="str">
        <f t="shared" si="39"/>
        <v>OK</v>
      </c>
      <c r="Y152" t="str">
        <f t="shared" si="40"/>
        <v>OK</v>
      </c>
      <c r="Z152">
        <v>147</v>
      </c>
      <c r="AA152">
        <v>149</v>
      </c>
      <c r="AB152" t="s">
        <v>2432</v>
      </c>
      <c r="AC152" t="s">
        <v>148</v>
      </c>
      <c r="AD152" t="s">
        <v>475</v>
      </c>
      <c r="AE152" t="s">
        <v>626</v>
      </c>
      <c r="AG152" t="s">
        <v>897</v>
      </c>
      <c r="AH152" t="s">
        <v>915</v>
      </c>
      <c r="AI152" t="s">
        <v>2444</v>
      </c>
      <c r="AJ152" t="s">
        <v>1407</v>
      </c>
      <c r="AK152" t="s">
        <v>2432</v>
      </c>
      <c r="AL152" t="s">
        <v>2433</v>
      </c>
      <c r="AN152" t="str">
        <f t="shared" si="42"/>
        <v>OK</v>
      </c>
      <c r="AO152" t="str">
        <f t="shared" si="43"/>
        <v>OK</v>
      </c>
      <c r="AP152" t="str">
        <f t="shared" si="44"/>
        <v>OK</v>
      </c>
      <c r="AR152" t="str">
        <f t="shared" si="45"/>
        <v>OK</v>
      </c>
      <c r="AS152" t="str">
        <f t="shared" si="46"/>
        <v>OK</v>
      </c>
      <c r="AT152" t="str">
        <f t="shared" si="47"/>
        <v>NOK</v>
      </c>
      <c r="AU152" t="str">
        <f t="shared" si="48"/>
        <v>OK</v>
      </c>
      <c r="AV152" t="str">
        <f t="shared" si="49"/>
        <v>OK</v>
      </c>
      <c r="AW152" t="str">
        <f t="shared" si="50"/>
        <v>OK</v>
      </c>
    </row>
    <row r="153" spans="1:49">
      <c r="A153">
        <f>Dbase_velden_versie4_2!A149</f>
        <v>149</v>
      </c>
      <c r="B153" t="str">
        <f>Dbase_velden_versie4_2!B149</f>
        <v>CRS_PROEFSTUKHOOGTE_VOOR</v>
      </c>
      <c r="C153" t="str">
        <f>Dbase_velden_versie4_2!C149</f>
        <v>mm</v>
      </c>
      <c r="D153" t="str">
        <f>Dbase_velden_versie4_2!D149</f>
        <v>Hoogte van het proefstuk dat in het CRS-apparaat is beproefd voor beproeving</v>
      </c>
      <c r="E153" t="str">
        <f>Dbase_velden_versie4_2!E149</f>
        <v>Double</v>
      </c>
      <c r="F153" t="str">
        <f>Dbase_velden_versie4_2!F149</f>
        <v>0 - 1000</v>
      </c>
      <c r="G153" t="str">
        <f>Dbase_velden_versie4_2!G149</f>
        <v>CRS PROEFSTUKHOOGTE VOOR</v>
      </c>
      <c r="H153" t="str">
        <f>Dbase_velden_versie4_2!H149</f>
        <v>[mm]</v>
      </c>
      <c r="I153" t="str">
        <f>Dbase_velden_versie4_2!I149</f>
        <v>CRS</v>
      </c>
      <c r="J153" t="str">
        <f>Dbase_velden_versie4_2!J149</f>
        <v>CRS proef</v>
      </c>
      <c r="K153">
        <v>149</v>
      </c>
      <c r="L153" t="str">
        <v>CRS_PROEFSTUKHOOGTE_VOOR</v>
      </c>
      <c r="M153" t="str">
        <v>mm</v>
      </c>
      <c r="N153" t="str">
        <v>Hoogte van het proefstuk dat in het CRS-apparaat is beproefd voor beproeving</v>
      </c>
      <c r="O153" t="str">
        <v>Double</v>
      </c>
      <c r="P153" t="str">
        <v>0 - 1000</v>
      </c>
      <c r="Q153" t="str">
        <v>CRS PROEFSTUKHOOGTE VOOR</v>
      </c>
      <c r="R153" t="str">
        <v>[mm]</v>
      </c>
      <c r="S153" t="str">
        <f t="shared" si="41"/>
        <v>OK</v>
      </c>
      <c r="T153" t="str">
        <f t="shared" si="35"/>
        <v>OK</v>
      </c>
      <c r="U153" t="str">
        <f t="shared" si="36"/>
        <v>OK</v>
      </c>
      <c r="V153" t="str">
        <f t="shared" si="37"/>
        <v>OK</v>
      </c>
      <c r="W153" t="str">
        <f t="shared" si="38"/>
        <v>OK</v>
      </c>
      <c r="X153" t="str">
        <f t="shared" si="39"/>
        <v>OK</v>
      </c>
      <c r="Y153" t="str">
        <f t="shared" si="40"/>
        <v>OK</v>
      </c>
      <c r="Z153">
        <v>148</v>
      </c>
      <c r="AA153">
        <v>150</v>
      </c>
      <c r="AB153" t="s">
        <v>2432</v>
      </c>
      <c r="AC153" t="s">
        <v>149</v>
      </c>
      <c r="AD153" t="s">
        <v>475</v>
      </c>
      <c r="AE153" t="s">
        <v>627</v>
      </c>
      <c r="AG153" t="s">
        <v>897</v>
      </c>
      <c r="AH153" t="s">
        <v>915</v>
      </c>
      <c r="AI153" t="s">
        <v>2445</v>
      </c>
      <c r="AJ153" t="s">
        <v>1407</v>
      </c>
      <c r="AK153" t="s">
        <v>2432</v>
      </c>
      <c r="AL153" t="s">
        <v>2433</v>
      </c>
      <c r="AN153" t="str">
        <f t="shared" si="42"/>
        <v>OK</v>
      </c>
      <c r="AO153" t="str">
        <f t="shared" si="43"/>
        <v>OK</v>
      </c>
      <c r="AP153" t="str">
        <f t="shared" si="44"/>
        <v>OK</v>
      </c>
      <c r="AR153" t="str">
        <f t="shared" si="45"/>
        <v>OK</v>
      </c>
      <c r="AS153" t="str">
        <f t="shared" si="46"/>
        <v>OK</v>
      </c>
      <c r="AT153" t="str">
        <f t="shared" si="47"/>
        <v>NOK</v>
      </c>
      <c r="AU153" t="str">
        <f t="shared" si="48"/>
        <v>OK</v>
      </c>
      <c r="AV153" t="str">
        <f t="shared" si="49"/>
        <v>OK</v>
      </c>
      <c r="AW153" t="str">
        <f t="shared" si="50"/>
        <v>OK</v>
      </c>
    </row>
    <row r="154" spans="1:49">
      <c r="A154">
        <f>Dbase_velden_versie4_2!A150</f>
        <v>150</v>
      </c>
      <c r="B154" t="str">
        <f>Dbase_velden_versie4_2!B150</f>
        <v>CRS_PROEFSTUKHOOGTE_NA_VERZADIGING</v>
      </c>
      <c r="C154" t="str">
        <f>Dbase_velden_versie4_2!C150</f>
        <v>mm</v>
      </c>
      <c r="D154" t="str">
        <f>Dbase_velden_versie4_2!D150</f>
        <v>Hoogte van het proefstuk dat in het CRS-apparaat is beproefd na verzadiging</v>
      </c>
      <c r="E154" t="str">
        <f>Dbase_velden_versie4_2!E150</f>
        <v>Double</v>
      </c>
      <c r="F154" t="str">
        <f>Dbase_velden_versie4_2!F150</f>
        <v>0 - 1000</v>
      </c>
      <c r="G154" t="str">
        <f>Dbase_velden_versie4_2!G150</f>
        <v>CRS PROEFSTUKHOOGTE NA VERZADIGING</v>
      </c>
      <c r="H154" t="str">
        <f>Dbase_velden_versie4_2!H150</f>
        <v>[mm]</v>
      </c>
      <c r="I154" t="str">
        <f>Dbase_velden_versie4_2!I150</f>
        <v>CRS</v>
      </c>
      <c r="J154" t="str">
        <f>Dbase_velden_versie4_2!J150</f>
        <v>CRS proef</v>
      </c>
      <c r="K154">
        <v>150</v>
      </c>
      <c r="L154" t="str">
        <v>CRS_PROEFSTUKHOOGTE_NA_VERZADIGING</v>
      </c>
      <c r="M154" t="str">
        <v>mm</v>
      </c>
      <c r="N154" t="str">
        <v>Hoogte van het proefstuk dat in het CRS-apparaat is beproefd na verzadiging</v>
      </c>
      <c r="O154" t="str">
        <v>Double</v>
      </c>
      <c r="P154" t="str">
        <v>0 - 1000</v>
      </c>
      <c r="Q154" t="str">
        <v>CRS PROEFSTUKHOOGTE NA VERZADIGING</v>
      </c>
      <c r="R154" t="str">
        <v>[mm]</v>
      </c>
      <c r="S154" t="str">
        <f t="shared" si="41"/>
        <v>OK</v>
      </c>
      <c r="T154" t="str">
        <f t="shared" si="35"/>
        <v>OK</v>
      </c>
      <c r="U154" t="str">
        <f t="shared" si="36"/>
        <v>OK</v>
      </c>
      <c r="V154" t="str">
        <f t="shared" si="37"/>
        <v>OK</v>
      </c>
      <c r="W154" t="str">
        <f t="shared" si="38"/>
        <v>OK</v>
      </c>
      <c r="X154" t="str">
        <f t="shared" si="39"/>
        <v>OK</v>
      </c>
      <c r="Y154" t="str">
        <f t="shared" si="40"/>
        <v>OK</v>
      </c>
      <c r="Z154">
        <v>149</v>
      </c>
      <c r="AA154">
        <v>151</v>
      </c>
      <c r="AB154" t="s">
        <v>2432</v>
      </c>
      <c r="AC154" t="s">
        <v>150</v>
      </c>
      <c r="AD154" t="s">
        <v>475</v>
      </c>
      <c r="AE154" t="s">
        <v>628</v>
      </c>
      <c r="AG154" t="s">
        <v>897</v>
      </c>
      <c r="AH154" t="s">
        <v>915</v>
      </c>
      <c r="AI154" t="s">
        <v>2446</v>
      </c>
      <c r="AJ154" t="s">
        <v>1407</v>
      </c>
      <c r="AK154" t="s">
        <v>2432</v>
      </c>
      <c r="AL154" t="s">
        <v>2433</v>
      </c>
      <c r="AN154" t="str">
        <f t="shared" si="42"/>
        <v>OK</v>
      </c>
      <c r="AO154" t="str">
        <f t="shared" si="43"/>
        <v>OK</v>
      </c>
      <c r="AP154" t="str">
        <f t="shared" si="44"/>
        <v>OK</v>
      </c>
      <c r="AR154" t="str">
        <f t="shared" si="45"/>
        <v>OK</v>
      </c>
      <c r="AS154" t="str">
        <f t="shared" si="46"/>
        <v>OK</v>
      </c>
      <c r="AT154" t="str">
        <f t="shared" si="47"/>
        <v>NOK</v>
      </c>
      <c r="AU154" t="str">
        <f t="shared" si="48"/>
        <v>OK</v>
      </c>
      <c r="AV154" t="str">
        <f t="shared" si="49"/>
        <v>OK</v>
      </c>
      <c r="AW154" t="str">
        <f t="shared" si="50"/>
        <v>OK</v>
      </c>
    </row>
    <row r="155" spans="1:49">
      <c r="A155">
        <f>Dbase_velden_versie4_2!A151</f>
        <v>151</v>
      </c>
      <c r="B155" t="str">
        <f>Dbase_velden_versie4_2!B151</f>
        <v>CRS_PROEFSTUKHOOGTE_NA_PROEF</v>
      </c>
      <c r="C155" t="str">
        <f>Dbase_velden_versie4_2!C151</f>
        <v>mm</v>
      </c>
      <c r="D155" t="str">
        <f>Dbase_velden_versie4_2!D151</f>
        <v>Hoogte van het proefstuk dat in het CRS-apparaat is beproefd na beproeving</v>
      </c>
      <c r="E155" t="str">
        <f>Dbase_velden_versie4_2!E151</f>
        <v>Double</v>
      </c>
      <c r="F155" t="str">
        <f>Dbase_velden_versie4_2!F151</f>
        <v>0 - 1000</v>
      </c>
      <c r="G155" t="str">
        <f>Dbase_velden_versie4_2!G151</f>
        <v>CRS PROEFSTUKHOOGTE NA PROEF</v>
      </c>
      <c r="H155" t="str">
        <f>Dbase_velden_versie4_2!H151</f>
        <v>[mm]</v>
      </c>
      <c r="I155" t="str">
        <f>Dbase_velden_versie4_2!I151</f>
        <v>CRS</v>
      </c>
      <c r="J155" t="str">
        <f>Dbase_velden_versie4_2!J151</f>
        <v>CRS proef</v>
      </c>
      <c r="K155">
        <v>151</v>
      </c>
      <c r="L155" t="str">
        <v>CRS_PROEFSTUKHOOGTE_NA_PROEF</v>
      </c>
      <c r="M155" t="str">
        <v>mm</v>
      </c>
      <c r="N155" t="str">
        <v>Hoogte van het proefstuk dat in het CRS-apparaat is beproefd na beproeving</v>
      </c>
      <c r="O155" t="str">
        <v>Double</v>
      </c>
      <c r="P155" t="str">
        <v>0 - 1000</v>
      </c>
      <c r="Q155" t="str">
        <v>CRS PROEFSTUKHOOGTE NA PROEF</v>
      </c>
      <c r="R155" t="str">
        <v>[mm]</v>
      </c>
      <c r="S155" t="str">
        <f t="shared" si="41"/>
        <v>OK</v>
      </c>
      <c r="T155" t="str">
        <f t="shared" si="35"/>
        <v>OK</v>
      </c>
      <c r="U155" t="str">
        <f t="shared" si="36"/>
        <v>OK</v>
      </c>
      <c r="V155" t="str">
        <f t="shared" si="37"/>
        <v>OK</v>
      </c>
      <c r="W155" t="str">
        <f t="shared" si="38"/>
        <v>OK</v>
      </c>
      <c r="X155" t="str">
        <f t="shared" si="39"/>
        <v>OK</v>
      </c>
      <c r="Y155" t="str">
        <f t="shared" si="40"/>
        <v>OK</v>
      </c>
      <c r="Z155">
        <v>150</v>
      </c>
      <c r="AA155">
        <v>152</v>
      </c>
      <c r="AB155" t="s">
        <v>2432</v>
      </c>
      <c r="AC155" t="s">
        <v>151</v>
      </c>
      <c r="AD155" t="s">
        <v>475</v>
      </c>
      <c r="AE155" t="s">
        <v>629</v>
      </c>
      <c r="AG155" t="s">
        <v>897</v>
      </c>
      <c r="AH155" t="s">
        <v>915</v>
      </c>
      <c r="AI155" t="s">
        <v>2447</v>
      </c>
      <c r="AJ155" t="s">
        <v>1407</v>
      </c>
      <c r="AK155" t="s">
        <v>2432</v>
      </c>
      <c r="AL155" t="s">
        <v>2433</v>
      </c>
      <c r="AN155" t="str">
        <f t="shared" si="42"/>
        <v>OK</v>
      </c>
      <c r="AO155" t="str">
        <f t="shared" si="43"/>
        <v>OK</v>
      </c>
      <c r="AP155" t="str">
        <f t="shared" si="44"/>
        <v>OK</v>
      </c>
      <c r="AR155" t="str">
        <f t="shared" si="45"/>
        <v>OK</v>
      </c>
      <c r="AS155" t="str">
        <f t="shared" si="46"/>
        <v>OK</v>
      </c>
      <c r="AT155" t="str">
        <f t="shared" si="47"/>
        <v>NOK</v>
      </c>
      <c r="AU155" t="str">
        <f t="shared" si="48"/>
        <v>OK</v>
      </c>
      <c r="AV155" t="str">
        <f t="shared" si="49"/>
        <v>OK</v>
      </c>
      <c r="AW155" t="str">
        <f t="shared" si="50"/>
        <v>OK</v>
      </c>
    </row>
    <row r="156" spans="1:49">
      <c r="A156">
        <f>Dbase_velden_versie4_2!A152</f>
        <v>152</v>
      </c>
      <c r="B156" t="str">
        <f>Dbase_velden_versie4_2!B152</f>
        <v>CRS_REKSNELHEID_BELASTEN</v>
      </c>
      <c r="C156" t="str">
        <f>Dbase_velden_versie4_2!C152</f>
        <v>%/uur</v>
      </c>
      <c r="D156" t="str">
        <f>Dbase_velden_versie4_2!D152</f>
        <v>Reksnelheid waarm het monster tijdens het belasten is belast</v>
      </c>
      <c r="E156" t="str">
        <f>Dbase_velden_versie4_2!E152</f>
        <v>Double</v>
      </c>
      <c r="F156">
        <f>Dbase_velden_versie4_2!F152</f>
        <v>0</v>
      </c>
      <c r="G156" t="str">
        <f>Dbase_velden_versie4_2!G152</f>
        <v>CRS REKSNELHEID BELASTEN</v>
      </c>
      <c r="H156" t="str">
        <f>Dbase_velden_versie4_2!H152</f>
        <v>[%/uur]</v>
      </c>
      <c r="I156" t="str">
        <f>Dbase_velden_versie4_2!I152</f>
        <v>CRS</v>
      </c>
      <c r="J156" t="str">
        <f>Dbase_velden_versie4_2!J152</f>
        <v>CRS proef</v>
      </c>
      <c r="K156">
        <v>152</v>
      </c>
      <c r="L156" t="str">
        <v>CRS_REKSNELHEID_BELASTEN</v>
      </c>
      <c r="M156" t="str">
        <v>%/uur</v>
      </c>
      <c r="N156" t="str">
        <v>Reksnelheid waarm het monster tijdens het belasten is belast</v>
      </c>
      <c r="O156" t="str">
        <v>Double</v>
      </c>
      <c r="P156">
        <v>0</v>
      </c>
      <c r="Q156" t="str">
        <v>CRS REKSNELHEID BELASTEN</v>
      </c>
      <c r="R156" t="str">
        <v>[%/uur]</v>
      </c>
      <c r="S156" t="str">
        <f t="shared" si="41"/>
        <v>OK</v>
      </c>
      <c r="T156" t="str">
        <f t="shared" si="35"/>
        <v>OK</v>
      </c>
      <c r="U156" t="str">
        <f t="shared" si="36"/>
        <v>OK</v>
      </c>
      <c r="V156" t="str">
        <f t="shared" si="37"/>
        <v>OK</v>
      </c>
      <c r="W156" t="str">
        <f t="shared" si="38"/>
        <v>OK</v>
      </c>
      <c r="X156" t="str">
        <f t="shared" si="39"/>
        <v>OK</v>
      </c>
      <c r="Y156" t="str">
        <f t="shared" si="40"/>
        <v>OK</v>
      </c>
      <c r="Z156">
        <v>151</v>
      </c>
      <c r="AA156">
        <v>153</v>
      </c>
      <c r="AB156" t="s">
        <v>2432</v>
      </c>
      <c r="AC156" t="s">
        <v>152</v>
      </c>
      <c r="AD156" t="s">
        <v>476</v>
      </c>
      <c r="AE156" t="s">
        <v>630</v>
      </c>
      <c r="AG156" t="s">
        <v>897</v>
      </c>
      <c r="AI156" t="s">
        <v>2448</v>
      </c>
      <c r="AJ156" t="s">
        <v>1408</v>
      </c>
      <c r="AK156" t="s">
        <v>2432</v>
      </c>
      <c r="AL156" t="s">
        <v>2433</v>
      </c>
      <c r="AN156" t="str">
        <f t="shared" si="42"/>
        <v>OK</v>
      </c>
      <c r="AO156" t="str">
        <f t="shared" si="43"/>
        <v>OK</v>
      </c>
      <c r="AP156" t="str">
        <f t="shared" si="44"/>
        <v>OK</v>
      </c>
      <c r="AR156" t="str">
        <f t="shared" si="45"/>
        <v>OK</v>
      </c>
      <c r="AS156" t="str">
        <f t="shared" si="46"/>
        <v>OK</v>
      </c>
      <c r="AT156" t="str">
        <f t="shared" si="47"/>
        <v>NOK</v>
      </c>
      <c r="AU156" t="str">
        <f t="shared" si="48"/>
        <v>OK</v>
      </c>
      <c r="AV156" t="str">
        <f t="shared" si="49"/>
        <v>OK</v>
      </c>
      <c r="AW156" t="str">
        <f t="shared" si="50"/>
        <v>OK</v>
      </c>
    </row>
    <row r="157" spans="1:49">
      <c r="A157">
        <f>Dbase_velden_versie4_2!A153</f>
        <v>153</v>
      </c>
      <c r="B157" t="str">
        <f>Dbase_velden_versie4_2!B153</f>
        <v>CRS_REKSNELHEID_ONTLASTEN</v>
      </c>
      <c r="C157" t="str">
        <f>Dbase_velden_versie4_2!C153</f>
        <v>%/uur</v>
      </c>
      <c r="D157" t="str">
        <f>Dbase_velden_versie4_2!D153</f>
        <v>Reksnelheid waarm het monster tijdens het ontlasten is ontlast</v>
      </c>
      <c r="E157" t="str">
        <f>Dbase_velden_versie4_2!E153</f>
        <v>Double</v>
      </c>
      <c r="F157">
        <f>Dbase_velden_versie4_2!F153</f>
        <v>0</v>
      </c>
      <c r="G157" t="str">
        <f>Dbase_velden_versie4_2!G153</f>
        <v>CRS REKSNELHEID ONTLASTEN</v>
      </c>
      <c r="H157" t="str">
        <f>Dbase_velden_versie4_2!H153</f>
        <v>[%/uur]</v>
      </c>
      <c r="I157" t="str">
        <f>Dbase_velden_versie4_2!I153</f>
        <v>CRS</v>
      </c>
      <c r="J157" t="str">
        <f>Dbase_velden_versie4_2!J153</f>
        <v>CRS proef</v>
      </c>
      <c r="K157">
        <v>153</v>
      </c>
      <c r="L157" t="str">
        <v>CRS_REKSNELHEID_ONTLASTEN</v>
      </c>
      <c r="M157" t="str">
        <v>%/uur</v>
      </c>
      <c r="N157" t="str">
        <v>Reksnelheid waarm het monster tijdens het ontlasten is ontlast</v>
      </c>
      <c r="O157" t="str">
        <v>Double</v>
      </c>
      <c r="P157">
        <v>0</v>
      </c>
      <c r="Q157" t="str">
        <v>CRS REKSNELHEID ONTLASTEN</v>
      </c>
      <c r="R157" t="str">
        <v>[%/uur]</v>
      </c>
      <c r="S157" t="str">
        <f t="shared" si="41"/>
        <v>OK</v>
      </c>
      <c r="T157" t="str">
        <f t="shared" si="35"/>
        <v>OK</v>
      </c>
      <c r="U157" t="str">
        <f t="shared" si="36"/>
        <v>OK</v>
      </c>
      <c r="V157" t="str">
        <f t="shared" si="37"/>
        <v>OK</v>
      </c>
      <c r="W157" t="str">
        <f t="shared" si="38"/>
        <v>OK</v>
      </c>
      <c r="X157" t="str">
        <f t="shared" si="39"/>
        <v>OK</v>
      </c>
      <c r="Y157" t="str">
        <f t="shared" si="40"/>
        <v>OK</v>
      </c>
      <c r="Z157">
        <v>152</v>
      </c>
      <c r="AA157">
        <v>154</v>
      </c>
      <c r="AB157" t="s">
        <v>2432</v>
      </c>
      <c r="AC157" t="s">
        <v>153</v>
      </c>
      <c r="AD157" t="s">
        <v>476</v>
      </c>
      <c r="AE157" t="s">
        <v>631</v>
      </c>
      <c r="AG157" t="s">
        <v>897</v>
      </c>
      <c r="AI157" t="s">
        <v>2449</v>
      </c>
      <c r="AJ157" t="s">
        <v>1408</v>
      </c>
      <c r="AK157" t="s">
        <v>2432</v>
      </c>
      <c r="AL157" t="s">
        <v>2433</v>
      </c>
      <c r="AN157" t="str">
        <f t="shared" si="42"/>
        <v>OK</v>
      </c>
      <c r="AO157" t="str">
        <f t="shared" si="43"/>
        <v>OK</v>
      </c>
      <c r="AP157" t="str">
        <f t="shared" si="44"/>
        <v>OK</v>
      </c>
      <c r="AR157" t="str">
        <f t="shared" si="45"/>
        <v>OK</v>
      </c>
      <c r="AS157" t="str">
        <f t="shared" si="46"/>
        <v>OK</v>
      </c>
      <c r="AT157" t="str">
        <f t="shared" si="47"/>
        <v>NOK</v>
      </c>
      <c r="AU157" t="str">
        <f t="shared" si="48"/>
        <v>OK</v>
      </c>
      <c r="AV157" t="str">
        <f t="shared" si="49"/>
        <v>OK</v>
      </c>
      <c r="AW157" t="str">
        <f t="shared" si="50"/>
        <v>OK</v>
      </c>
    </row>
    <row r="158" spans="1:49">
      <c r="A158">
        <f>Dbase_velden_versie4_2!A154</f>
        <v>154</v>
      </c>
      <c r="B158" t="str">
        <f>Dbase_velden_versie4_2!B154</f>
        <v>CRS_RELAXATIEDUUR</v>
      </c>
      <c r="C158" t="str">
        <f>Dbase_velden_versie4_2!C154</f>
        <v>uur</v>
      </c>
      <c r="D158" t="str">
        <f>Dbase_velden_versie4_2!D154</f>
        <v>De duur van de relaxatiefase</v>
      </c>
      <c r="E158" t="str">
        <f>Dbase_velden_versie4_2!E154</f>
        <v>Double</v>
      </c>
      <c r="F158">
        <f>Dbase_velden_versie4_2!F154</f>
        <v>0</v>
      </c>
      <c r="G158" t="str">
        <f>Dbase_velden_versie4_2!G154</f>
        <v>CRS RELAXATIEDUUR</v>
      </c>
      <c r="H158" t="str">
        <f>Dbase_velden_versie4_2!H154</f>
        <v>[uur]</v>
      </c>
      <c r="I158" t="str">
        <f>Dbase_velden_versie4_2!I154</f>
        <v>CRS</v>
      </c>
      <c r="J158" t="str">
        <f>Dbase_velden_versie4_2!J154</f>
        <v>CRS proef</v>
      </c>
      <c r="K158">
        <v>154</v>
      </c>
      <c r="L158" t="str">
        <v>CRS_RELAXATIEDUUR</v>
      </c>
      <c r="M158" t="str">
        <v>uur</v>
      </c>
      <c r="N158" t="str">
        <v>De duur van de relaxatiefase</v>
      </c>
      <c r="O158" t="str">
        <v>Double</v>
      </c>
      <c r="P158">
        <v>0</v>
      </c>
      <c r="Q158" t="str">
        <v>CRS RELAXATIEDUUR</v>
      </c>
      <c r="R158" t="str">
        <v>[uur]</v>
      </c>
      <c r="S158" t="str">
        <f t="shared" si="41"/>
        <v>OK</v>
      </c>
      <c r="T158" t="str">
        <f t="shared" si="35"/>
        <v>OK</v>
      </c>
      <c r="U158" t="str">
        <f t="shared" si="36"/>
        <v>OK</v>
      </c>
      <c r="V158" t="str">
        <f t="shared" si="37"/>
        <v>OK</v>
      </c>
      <c r="W158" t="str">
        <f t="shared" si="38"/>
        <v>OK</v>
      </c>
      <c r="X158" t="str">
        <f t="shared" si="39"/>
        <v>OK</v>
      </c>
      <c r="Y158" t="str">
        <f t="shared" si="40"/>
        <v>OK</v>
      </c>
      <c r="Z158">
        <v>153</v>
      </c>
      <c r="AA158">
        <v>155</v>
      </c>
      <c r="AB158" t="s">
        <v>2432</v>
      </c>
      <c r="AC158" t="s">
        <v>154</v>
      </c>
      <c r="AD158" t="s">
        <v>477</v>
      </c>
      <c r="AE158" t="s">
        <v>632</v>
      </c>
      <c r="AG158" t="s">
        <v>897</v>
      </c>
      <c r="AI158" t="s">
        <v>2450</v>
      </c>
      <c r="AJ158" t="s">
        <v>1409</v>
      </c>
      <c r="AK158" t="s">
        <v>2432</v>
      </c>
      <c r="AL158" t="s">
        <v>2433</v>
      </c>
      <c r="AN158" t="str">
        <f t="shared" si="42"/>
        <v>OK</v>
      </c>
      <c r="AO158" t="str">
        <f t="shared" si="43"/>
        <v>OK</v>
      </c>
      <c r="AP158" t="str">
        <f t="shared" si="44"/>
        <v>OK</v>
      </c>
      <c r="AR158" t="str">
        <f t="shared" si="45"/>
        <v>OK</v>
      </c>
      <c r="AS158" t="str">
        <f t="shared" si="46"/>
        <v>OK</v>
      </c>
      <c r="AT158" t="str">
        <f t="shared" si="47"/>
        <v>NOK</v>
      </c>
      <c r="AU158" t="str">
        <f t="shared" si="48"/>
        <v>OK</v>
      </c>
      <c r="AV158" t="str">
        <f t="shared" si="49"/>
        <v>OK</v>
      </c>
      <c r="AW158" t="str">
        <f t="shared" si="50"/>
        <v>OK</v>
      </c>
    </row>
    <row r="159" spans="1:49">
      <c r="A159">
        <f>Dbase_velden_versie4_2!A155</f>
        <v>155</v>
      </c>
      <c r="B159" t="str">
        <f>Dbase_velden_versie4_2!B155</f>
        <v>CRS_EFF_SPANNING_START_RELAXATIE</v>
      </c>
      <c r="C159" t="str">
        <f>Dbase_velden_versie4_2!C155</f>
        <v>kPa</v>
      </c>
      <c r="D159" t="str">
        <f>Dbase_velden_versie4_2!D155</f>
        <v>Effectieve spanning bij de start van de relaxatiefase</v>
      </c>
      <c r="E159" t="str">
        <f>Dbase_velden_versie4_2!E155</f>
        <v>Double</v>
      </c>
      <c r="F159">
        <f>Dbase_velden_versie4_2!F155</f>
        <v>0</v>
      </c>
      <c r="G159" t="str">
        <f>Dbase_velden_versie4_2!G155</f>
        <v>CRS EFF SPANNING START RELAXATIE</v>
      </c>
      <c r="H159" t="str">
        <f>Dbase_velden_versie4_2!H155</f>
        <v>[kPa]</v>
      </c>
      <c r="I159" t="str">
        <f>Dbase_velden_versie4_2!I155</f>
        <v>CRS</v>
      </c>
      <c r="J159" t="str">
        <f>Dbase_velden_versie4_2!J155</f>
        <v>CRS proef</v>
      </c>
      <c r="K159">
        <v>155</v>
      </c>
      <c r="L159" t="str">
        <v>CRS_EFF_SPANNING_START_RELAXATIE</v>
      </c>
      <c r="M159" t="str">
        <v>kPa</v>
      </c>
      <c r="N159" t="str">
        <v>Effectieve spanning bij de start van de relaxatiefase</v>
      </c>
      <c r="O159" t="str">
        <v>Double</v>
      </c>
      <c r="P159">
        <v>0</v>
      </c>
      <c r="Q159" t="str">
        <v>CRS EFF SPANNING START RELAXATIE</v>
      </c>
      <c r="R159" t="str">
        <v>[kPa]</v>
      </c>
      <c r="S159" t="str">
        <f t="shared" si="41"/>
        <v>OK</v>
      </c>
      <c r="T159" t="str">
        <f t="shared" si="35"/>
        <v>OK</v>
      </c>
      <c r="U159" t="str">
        <f t="shared" si="36"/>
        <v>OK</v>
      </c>
      <c r="V159" t="str">
        <f t="shared" si="37"/>
        <v>OK</v>
      </c>
      <c r="W159" t="str">
        <f t="shared" si="38"/>
        <v>OK</v>
      </c>
      <c r="X159" t="str">
        <f t="shared" si="39"/>
        <v>OK</v>
      </c>
      <c r="Y159" t="str">
        <f t="shared" si="40"/>
        <v>OK</v>
      </c>
      <c r="Z159">
        <v>154</v>
      </c>
      <c r="AA159">
        <v>156</v>
      </c>
      <c r="AB159" t="s">
        <v>2432</v>
      </c>
      <c r="AC159" t="s">
        <v>155</v>
      </c>
      <c r="AD159" t="s">
        <v>470</v>
      </c>
      <c r="AE159" t="s">
        <v>633</v>
      </c>
      <c r="AG159" t="s">
        <v>897</v>
      </c>
      <c r="AI159" t="s">
        <v>2451</v>
      </c>
      <c r="AJ159" t="s">
        <v>1402</v>
      </c>
      <c r="AK159" t="s">
        <v>2432</v>
      </c>
      <c r="AL159" t="s">
        <v>2433</v>
      </c>
      <c r="AN159" t="str">
        <f t="shared" si="42"/>
        <v>OK</v>
      </c>
      <c r="AO159" t="str">
        <f t="shared" si="43"/>
        <v>OK</v>
      </c>
      <c r="AP159" t="str">
        <f t="shared" si="44"/>
        <v>OK</v>
      </c>
      <c r="AR159" t="str">
        <f t="shared" si="45"/>
        <v>OK</v>
      </c>
      <c r="AS159" t="str">
        <f t="shared" si="46"/>
        <v>OK</v>
      </c>
      <c r="AT159" t="str">
        <f t="shared" si="47"/>
        <v>NOK</v>
      </c>
      <c r="AU159" t="str">
        <f t="shared" si="48"/>
        <v>OK</v>
      </c>
      <c r="AV159" t="str">
        <f t="shared" si="49"/>
        <v>OK</v>
      </c>
      <c r="AW159" t="str">
        <f t="shared" si="50"/>
        <v>OK</v>
      </c>
    </row>
    <row r="160" spans="1:49">
      <c r="A160">
        <f>Dbase_velden_versie4_2!A156</f>
        <v>156</v>
      </c>
      <c r="B160" t="str">
        <f>Dbase_velden_versie4_2!B156</f>
        <v>CRS_EFF_SPANNING_EIND_RELAXATIE</v>
      </c>
      <c r="C160" t="str">
        <f>Dbase_velden_versie4_2!C156</f>
        <v>kPa</v>
      </c>
      <c r="D160" t="str">
        <f>Dbase_velden_versie4_2!D156</f>
        <v>Effectieve spanning aan het eind van de relaxatiefase</v>
      </c>
      <c r="E160" t="str">
        <f>Dbase_velden_versie4_2!E156</f>
        <v>Double</v>
      </c>
      <c r="F160">
        <f>Dbase_velden_versie4_2!F156</f>
        <v>0</v>
      </c>
      <c r="G160" t="str">
        <f>Dbase_velden_versie4_2!G156</f>
        <v>CRS EFF SPANNING EIND RELAXATIE</v>
      </c>
      <c r="H160" t="str">
        <f>Dbase_velden_versie4_2!H156</f>
        <v>[kPa]</v>
      </c>
      <c r="I160" t="str">
        <f>Dbase_velden_versie4_2!I156</f>
        <v>CRS</v>
      </c>
      <c r="J160" t="str">
        <f>Dbase_velden_versie4_2!J156</f>
        <v>CRS proef</v>
      </c>
      <c r="K160">
        <v>156</v>
      </c>
      <c r="L160" t="str">
        <v>CRS_EFF_SPANNING_EIND_RELAXATIE</v>
      </c>
      <c r="M160" t="str">
        <v>kPa</v>
      </c>
      <c r="N160" t="str">
        <v>Effectieve spanning aan het eind van de relaxatiefase</v>
      </c>
      <c r="O160" t="str">
        <v>Double</v>
      </c>
      <c r="P160">
        <v>0</v>
      </c>
      <c r="Q160" t="str">
        <v>CRS EFF SPANNING EIND RELAXATIE</v>
      </c>
      <c r="R160" t="str">
        <v>[kPa]</v>
      </c>
      <c r="S160" t="str">
        <f t="shared" si="41"/>
        <v>OK</v>
      </c>
      <c r="T160" t="str">
        <f t="shared" si="35"/>
        <v>OK</v>
      </c>
      <c r="U160" t="str">
        <f t="shared" si="36"/>
        <v>OK</v>
      </c>
      <c r="V160" t="str">
        <f t="shared" si="37"/>
        <v>OK</v>
      </c>
      <c r="W160" t="str">
        <f t="shared" si="38"/>
        <v>OK</v>
      </c>
      <c r="X160" t="str">
        <f t="shared" si="39"/>
        <v>OK</v>
      </c>
      <c r="Y160" t="str">
        <f t="shared" si="40"/>
        <v>OK</v>
      </c>
      <c r="Z160">
        <v>155</v>
      </c>
      <c r="AA160">
        <v>157</v>
      </c>
      <c r="AB160" t="s">
        <v>2432</v>
      </c>
      <c r="AC160" t="s">
        <v>156</v>
      </c>
      <c r="AD160" t="s">
        <v>470</v>
      </c>
      <c r="AE160" t="s">
        <v>634</v>
      </c>
      <c r="AG160" t="s">
        <v>897</v>
      </c>
      <c r="AI160" t="s">
        <v>2452</v>
      </c>
      <c r="AJ160" t="s">
        <v>1402</v>
      </c>
      <c r="AK160" t="s">
        <v>2432</v>
      </c>
      <c r="AL160" t="s">
        <v>2433</v>
      </c>
      <c r="AN160" t="str">
        <f t="shared" si="42"/>
        <v>OK</v>
      </c>
      <c r="AO160" t="str">
        <f t="shared" si="43"/>
        <v>OK</v>
      </c>
      <c r="AP160" t="str">
        <f t="shared" si="44"/>
        <v>OK</v>
      </c>
      <c r="AR160" t="str">
        <f t="shared" si="45"/>
        <v>OK</v>
      </c>
      <c r="AS160" t="str">
        <f t="shared" si="46"/>
        <v>OK</v>
      </c>
      <c r="AT160" t="str">
        <f t="shared" si="47"/>
        <v>NOK</v>
      </c>
      <c r="AU160" t="str">
        <f t="shared" si="48"/>
        <v>OK</v>
      </c>
      <c r="AV160" t="str">
        <f t="shared" si="49"/>
        <v>OK</v>
      </c>
      <c r="AW160" t="str">
        <f t="shared" si="50"/>
        <v>OK</v>
      </c>
    </row>
    <row r="161" spans="1:49">
      <c r="A161">
        <f>Dbase_velden_versie4_2!A157</f>
        <v>157</v>
      </c>
      <c r="B161" t="str">
        <f>Dbase_velden_versie4_2!B157</f>
        <v>CRS_EFF_VERT_SPANNING_START_ONTLASTEN</v>
      </c>
      <c r="C161" t="str">
        <f>Dbase_velden_versie4_2!C157</f>
        <v>kPa</v>
      </c>
      <c r="D161" t="str">
        <f>Dbase_velden_versie4_2!D157</f>
        <v>Effectieve verticale spanning bij de start van het ontlasten</v>
      </c>
      <c r="E161" t="str">
        <f>Dbase_velden_versie4_2!E157</f>
        <v>Double</v>
      </c>
      <c r="F161">
        <f>Dbase_velden_versie4_2!F157</f>
        <v>0</v>
      </c>
      <c r="G161" t="str">
        <f>Dbase_velden_versie4_2!G157</f>
        <v>CRS EFF VERT SPANNING START ONTLASTEN</v>
      </c>
      <c r="H161" t="str">
        <f>Dbase_velden_versie4_2!H157</f>
        <v>[kPa]</v>
      </c>
      <c r="I161" t="str">
        <f>Dbase_velden_versie4_2!I157</f>
        <v>CRS</v>
      </c>
      <c r="J161" t="str">
        <f>Dbase_velden_versie4_2!J157</f>
        <v>CRS proef</v>
      </c>
      <c r="K161">
        <v>157</v>
      </c>
      <c r="L161" t="str">
        <v>CRS_EFF_VERT_SPANNING_START_ONTLASTEN</v>
      </c>
      <c r="M161" t="str">
        <v>kPa</v>
      </c>
      <c r="N161" t="str">
        <v>Effectieve verticale spanning bij de start van het ontlasten</v>
      </c>
      <c r="O161" t="str">
        <v>Double</v>
      </c>
      <c r="P161">
        <v>0</v>
      </c>
      <c r="Q161" t="str">
        <v>CRS EFF VERT SPANNING START ONTLASTEN</v>
      </c>
      <c r="R161" t="str">
        <v>[kPa]</v>
      </c>
      <c r="S161" t="str">
        <f t="shared" si="41"/>
        <v>OK</v>
      </c>
      <c r="T161" t="str">
        <f t="shared" si="35"/>
        <v>OK</v>
      </c>
      <c r="U161" t="str">
        <f t="shared" si="36"/>
        <v>OK</v>
      </c>
      <c r="V161" t="str">
        <f t="shared" si="37"/>
        <v>OK</v>
      </c>
      <c r="W161" t="str">
        <f t="shared" si="38"/>
        <v>OK</v>
      </c>
      <c r="X161" t="str">
        <f t="shared" si="39"/>
        <v>OK</v>
      </c>
      <c r="Y161" t="str">
        <f t="shared" si="40"/>
        <v>OK</v>
      </c>
      <c r="Z161">
        <v>156</v>
      </c>
      <c r="AA161">
        <v>158</v>
      </c>
      <c r="AB161" t="s">
        <v>2432</v>
      </c>
      <c r="AC161" t="s">
        <v>157</v>
      </c>
      <c r="AD161" t="s">
        <v>470</v>
      </c>
      <c r="AE161" t="s">
        <v>635</v>
      </c>
      <c r="AG161" t="s">
        <v>897</v>
      </c>
      <c r="AI161" t="s">
        <v>2453</v>
      </c>
      <c r="AJ161" t="s">
        <v>1402</v>
      </c>
      <c r="AK161" t="s">
        <v>2432</v>
      </c>
      <c r="AL161" t="s">
        <v>2433</v>
      </c>
      <c r="AN161" t="str">
        <f t="shared" si="42"/>
        <v>OK</v>
      </c>
      <c r="AO161" t="str">
        <f t="shared" si="43"/>
        <v>OK</v>
      </c>
      <c r="AP161" t="str">
        <f t="shared" si="44"/>
        <v>OK</v>
      </c>
      <c r="AR161" t="str">
        <f t="shared" si="45"/>
        <v>OK</v>
      </c>
      <c r="AS161" t="str">
        <f t="shared" si="46"/>
        <v>OK</v>
      </c>
      <c r="AT161" t="str">
        <f t="shared" si="47"/>
        <v>NOK</v>
      </c>
      <c r="AU161" t="str">
        <f t="shared" si="48"/>
        <v>OK</v>
      </c>
      <c r="AV161" t="str">
        <f t="shared" si="49"/>
        <v>OK</v>
      </c>
      <c r="AW161" t="str">
        <f t="shared" si="50"/>
        <v>OK</v>
      </c>
    </row>
    <row r="162" spans="1:49">
      <c r="A162">
        <f>Dbase_velden_versie4_2!A158</f>
        <v>158</v>
      </c>
      <c r="B162" t="str">
        <f>Dbase_velden_versie4_2!B158</f>
        <v>CRS_EFF_VERT_SPANNING_EIND_ONTLASTEN</v>
      </c>
      <c r="C162" t="str">
        <f>Dbase_velden_versie4_2!C158</f>
        <v>kPa</v>
      </c>
      <c r="D162" t="str">
        <f>Dbase_velden_versie4_2!D158</f>
        <v>Effectieve verticale spanning aan het eind van het ontlasten</v>
      </c>
      <c r="E162" t="str">
        <f>Dbase_velden_versie4_2!E158</f>
        <v>Double</v>
      </c>
      <c r="F162">
        <f>Dbase_velden_versie4_2!F158</f>
        <v>0</v>
      </c>
      <c r="G162" t="str">
        <f>Dbase_velden_versie4_2!G158</f>
        <v>CRS EFF VERT SPANNING EIND ONTLASTEN</v>
      </c>
      <c r="H162" t="str">
        <f>Dbase_velden_versie4_2!H158</f>
        <v>[kPa]</v>
      </c>
      <c r="I162" t="str">
        <f>Dbase_velden_versie4_2!I158</f>
        <v>CRS</v>
      </c>
      <c r="J162" t="str">
        <f>Dbase_velden_versie4_2!J158</f>
        <v>CRS proef</v>
      </c>
      <c r="K162">
        <v>158</v>
      </c>
      <c r="L162" t="str">
        <v>CRS_EFF_VERT_SPANNING_EIND_ONTLASTEN</v>
      </c>
      <c r="M162" t="str">
        <v>kPa</v>
      </c>
      <c r="N162" t="str">
        <v>Effectieve verticale spanning aan het eind van het ontlasten</v>
      </c>
      <c r="O162" t="str">
        <v>Double</v>
      </c>
      <c r="P162">
        <v>0</v>
      </c>
      <c r="Q162" t="str">
        <v>CRS EFF VERT SPANNING EIND ONTLASTEN</v>
      </c>
      <c r="R162" t="str">
        <v>[kPa]</v>
      </c>
      <c r="S162" t="str">
        <f t="shared" si="41"/>
        <v>OK</v>
      </c>
      <c r="T162" t="str">
        <f t="shared" si="35"/>
        <v>OK</v>
      </c>
      <c r="U162" t="str">
        <f t="shared" si="36"/>
        <v>OK</v>
      </c>
      <c r="V162" t="str">
        <f t="shared" si="37"/>
        <v>OK</v>
      </c>
      <c r="W162" t="str">
        <f t="shared" si="38"/>
        <v>OK</v>
      </c>
      <c r="X162" t="str">
        <f t="shared" si="39"/>
        <v>OK</v>
      </c>
      <c r="Y162" t="str">
        <f t="shared" si="40"/>
        <v>OK</v>
      </c>
      <c r="Z162">
        <v>157</v>
      </c>
      <c r="AA162">
        <v>159</v>
      </c>
      <c r="AB162" t="s">
        <v>2432</v>
      </c>
      <c r="AC162" t="s">
        <v>158</v>
      </c>
      <c r="AD162" t="s">
        <v>470</v>
      </c>
      <c r="AE162" t="s">
        <v>636</v>
      </c>
      <c r="AG162" t="s">
        <v>897</v>
      </c>
      <c r="AI162" t="s">
        <v>2454</v>
      </c>
      <c r="AJ162" t="s">
        <v>1402</v>
      </c>
      <c r="AK162" t="s">
        <v>2432</v>
      </c>
      <c r="AL162" t="s">
        <v>2433</v>
      </c>
      <c r="AN162" t="str">
        <f t="shared" si="42"/>
        <v>OK</v>
      </c>
      <c r="AO162" t="str">
        <f t="shared" si="43"/>
        <v>OK</v>
      </c>
      <c r="AP162" t="str">
        <f t="shared" si="44"/>
        <v>OK</v>
      </c>
      <c r="AR162" t="str">
        <f t="shared" si="45"/>
        <v>OK</v>
      </c>
      <c r="AS162" t="str">
        <f t="shared" si="46"/>
        <v>OK</v>
      </c>
      <c r="AT162" t="str">
        <f t="shared" si="47"/>
        <v>NOK</v>
      </c>
      <c r="AU162" t="str">
        <f t="shared" si="48"/>
        <v>OK</v>
      </c>
      <c r="AV162" t="str">
        <f t="shared" si="49"/>
        <v>OK</v>
      </c>
      <c r="AW162" t="str">
        <f t="shared" si="50"/>
        <v>OK</v>
      </c>
    </row>
    <row r="163" spans="1:49">
      <c r="A163">
        <f>Dbase_velden_versie4_2!A159</f>
        <v>159</v>
      </c>
      <c r="B163" t="str">
        <f>Dbase_velden_versie4_2!B159</f>
        <v>CRS_EFF_VERT_SPANNING_EIND_PROEF</v>
      </c>
      <c r="C163" t="str">
        <f>Dbase_velden_versie4_2!C159</f>
        <v>kPa</v>
      </c>
      <c r="D163" t="str">
        <f>Dbase_velden_versie4_2!D159</f>
        <v>Effectieve verticale spanning aan het eind van de proef</v>
      </c>
      <c r="E163" t="str">
        <f>Dbase_velden_versie4_2!E159</f>
        <v>Double</v>
      </c>
      <c r="F163">
        <f>Dbase_velden_versie4_2!F159</f>
        <v>0</v>
      </c>
      <c r="G163" t="str">
        <f>Dbase_velden_versie4_2!G159</f>
        <v>CRS EFF VERT SPANNING EIND PROEF</v>
      </c>
      <c r="H163" t="str">
        <f>Dbase_velden_versie4_2!H159</f>
        <v>[kPa]</v>
      </c>
      <c r="I163" t="str">
        <f>Dbase_velden_versie4_2!I159</f>
        <v>CRS</v>
      </c>
      <c r="J163" t="str">
        <f>Dbase_velden_versie4_2!J159</f>
        <v>CRS proef</v>
      </c>
      <c r="K163">
        <v>159</v>
      </c>
      <c r="L163" t="str">
        <v>CRS_EFF_VERT_SPANNING_EIND_PROEF</v>
      </c>
      <c r="M163" t="str">
        <v>kPa</v>
      </c>
      <c r="N163" t="str">
        <v>Effectieve verticale spanning aan het eind van de proef</v>
      </c>
      <c r="O163" t="str">
        <v>Double</v>
      </c>
      <c r="P163">
        <v>0</v>
      </c>
      <c r="Q163" t="str">
        <v>CRS EFF VERT SPANNING EIND PROEF</v>
      </c>
      <c r="R163" t="str">
        <v>[kPa]</v>
      </c>
      <c r="S163" t="str">
        <f t="shared" si="41"/>
        <v>OK</v>
      </c>
      <c r="T163" t="str">
        <f t="shared" si="35"/>
        <v>OK</v>
      </c>
      <c r="U163" t="str">
        <f t="shared" si="36"/>
        <v>OK</v>
      </c>
      <c r="V163" t="str">
        <f t="shared" si="37"/>
        <v>OK</v>
      </c>
      <c r="W163" t="str">
        <f t="shared" si="38"/>
        <v>OK</v>
      </c>
      <c r="X163" t="str">
        <f t="shared" si="39"/>
        <v>OK</v>
      </c>
      <c r="Y163" t="str">
        <f t="shared" si="40"/>
        <v>OK</v>
      </c>
      <c r="Z163">
        <v>158</v>
      </c>
      <c r="AA163">
        <v>160</v>
      </c>
      <c r="AB163" t="s">
        <v>2432</v>
      </c>
      <c r="AC163" t="s">
        <v>159</v>
      </c>
      <c r="AD163" t="s">
        <v>470</v>
      </c>
      <c r="AE163" t="s">
        <v>637</v>
      </c>
      <c r="AG163" t="s">
        <v>897</v>
      </c>
      <c r="AI163" t="s">
        <v>2455</v>
      </c>
      <c r="AJ163" t="s">
        <v>1402</v>
      </c>
      <c r="AK163" t="s">
        <v>2432</v>
      </c>
      <c r="AL163" t="s">
        <v>2433</v>
      </c>
      <c r="AN163" t="str">
        <f t="shared" si="42"/>
        <v>OK</v>
      </c>
      <c r="AO163" t="str">
        <f t="shared" si="43"/>
        <v>OK</v>
      </c>
      <c r="AP163" t="str">
        <f t="shared" si="44"/>
        <v>OK</v>
      </c>
      <c r="AR163" t="str">
        <f t="shared" si="45"/>
        <v>OK</v>
      </c>
      <c r="AS163" t="str">
        <f t="shared" si="46"/>
        <v>OK</v>
      </c>
      <c r="AT163" t="str">
        <f t="shared" si="47"/>
        <v>NOK</v>
      </c>
      <c r="AU163" t="str">
        <f t="shared" si="48"/>
        <v>OK</v>
      </c>
      <c r="AV163" t="str">
        <f t="shared" si="49"/>
        <v>OK</v>
      </c>
      <c r="AW163" t="str">
        <f t="shared" si="50"/>
        <v>OK</v>
      </c>
    </row>
    <row r="164" spans="1:49">
      <c r="A164">
        <f>Dbase_velden_versie4_2!A160</f>
        <v>160</v>
      </c>
      <c r="B164" t="str">
        <f>Dbase_velden_versie4_2!B160</f>
        <v>CRS_MAX_REL_WATEROVERSPANNING_PROEF</v>
      </c>
      <c r="C164" t="str">
        <f>Dbase_velden_versie4_2!C160</f>
        <v>-</v>
      </c>
      <c r="D164" t="str">
        <f>Dbase_velden_versie4_2!D160</f>
        <v>Maximale relatieve wateroverspanning tijdens de proef</v>
      </c>
      <c r="E164" t="str">
        <f>Dbase_velden_versie4_2!E160</f>
        <v>Double</v>
      </c>
      <c r="F164">
        <f>Dbase_velden_versie4_2!F160</f>
        <v>0</v>
      </c>
      <c r="G164" t="str">
        <f>Dbase_velden_versie4_2!G160</f>
        <v>CRS MAX REL WATEROVERSPANNING PROEF</v>
      </c>
      <c r="H164" t="str">
        <f>Dbase_velden_versie4_2!H160</f>
        <v>[-]</v>
      </c>
      <c r="I164" t="str">
        <f>Dbase_velden_versie4_2!I160</f>
        <v>CRS</v>
      </c>
      <c r="J164" t="str">
        <f>Dbase_velden_versie4_2!J160</f>
        <v>CRS proef</v>
      </c>
      <c r="K164">
        <v>160</v>
      </c>
      <c r="L164" t="str">
        <v>CRS_MAX_REL_WATEROVERSPANNING_PROEF</v>
      </c>
      <c r="M164" t="str">
        <v>-</v>
      </c>
      <c r="N164" t="str">
        <v>Maximale relatieve wateroverspanning tijdens de proef</v>
      </c>
      <c r="O164" t="str">
        <v>Double</v>
      </c>
      <c r="P164">
        <v>0</v>
      </c>
      <c r="Q164" t="str">
        <v>CRS MAX REL WATEROVERSPANNING PROEF</v>
      </c>
      <c r="R164" t="str">
        <v>[-]</v>
      </c>
      <c r="S164" t="str">
        <f t="shared" si="41"/>
        <v>OK</v>
      </c>
      <c r="T164" t="str">
        <f t="shared" si="35"/>
        <v>OK</v>
      </c>
      <c r="U164" t="str">
        <f t="shared" si="36"/>
        <v>OK</v>
      </c>
      <c r="V164" t="str">
        <f t="shared" si="37"/>
        <v>OK</v>
      </c>
      <c r="W164" t="str">
        <f t="shared" si="38"/>
        <v>OK</v>
      </c>
      <c r="X164" t="str">
        <f t="shared" si="39"/>
        <v>OK</v>
      </c>
      <c r="Y164" t="str">
        <f t="shared" si="40"/>
        <v>OK</v>
      </c>
      <c r="Z164">
        <v>159</v>
      </c>
      <c r="AA164">
        <v>161</v>
      </c>
      <c r="AB164" t="s">
        <v>2432</v>
      </c>
      <c r="AC164" t="s">
        <v>160</v>
      </c>
      <c r="AD164" t="s">
        <v>463</v>
      </c>
      <c r="AE164" t="s">
        <v>638</v>
      </c>
      <c r="AG164" t="s">
        <v>897</v>
      </c>
      <c r="AI164" t="s">
        <v>2456</v>
      </c>
      <c r="AJ164" t="s">
        <v>1395</v>
      </c>
      <c r="AK164" t="s">
        <v>2432</v>
      </c>
      <c r="AL164" t="s">
        <v>2433</v>
      </c>
      <c r="AN164" t="str">
        <f t="shared" si="42"/>
        <v>OK</v>
      </c>
      <c r="AO164" t="str">
        <f t="shared" si="43"/>
        <v>OK</v>
      </c>
      <c r="AP164" t="str">
        <f t="shared" si="44"/>
        <v>OK</v>
      </c>
      <c r="AR164" t="str">
        <f t="shared" si="45"/>
        <v>OK</v>
      </c>
      <c r="AS164" t="str">
        <f t="shared" si="46"/>
        <v>OK</v>
      </c>
      <c r="AT164" t="str">
        <f t="shared" si="47"/>
        <v>NOK</v>
      </c>
      <c r="AU164" t="str">
        <f t="shared" si="48"/>
        <v>OK</v>
      </c>
      <c r="AV164" t="str">
        <f t="shared" si="49"/>
        <v>OK</v>
      </c>
      <c r="AW164" t="str">
        <f t="shared" si="50"/>
        <v>OK</v>
      </c>
    </row>
    <row r="165" spans="1:49">
      <c r="A165">
        <f>Dbase_velden_versie4_2!A161</f>
        <v>161</v>
      </c>
      <c r="B165" t="str">
        <f>Dbase_velden_versie4_2!B161</f>
        <v>CRS_GRENSSPANNING_A</v>
      </c>
      <c r="C165" t="str">
        <f>Dbase_velden_versie4_2!C161</f>
        <v>kPa</v>
      </c>
      <c r="D165" t="str">
        <f>Dbase_velden_versie4_2!D161</f>
        <v>Grensspanning A</v>
      </c>
      <c r="E165" t="str">
        <f>Dbase_velden_versie4_2!E161</f>
        <v>Double</v>
      </c>
      <c r="F165">
        <f>Dbase_velden_versie4_2!F161</f>
        <v>0</v>
      </c>
      <c r="G165" t="str">
        <f>Dbase_velden_versie4_2!G161</f>
        <v>CRS GRENSSPANNING A</v>
      </c>
      <c r="H165" t="str">
        <f>Dbase_velden_versie4_2!H161</f>
        <v>[kPa]</v>
      </c>
      <c r="I165" t="str">
        <f>Dbase_velden_versie4_2!I161</f>
        <v>CRS</v>
      </c>
      <c r="J165" t="str">
        <f>Dbase_velden_versie4_2!J161</f>
        <v>CRS proef</v>
      </c>
      <c r="K165">
        <v>161</v>
      </c>
      <c r="L165" t="str">
        <v>CRS_GRENSSPANNING_A</v>
      </c>
      <c r="M165" t="str">
        <v>kPa</v>
      </c>
      <c r="N165" t="str">
        <v>Grensspanning A</v>
      </c>
      <c r="O165" t="str">
        <v>Double</v>
      </c>
      <c r="P165">
        <v>0</v>
      </c>
      <c r="Q165" t="str">
        <v>CRS GRENSSPANNING A</v>
      </c>
      <c r="R165" t="str">
        <v>[kPa]</v>
      </c>
      <c r="S165" t="str">
        <f t="shared" si="41"/>
        <v>OK</v>
      </c>
      <c r="T165" t="str">
        <f t="shared" si="35"/>
        <v>OK</v>
      </c>
      <c r="U165" t="str">
        <f t="shared" si="36"/>
        <v>OK</v>
      </c>
      <c r="V165" t="str">
        <f t="shared" si="37"/>
        <v>OK</v>
      </c>
      <c r="W165" t="str">
        <f t="shared" si="38"/>
        <v>OK</v>
      </c>
      <c r="X165" t="str">
        <f t="shared" si="39"/>
        <v>OK</v>
      </c>
      <c r="Y165" t="str">
        <f t="shared" si="40"/>
        <v>OK</v>
      </c>
      <c r="Z165">
        <v>160</v>
      </c>
      <c r="AA165">
        <v>162</v>
      </c>
      <c r="AB165" t="s">
        <v>2432</v>
      </c>
      <c r="AC165" t="s">
        <v>161</v>
      </c>
      <c r="AD165" t="s">
        <v>470</v>
      </c>
      <c r="AE165" t="s">
        <v>639</v>
      </c>
      <c r="AG165" t="s">
        <v>897</v>
      </c>
      <c r="AI165" t="s">
        <v>639</v>
      </c>
      <c r="AJ165" t="s">
        <v>1402</v>
      </c>
      <c r="AK165" t="s">
        <v>2432</v>
      </c>
      <c r="AL165" t="s">
        <v>2433</v>
      </c>
      <c r="AN165" t="str">
        <f t="shared" si="42"/>
        <v>OK</v>
      </c>
      <c r="AO165" t="str">
        <f t="shared" si="43"/>
        <v>OK</v>
      </c>
      <c r="AP165" t="str">
        <f t="shared" si="44"/>
        <v>OK</v>
      </c>
      <c r="AR165" t="str">
        <f t="shared" si="45"/>
        <v>OK</v>
      </c>
      <c r="AS165" t="str">
        <f t="shared" si="46"/>
        <v>OK</v>
      </c>
      <c r="AT165" t="str">
        <f t="shared" si="47"/>
        <v>NOK</v>
      </c>
      <c r="AU165" t="str">
        <f t="shared" si="48"/>
        <v>OK</v>
      </c>
      <c r="AV165" t="str">
        <f t="shared" si="49"/>
        <v>OK</v>
      </c>
      <c r="AW165" t="str">
        <f t="shared" si="50"/>
        <v>OK</v>
      </c>
    </row>
    <row r="166" spans="1:49">
      <c r="A166">
        <f>Dbase_velden_versie4_2!A162</f>
        <v>162</v>
      </c>
      <c r="B166" t="str">
        <f>Dbase_velden_versie4_2!B162</f>
        <v>CRS_REK_BIJ_GRENSSPANNING_A</v>
      </c>
      <c r="C166" t="str">
        <f>Dbase_velden_versie4_2!C162</f>
        <v>%</v>
      </c>
      <c r="D166" t="str">
        <f>Dbase_velden_versie4_2!D162</f>
        <v>De rek waarbij de grensspanning A is bepaald</v>
      </c>
      <c r="E166" t="str">
        <f>Dbase_velden_versie4_2!E162</f>
        <v>Double</v>
      </c>
      <c r="F166">
        <f>Dbase_velden_versie4_2!F162</f>
        <v>0</v>
      </c>
      <c r="G166" t="str">
        <f>Dbase_velden_versie4_2!G162</f>
        <v>CRS REK BIJ GRENSSPANNING A</v>
      </c>
      <c r="H166" t="str">
        <f>Dbase_velden_versie4_2!H162</f>
        <v>[%]</v>
      </c>
      <c r="I166" t="str">
        <f>Dbase_velden_versie4_2!I162</f>
        <v>CRS</v>
      </c>
      <c r="J166" t="str">
        <f>Dbase_velden_versie4_2!J162</f>
        <v>CRS proef</v>
      </c>
      <c r="K166">
        <v>162</v>
      </c>
      <c r="L166" t="str">
        <v>CRS_REK_BIJ_GRENSSPANNING_A</v>
      </c>
      <c r="M166" t="str">
        <v>%</v>
      </c>
      <c r="N166" t="str">
        <v>De rek waarbij de grensspanning A is bepaald</v>
      </c>
      <c r="O166" t="str">
        <v>Double</v>
      </c>
      <c r="P166">
        <v>0</v>
      </c>
      <c r="Q166" t="str">
        <v>CRS REK BIJ GRENSSPANNING A</v>
      </c>
      <c r="R166" t="str">
        <v>[%]</v>
      </c>
      <c r="S166" t="str">
        <f t="shared" si="41"/>
        <v>OK</v>
      </c>
      <c r="T166" t="str">
        <f t="shared" si="35"/>
        <v>OK</v>
      </c>
      <c r="U166" t="str">
        <f t="shared" si="36"/>
        <v>OK</v>
      </c>
      <c r="V166" t="str">
        <f t="shared" si="37"/>
        <v>OK</v>
      </c>
      <c r="W166" t="str">
        <f t="shared" si="38"/>
        <v>OK</v>
      </c>
      <c r="X166" t="str">
        <f t="shared" si="39"/>
        <v>OK</v>
      </c>
      <c r="Y166" t="str">
        <f t="shared" si="40"/>
        <v>OK</v>
      </c>
      <c r="Z166">
        <v>161</v>
      </c>
      <c r="AA166">
        <v>163</v>
      </c>
      <c r="AB166" t="s">
        <v>2432</v>
      </c>
      <c r="AC166" t="s">
        <v>162</v>
      </c>
      <c r="AD166" t="s">
        <v>468</v>
      </c>
      <c r="AE166" t="s">
        <v>640</v>
      </c>
      <c r="AG166" t="s">
        <v>897</v>
      </c>
      <c r="AI166" t="s">
        <v>2457</v>
      </c>
      <c r="AJ166" t="s">
        <v>1400</v>
      </c>
      <c r="AK166" t="s">
        <v>2432</v>
      </c>
      <c r="AL166" t="s">
        <v>2433</v>
      </c>
      <c r="AN166" t="str">
        <f t="shared" si="42"/>
        <v>OK</v>
      </c>
      <c r="AO166" t="str">
        <f t="shared" si="43"/>
        <v>OK</v>
      </c>
      <c r="AP166" t="str">
        <f t="shared" si="44"/>
        <v>OK</v>
      </c>
      <c r="AR166" t="str">
        <f t="shared" si="45"/>
        <v>OK</v>
      </c>
      <c r="AS166" t="str">
        <f t="shared" si="46"/>
        <v>OK</v>
      </c>
      <c r="AT166" t="str">
        <f t="shared" si="47"/>
        <v>NOK</v>
      </c>
      <c r="AU166" t="str">
        <f t="shared" si="48"/>
        <v>OK</v>
      </c>
      <c r="AV166" t="str">
        <f t="shared" si="49"/>
        <v>OK</v>
      </c>
      <c r="AW166" t="str">
        <f t="shared" si="50"/>
        <v>OK</v>
      </c>
    </row>
    <row r="167" spans="1:49">
      <c r="A167">
        <f>Dbase_velden_versie4_2!A163</f>
        <v>163</v>
      </c>
      <c r="B167" t="str">
        <f>Dbase_velden_versie4_2!B163</f>
        <v>CRS_BOVENGRENS_GRENSSPANNING_B</v>
      </c>
      <c r="C167" t="str">
        <f>Dbase_velden_versie4_2!C163</f>
        <v>kPa</v>
      </c>
      <c r="D167" t="str">
        <f>Dbase_velden_versie4_2!D163</f>
        <v>De bovengrens voor de grensspanning B</v>
      </c>
      <c r="E167" t="str">
        <f>Dbase_velden_versie4_2!E163</f>
        <v>Double</v>
      </c>
      <c r="F167">
        <f>Dbase_velden_versie4_2!F163</f>
        <v>0</v>
      </c>
      <c r="G167" t="str">
        <f>Dbase_velden_versie4_2!G163</f>
        <v>CRS BOVENGRENS GRENSSPANNING B</v>
      </c>
      <c r="H167" t="str">
        <f>Dbase_velden_versie4_2!H163</f>
        <v>[kPa]</v>
      </c>
      <c r="I167" t="str">
        <f>Dbase_velden_versie4_2!I163</f>
        <v>CRS</v>
      </c>
      <c r="J167" t="str">
        <f>Dbase_velden_versie4_2!J163</f>
        <v>CRS proef</v>
      </c>
      <c r="K167">
        <v>163</v>
      </c>
      <c r="L167" t="str">
        <v>CRS_BOVENGRENS_GRENSSPANNING_B</v>
      </c>
      <c r="M167" t="str">
        <v>kPa</v>
      </c>
      <c r="N167" t="str">
        <v>De bovengrens voor de grensspanning B</v>
      </c>
      <c r="O167" t="str">
        <v>Double</v>
      </c>
      <c r="P167">
        <v>0</v>
      </c>
      <c r="Q167" t="str">
        <v>CRS BOVENGRENS GRENSSPANNING B</v>
      </c>
      <c r="R167" t="str">
        <v>[kPa]</v>
      </c>
      <c r="S167" t="str">
        <f t="shared" si="41"/>
        <v>OK</v>
      </c>
      <c r="T167" t="str">
        <f t="shared" si="35"/>
        <v>OK</v>
      </c>
      <c r="U167" t="str">
        <f t="shared" si="36"/>
        <v>OK</v>
      </c>
      <c r="V167" t="str">
        <f t="shared" si="37"/>
        <v>OK</v>
      </c>
      <c r="W167" t="str">
        <f t="shared" si="38"/>
        <v>OK</v>
      </c>
      <c r="X167" t="str">
        <f t="shared" si="39"/>
        <v>OK</v>
      </c>
      <c r="Y167" t="str">
        <f t="shared" si="40"/>
        <v>OK</v>
      </c>
      <c r="Z167">
        <v>162</v>
      </c>
      <c r="AA167">
        <v>164</v>
      </c>
      <c r="AB167" t="s">
        <v>2432</v>
      </c>
      <c r="AC167" t="s">
        <v>163</v>
      </c>
      <c r="AD167" t="s">
        <v>470</v>
      </c>
      <c r="AE167" t="s">
        <v>641</v>
      </c>
      <c r="AG167" t="s">
        <v>897</v>
      </c>
      <c r="AI167" t="s">
        <v>2458</v>
      </c>
      <c r="AJ167" t="s">
        <v>1402</v>
      </c>
      <c r="AK167" t="s">
        <v>2432</v>
      </c>
      <c r="AL167" t="s">
        <v>2433</v>
      </c>
      <c r="AN167" t="str">
        <f t="shared" si="42"/>
        <v>OK</v>
      </c>
      <c r="AO167" t="str">
        <f t="shared" si="43"/>
        <v>OK</v>
      </c>
      <c r="AP167" t="str">
        <f t="shared" si="44"/>
        <v>OK</v>
      </c>
      <c r="AR167" t="str">
        <f t="shared" si="45"/>
        <v>OK</v>
      </c>
      <c r="AS167" t="str">
        <f t="shared" si="46"/>
        <v>OK</v>
      </c>
      <c r="AT167" t="str">
        <f t="shared" si="47"/>
        <v>NOK</v>
      </c>
      <c r="AU167" t="str">
        <f t="shared" si="48"/>
        <v>OK</v>
      </c>
      <c r="AV167" t="str">
        <f t="shared" si="49"/>
        <v>OK</v>
      </c>
      <c r="AW167" t="str">
        <f t="shared" si="50"/>
        <v>OK</v>
      </c>
    </row>
    <row r="168" spans="1:49">
      <c r="A168">
        <f>Dbase_velden_versie4_2!A164</f>
        <v>164</v>
      </c>
      <c r="B168" t="str">
        <f>Dbase_velden_versie4_2!B164</f>
        <v>CRS_ISOTACHE_A</v>
      </c>
      <c r="C168" t="str">
        <f>Dbase_velden_versie4_2!C164</f>
        <v>-</v>
      </c>
      <c r="D168" t="str">
        <f>Dbase_velden_versie4_2!D164</f>
        <v>Waarde van de a-parameters van de isotachen</v>
      </c>
      <c r="E168" t="str">
        <f>Dbase_velden_versie4_2!E164</f>
        <v>Double</v>
      </c>
      <c r="F168" t="str">
        <f>Dbase_velden_versie4_2!F164</f>
        <v>0 - 1</v>
      </c>
      <c r="G168" t="str">
        <f>Dbase_velden_versie4_2!G164</f>
        <v>CRS ISOTACHE A</v>
      </c>
      <c r="H168" t="str">
        <f>Dbase_velden_versie4_2!H164</f>
        <v>[-]</v>
      </c>
      <c r="I168" t="str">
        <f>Dbase_velden_versie4_2!I164</f>
        <v>CRS</v>
      </c>
      <c r="J168" t="str">
        <f>Dbase_velden_versie4_2!J164</f>
        <v>CRS proef</v>
      </c>
      <c r="K168">
        <v>164</v>
      </c>
      <c r="L168" t="str">
        <v>CRS_ISOTACHE_A</v>
      </c>
      <c r="M168" t="str">
        <v>-</v>
      </c>
      <c r="N168" t="str">
        <v>Waarde van de a-parameters van de isotachen</v>
      </c>
      <c r="O168" t="str">
        <v>Double</v>
      </c>
      <c r="P168" t="str">
        <v>0 - 1</v>
      </c>
      <c r="Q168" t="str">
        <v>CRS ISOTACHE A</v>
      </c>
      <c r="R168" t="str">
        <v>[-]</v>
      </c>
      <c r="S168" t="str">
        <f t="shared" si="41"/>
        <v>OK</v>
      </c>
      <c r="T168" t="str">
        <f t="shared" si="35"/>
        <v>OK</v>
      </c>
      <c r="U168" t="str">
        <f t="shared" si="36"/>
        <v>OK</v>
      </c>
      <c r="V168" t="str">
        <f t="shared" si="37"/>
        <v>OK</v>
      </c>
      <c r="W168" t="str">
        <f t="shared" si="38"/>
        <v>OK</v>
      </c>
      <c r="X168" t="str">
        <f t="shared" si="39"/>
        <v>OK</v>
      </c>
      <c r="Y168" t="str">
        <f t="shared" si="40"/>
        <v>OK</v>
      </c>
      <c r="Z168">
        <v>163</v>
      </c>
      <c r="AA168">
        <v>165</v>
      </c>
      <c r="AB168" t="s">
        <v>2432</v>
      </c>
      <c r="AC168" t="s">
        <v>164</v>
      </c>
      <c r="AD168" t="s">
        <v>463</v>
      </c>
      <c r="AE168" t="s">
        <v>642</v>
      </c>
      <c r="AG168" t="s">
        <v>897</v>
      </c>
      <c r="AH168" t="s">
        <v>924</v>
      </c>
      <c r="AI168" t="s">
        <v>2459</v>
      </c>
      <c r="AJ168" t="s">
        <v>1395</v>
      </c>
      <c r="AK168" t="s">
        <v>2432</v>
      </c>
      <c r="AL168" t="s">
        <v>2433</v>
      </c>
      <c r="AN168" t="str">
        <f t="shared" si="42"/>
        <v>OK</v>
      </c>
      <c r="AO168" t="str">
        <f t="shared" si="43"/>
        <v>OK</v>
      </c>
      <c r="AP168" t="str">
        <f t="shared" si="44"/>
        <v>OK</v>
      </c>
      <c r="AR168" t="str">
        <f t="shared" si="45"/>
        <v>OK</v>
      </c>
      <c r="AS168" t="str">
        <f t="shared" si="46"/>
        <v>OK</v>
      </c>
      <c r="AT168" t="str">
        <f t="shared" si="47"/>
        <v>NOK</v>
      </c>
      <c r="AU168" t="str">
        <f t="shared" si="48"/>
        <v>OK</v>
      </c>
      <c r="AV168" t="str">
        <f t="shared" si="49"/>
        <v>OK</v>
      </c>
      <c r="AW168" t="str">
        <f t="shared" si="50"/>
        <v>OK</v>
      </c>
    </row>
    <row r="169" spans="1:49">
      <c r="A169">
        <f>Dbase_velden_versie4_2!A165</f>
        <v>165</v>
      </c>
      <c r="B169" t="str">
        <f>Dbase_velden_versie4_2!B165</f>
        <v>CRS_ISOTACHE_B</v>
      </c>
      <c r="C169" t="str">
        <f>Dbase_velden_versie4_2!C165</f>
        <v>-</v>
      </c>
      <c r="D169" t="str">
        <f>Dbase_velden_versie4_2!D165</f>
        <v>Waarde van de b-parameters van de isotachen</v>
      </c>
      <c r="E169" t="str">
        <f>Dbase_velden_versie4_2!E165</f>
        <v>Double</v>
      </c>
      <c r="F169" t="str">
        <f>Dbase_velden_versie4_2!F165</f>
        <v>0 - 1</v>
      </c>
      <c r="G169" t="str">
        <f>Dbase_velden_versie4_2!G165</f>
        <v>CRS ISOTACHE B</v>
      </c>
      <c r="H169" t="str">
        <f>Dbase_velden_versie4_2!H165</f>
        <v>[-]</v>
      </c>
      <c r="I169" t="str">
        <f>Dbase_velden_versie4_2!I165</f>
        <v>CRS</v>
      </c>
      <c r="J169" t="str">
        <f>Dbase_velden_versie4_2!J165</f>
        <v>CRS proef</v>
      </c>
      <c r="K169">
        <v>165</v>
      </c>
      <c r="L169" t="str">
        <v>CRS_ISOTACHE_B</v>
      </c>
      <c r="M169" t="str">
        <v>-</v>
      </c>
      <c r="N169" t="str">
        <v>Waarde van de b-parameters van de isotachen</v>
      </c>
      <c r="O169" t="str">
        <v>Double</v>
      </c>
      <c r="P169" t="str">
        <v>0 - 1</v>
      </c>
      <c r="Q169" t="str">
        <v>CRS ISOTACHE B</v>
      </c>
      <c r="R169" t="str">
        <v>[-]</v>
      </c>
      <c r="S169" t="str">
        <f t="shared" si="41"/>
        <v>OK</v>
      </c>
      <c r="T169" t="str">
        <f t="shared" si="35"/>
        <v>OK</v>
      </c>
      <c r="U169" t="str">
        <f t="shared" si="36"/>
        <v>OK</v>
      </c>
      <c r="V169" t="str">
        <f t="shared" si="37"/>
        <v>OK</v>
      </c>
      <c r="W169" t="str">
        <f t="shared" si="38"/>
        <v>OK</v>
      </c>
      <c r="X169" t="str">
        <f t="shared" si="39"/>
        <v>OK</v>
      </c>
      <c r="Y169" t="str">
        <f t="shared" si="40"/>
        <v>OK</v>
      </c>
      <c r="Z169">
        <v>164</v>
      </c>
      <c r="AA169">
        <v>166</v>
      </c>
      <c r="AB169" t="s">
        <v>2432</v>
      </c>
      <c r="AC169" t="s">
        <v>165</v>
      </c>
      <c r="AD169" t="s">
        <v>463</v>
      </c>
      <c r="AE169" t="s">
        <v>643</v>
      </c>
      <c r="AG169" t="s">
        <v>897</v>
      </c>
      <c r="AH169" t="s">
        <v>924</v>
      </c>
      <c r="AI169" t="s">
        <v>2460</v>
      </c>
      <c r="AJ169" t="s">
        <v>1395</v>
      </c>
      <c r="AK169" t="s">
        <v>2432</v>
      </c>
      <c r="AL169" t="s">
        <v>2433</v>
      </c>
      <c r="AN169" t="str">
        <f t="shared" si="42"/>
        <v>OK</v>
      </c>
      <c r="AO169" t="str">
        <f t="shared" si="43"/>
        <v>OK</v>
      </c>
      <c r="AP169" t="str">
        <f t="shared" si="44"/>
        <v>OK</v>
      </c>
      <c r="AR169" t="str">
        <f t="shared" si="45"/>
        <v>OK</v>
      </c>
      <c r="AS169" t="str">
        <f t="shared" si="46"/>
        <v>OK</v>
      </c>
      <c r="AT169" t="str">
        <f t="shared" si="47"/>
        <v>NOK</v>
      </c>
      <c r="AU169" t="str">
        <f t="shared" si="48"/>
        <v>OK</v>
      </c>
      <c r="AV169" t="str">
        <f t="shared" si="49"/>
        <v>OK</v>
      </c>
      <c r="AW169" t="str">
        <f t="shared" si="50"/>
        <v>OK</v>
      </c>
    </row>
    <row r="170" spans="1:49">
      <c r="A170">
        <f>Dbase_velden_versie4_2!A166</f>
        <v>166</v>
      </c>
      <c r="B170" t="str">
        <f>Dbase_velden_versie4_2!B166</f>
        <v>CRS_ISOTACHE_C</v>
      </c>
      <c r="C170" t="str">
        <f>Dbase_velden_versie4_2!C166</f>
        <v>-</v>
      </c>
      <c r="D170" t="str">
        <f>Dbase_velden_versie4_2!D166</f>
        <v>Waarde van de c-parameters van de isotachen</v>
      </c>
      <c r="E170" t="str">
        <f>Dbase_velden_versie4_2!E166</f>
        <v>Double</v>
      </c>
      <c r="F170" t="str">
        <f>Dbase_velden_versie4_2!F166</f>
        <v>0 - 1</v>
      </c>
      <c r="G170" t="str">
        <f>Dbase_velden_versie4_2!G166</f>
        <v>CRS ISOTACHE C</v>
      </c>
      <c r="H170" t="str">
        <f>Dbase_velden_versie4_2!H166</f>
        <v>[-]</v>
      </c>
      <c r="I170" t="str">
        <f>Dbase_velden_versie4_2!I166</f>
        <v>CRS</v>
      </c>
      <c r="J170" t="str">
        <f>Dbase_velden_versie4_2!J166</f>
        <v>CRS proef</v>
      </c>
      <c r="K170">
        <v>166</v>
      </c>
      <c r="L170" t="str">
        <v>CRS_ISOTACHE_C</v>
      </c>
      <c r="M170" t="str">
        <v>-</v>
      </c>
      <c r="N170" t="str">
        <v>Waarde van de c-parameters van de isotachen</v>
      </c>
      <c r="O170" t="str">
        <v>Double</v>
      </c>
      <c r="P170" t="str">
        <v>0 - 1</v>
      </c>
      <c r="Q170" t="str">
        <v>CRS ISOTACHE C</v>
      </c>
      <c r="R170" t="str">
        <v>[-]</v>
      </c>
      <c r="S170" t="str">
        <f t="shared" si="41"/>
        <v>OK</v>
      </c>
      <c r="T170" t="str">
        <f t="shared" si="35"/>
        <v>OK</v>
      </c>
      <c r="U170" t="str">
        <f t="shared" si="36"/>
        <v>OK</v>
      </c>
      <c r="V170" t="str">
        <f t="shared" si="37"/>
        <v>OK</v>
      </c>
      <c r="W170" t="str">
        <f t="shared" si="38"/>
        <v>OK</v>
      </c>
      <c r="X170" t="str">
        <f t="shared" si="39"/>
        <v>OK</v>
      </c>
      <c r="Y170" t="str">
        <f t="shared" si="40"/>
        <v>OK</v>
      </c>
      <c r="Z170">
        <v>165</v>
      </c>
      <c r="AA170">
        <v>167</v>
      </c>
      <c r="AB170" t="s">
        <v>2432</v>
      </c>
      <c r="AC170" t="s">
        <v>166</v>
      </c>
      <c r="AD170" t="s">
        <v>463</v>
      </c>
      <c r="AE170" t="s">
        <v>644</v>
      </c>
      <c r="AG170" t="s">
        <v>897</v>
      </c>
      <c r="AH170" t="s">
        <v>924</v>
      </c>
      <c r="AI170" t="s">
        <v>2461</v>
      </c>
      <c r="AJ170" t="s">
        <v>1395</v>
      </c>
      <c r="AK170" t="s">
        <v>2432</v>
      </c>
      <c r="AL170" t="s">
        <v>2433</v>
      </c>
      <c r="AN170" t="str">
        <f t="shared" si="42"/>
        <v>OK</v>
      </c>
      <c r="AO170" t="str">
        <f t="shared" si="43"/>
        <v>OK</v>
      </c>
      <c r="AP170" t="str">
        <f t="shared" si="44"/>
        <v>OK</v>
      </c>
      <c r="AR170" t="str">
        <f t="shared" si="45"/>
        <v>OK</v>
      </c>
      <c r="AS170" t="str">
        <f t="shared" si="46"/>
        <v>OK</v>
      </c>
      <c r="AT170" t="str">
        <f t="shared" si="47"/>
        <v>NOK</v>
      </c>
      <c r="AU170" t="str">
        <f t="shared" si="48"/>
        <v>OK</v>
      </c>
      <c r="AV170" t="str">
        <f t="shared" si="49"/>
        <v>OK</v>
      </c>
      <c r="AW170" t="str">
        <f t="shared" si="50"/>
        <v>OK</v>
      </c>
    </row>
    <row r="171" spans="1:49">
      <c r="A171">
        <f>Dbase_velden_versie4_2!A167</f>
        <v>167</v>
      </c>
      <c r="B171" t="str">
        <f>Dbase_velden_versie4_2!B167</f>
        <v>SD_FILENAAM_PDF</v>
      </c>
      <c r="C171" t="str">
        <f>Dbase_velden_versie4_2!C167</f>
        <v>-</v>
      </c>
      <c r="D171" t="str">
        <f>Dbase_velden_versie4_2!D167</f>
        <v>Bestandnaam van de pdf waarin de samendrukkings-proef is gerapporteerd</v>
      </c>
      <c r="E171" t="str">
        <f>Dbase_velden_versie4_2!E167</f>
        <v>String</v>
      </c>
      <c r="F171">
        <f>Dbase_velden_versie4_2!F167</f>
        <v>0</v>
      </c>
      <c r="G171" t="str">
        <f>Dbase_velden_versie4_2!G167</f>
        <v>SD FILENAAM PDF</v>
      </c>
      <c r="H171" t="str">
        <f>Dbase_velden_versie4_2!H167</f>
        <v>[-]</v>
      </c>
      <c r="I171" t="str">
        <f>Dbase_velden_versie4_2!I167</f>
        <v>SD</v>
      </c>
      <c r="J171" t="str">
        <f>Dbase_velden_versie4_2!J167</f>
        <v>Samendrukkingsproef</v>
      </c>
      <c r="K171">
        <v>167</v>
      </c>
      <c r="L171" t="str">
        <v>SD_FILENAAM_PDF</v>
      </c>
      <c r="M171" t="str">
        <v>-</v>
      </c>
      <c r="N171" t="str">
        <v>Bestandnaam van de pdf waarin de samendrukkings-proef is gerapporteerd</v>
      </c>
      <c r="O171" t="str">
        <v>String</v>
      </c>
      <c r="P171">
        <v>0</v>
      </c>
      <c r="Q171" t="str">
        <v>SD FILENAAM PDF</v>
      </c>
      <c r="R171" t="str">
        <v>[-]</v>
      </c>
      <c r="S171" t="str">
        <f t="shared" si="41"/>
        <v>OK</v>
      </c>
      <c r="T171" t="str">
        <f t="shared" si="35"/>
        <v>OK</v>
      </c>
      <c r="U171" t="str">
        <f t="shared" si="36"/>
        <v>OK</v>
      </c>
      <c r="V171" t="str">
        <f t="shared" si="37"/>
        <v>OK</v>
      </c>
      <c r="W171" t="str">
        <f t="shared" si="38"/>
        <v>OK</v>
      </c>
      <c r="X171" t="str">
        <f t="shared" si="39"/>
        <v>OK</v>
      </c>
      <c r="Y171" t="str">
        <f t="shared" si="40"/>
        <v>OK</v>
      </c>
      <c r="Z171">
        <v>166</v>
      </c>
      <c r="AA171">
        <v>168</v>
      </c>
      <c r="AB171" t="s">
        <v>2462</v>
      </c>
      <c r="AC171" t="s">
        <v>167</v>
      </c>
      <c r="AD171" t="s">
        <v>463</v>
      </c>
      <c r="AE171" t="s">
        <v>645</v>
      </c>
      <c r="AG171" t="s">
        <v>896</v>
      </c>
      <c r="AI171" t="s">
        <v>2328</v>
      </c>
      <c r="AJ171" t="s">
        <v>1395</v>
      </c>
      <c r="AK171" t="s">
        <v>2462</v>
      </c>
      <c r="AL171" t="s">
        <v>2463</v>
      </c>
      <c r="AN171" t="str">
        <f t="shared" si="42"/>
        <v>OK</v>
      </c>
      <c r="AO171" t="str">
        <f t="shared" si="43"/>
        <v>OK</v>
      </c>
      <c r="AP171" t="str">
        <f t="shared" si="44"/>
        <v>OK</v>
      </c>
      <c r="AR171" t="str">
        <f t="shared" si="45"/>
        <v>OK</v>
      </c>
      <c r="AS171" t="str">
        <f t="shared" si="46"/>
        <v>OK</v>
      </c>
      <c r="AT171" t="str">
        <f t="shared" si="47"/>
        <v>NOK</v>
      </c>
      <c r="AU171" t="str">
        <f t="shared" si="48"/>
        <v>OK</v>
      </c>
      <c r="AV171" t="str">
        <f t="shared" si="49"/>
        <v>OK</v>
      </c>
      <c r="AW171" t="str">
        <f t="shared" si="50"/>
        <v>OK</v>
      </c>
    </row>
    <row r="172" spans="1:49">
      <c r="A172">
        <f>Dbase_velden_versie4_2!A168</f>
        <v>168</v>
      </c>
      <c r="B172" t="str">
        <f>Dbase_velden_versie4_2!B168</f>
        <v>SD_FILENAAM_SPANNINGSPAD</v>
      </c>
      <c r="C172" t="str">
        <f>Dbase_velden_versie4_2!C168</f>
        <v>-</v>
      </c>
      <c r="D172" t="str">
        <f>Dbase_velden_versie4_2!D168</f>
        <v>Bestandsnaam van de file waarin het spanningspad conform het STOWA-format is opgenomen</v>
      </c>
      <c r="E172" t="str">
        <f>Dbase_velden_versie4_2!E168</f>
        <v>String</v>
      </c>
      <c r="F172">
        <f>Dbase_velden_versie4_2!F168</f>
        <v>0</v>
      </c>
      <c r="G172" t="str">
        <f>Dbase_velden_versie4_2!G168</f>
        <v>SD FILENAAM SPANNINGSPAD</v>
      </c>
      <c r="H172" t="str">
        <f>Dbase_velden_versie4_2!H168</f>
        <v>[-]</v>
      </c>
      <c r="I172" t="str">
        <f>Dbase_velden_versie4_2!I168</f>
        <v>SD</v>
      </c>
      <c r="J172" t="str">
        <f>Dbase_velden_versie4_2!J168</f>
        <v>Samendrukkingsproef</v>
      </c>
      <c r="K172">
        <v>168</v>
      </c>
      <c r="L172" t="str">
        <v>SD_FILENAAM_SPANNINGSPAD</v>
      </c>
      <c r="M172" t="str">
        <v>-</v>
      </c>
      <c r="N172" t="str">
        <v>Bestandsnaam van de file waarin het spanningspad conform het STOWA-format is opgenomen</v>
      </c>
      <c r="O172" t="str">
        <v>String</v>
      </c>
      <c r="P172">
        <v>0</v>
      </c>
      <c r="Q172" t="str">
        <v>SD FILENAAM SPANNINGSPAD</v>
      </c>
      <c r="R172" t="str">
        <v>[-]</v>
      </c>
      <c r="S172" t="str">
        <f t="shared" si="41"/>
        <v>OK</v>
      </c>
      <c r="T172" t="str">
        <f t="shared" si="35"/>
        <v>OK</v>
      </c>
      <c r="U172" t="str">
        <f t="shared" si="36"/>
        <v>OK</v>
      </c>
      <c r="V172" t="str">
        <f t="shared" si="37"/>
        <v>OK</v>
      </c>
      <c r="W172" t="str">
        <f t="shared" si="38"/>
        <v>OK</v>
      </c>
      <c r="X172" t="str">
        <f t="shared" si="39"/>
        <v>OK</v>
      </c>
      <c r="Y172" t="str">
        <f t="shared" si="40"/>
        <v>OK</v>
      </c>
      <c r="Z172">
        <v>167</v>
      </c>
      <c r="AA172">
        <v>169</v>
      </c>
      <c r="AB172" t="s">
        <v>2462</v>
      </c>
      <c r="AC172" t="s">
        <v>168</v>
      </c>
      <c r="AD172" t="s">
        <v>463</v>
      </c>
      <c r="AE172" t="s">
        <v>612</v>
      </c>
      <c r="AG172" t="s">
        <v>896</v>
      </c>
      <c r="AI172" t="s">
        <v>2464</v>
      </c>
      <c r="AJ172" t="s">
        <v>1395</v>
      </c>
      <c r="AK172" t="s">
        <v>2462</v>
      </c>
      <c r="AL172" t="s">
        <v>2463</v>
      </c>
      <c r="AN172" t="str">
        <f t="shared" si="42"/>
        <v>OK</v>
      </c>
      <c r="AO172" t="str">
        <f t="shared" si="43"/>
        <v>OK</v>
      </c>
      <c r="AP172" t="str">
        <f t="shared" si="44"/>
        <v>OK</v>
      </c>
      <c r="AR172" t="str">
        <f t="shared" si="45"/>
        <v>OK</v>
      </c>
      <c r="AS172" t="str">
        <f t="shared" si="46"/>
        <v>OK</v>
      </c>
      <c r="AT172" t="str">
        <f t="shared" si="47"/>
        <v>NOK</v>
      </c>
      <c r="AU172" t="str">
        <f t="shared" si="48"/>
        <v>OK</v>
      </c>
      <c r="AV172" t="str">
        <f t="shared" si="49"/>
        <v>OK</v>
      </c>
      <c r="AW172" t="str">
        <f t="shared" si="50"/>
        <v>OK</v>
      </c>
    </row>
    <row r="173" spans="1:49">
      <c r="A173">
        <f>Dbase_velden_versie4_2!A169</f>
        <v>169</v>
      </c>
      <c r="B173" t="str">
        <f>Dbase_velden_versie4_2!B169</f>
        <v>SD_MONSTERID</v>
      </c>
      <c r="C173" t="str">
        <f>Dbase_velden_versie4_2!C169</f>
        <v>-</v>
      </c>
      <c r="D173" t="str">
        <f>Dbase_velden_versie4_2!D169</f>
        <v>Monsternummering van de samendrukkingsproef</v>
      </c>
      <c r="E173" t="str">
        <f>Dbase_velden_versie4_2!E169</f>
        <v>String</v>
      </c>
      <c r="F173">
        <f>Dbase_velden_versie4_2!F169</f>
        <v>0</v>
      </c>
      <c r="G173" t="str">
        <f>Dbase_velden_versie4_2!G169</f>
        <v>SD MONSTERID</v>
      </c>
      <c r="H173" t="str">
        <f>Dbase_velden_versie4_2!H169</f>
        <v>[-]</v>
      </c>
      <c r="I173" t="str">
        <f>Dbase_velden_versie4_2!I169</f>
        <v>SD</v>
      </c>
      <c r="J173" t="str">
        <f>Dbase_velden_versie4_2!J169</f>
        <v>Samendrukkingsproef</v>
      </c>
      <c r="K173">
        <v>169</v>
      </c>
      <c r="L173" t="str">
        <v>SD_MONSTERID</v>
      </c>
      <c r="M173" t="str">
        <v>-</v>
      </c>
      <c r="N173" t="str">
        <v>Monsternummering van de samendrukkingsproef</v>
      </c>
      <c r="O173" t="str">
        <v>String</v>
      </c>
      <c r="P173">
        <v>0</v>
      </c>
      <c r="Q173" t="str">
        <v>SD MONSTERID</v>
      </c>
      <c r="R173" t="str">
        <v>[-]</v>
      </c>
      <c r="S173" t="str">
        <f t="shared" si="41"/>
        <v>OK</v>
      </c>
      <c r="T173" t="str">
        <f t="shared" si="35"/>
        <v>OK</v>
      </c>
      <c r="U173" t="str">
        <f t="shared" si="36"/>
        <v>OK</v>
      </c>
      <c r="V173" t="str">
        <f t="shared" si="37"/>
        <v>OK</v>
      </c>
      <c r="W173" t="str">
        <f t="shared" si="38"/>
        <v>OK</v>
      </c>
      <c r="X173" t="str">
        <f t="shared" si="39"/>
        <v>OK</v>
      </c>
      <c r="Y173" t="str">
        <f t="shared" si="40"/>
        <v>OK</v>
      </c>
      <c r="Z173">
        <v>168</v>
      </c>
      <c r="AA173">
        <v>170</v>
      </c>
      <c r="AB173" t="s">
        <v>2462</v>
      </c>
      <c r="AC173" t="s">
        <v>169</v>
      </c>
      <c r="AD173" t="s">
        <v>463</v>
      </c>
      <c r="AE173" t="s">
        <v>646</v>
      </c>
      <c r="AG173" t="s">
        <v>896</v>
      </c>
      <c r="AI173" t="s">
        <v>2348</v>
      </c>
      <c r="AJ173" t="s">
        <v>1395</v>
      </c>
      <c r="AK173" t="s">
        <v>2462</v>
      </c>
      <c r="AL173" t="s">
        <v>2463</v>
      </c>
      <c r="AN173" t="str">
        <f t="shared" si="42"/>
        <v>OK</v>
      </c>
      <c r="AO173" t="str">
        <f t="shared" si="43"/>
        <v>OK</v>
      </c>
      <c r="AP173" t="str">
        <f t="shared" si="44"/>
        <v>OK</v>
      </c>
      <c r="AR173" t="str">
        <f t="shared" si="45"/>
        <v>OK</v>
      </c>
      <c r="AS173" t="str">
        <f t="shared" si="46"/>
        <v>OK</v>
      </c>
      <c r="AT173" t="str">
        <f t="shared" si="47"/>
        <v>NOK</v>
      </c>
      <c r="AU173" t="str">
        <f t="shared" si="48"/>
        <v>OK</v>
      </c>
      <c r="AV173" t="str">
        <f t="shared" si="49"/>
        <v>OK</v>
      </c>
      <c r="AW173" t="str">
        <f t="shared" si="50"/>
        <v>OK</v>
      </c>
    </row>
    <row r="174" spans="1:49">
      <c r="A174">
        <f>Dbase_velden_versie4_2!A170</f>
        <v>170</v>
      </c>
      <c r="B174" t="str">
        <f>Dbase_velden_versie4_2!B170</f>
        <v>SD_LABORATORIUM</v>
      </c>
      <c r="C174" t="str">
        <f>Dbase_velden_versie4_2!C170</f>
        <v>-</v>
      </c>
      <c r="D174" t="str">
        <f>Dbase_velden_versie4_2!D170</f>
        <v>Laboratorium waar de samendrukkingsproef is uitgevoerd</v>
      </c>
      <c r="E174" t="str">
        <f>Dbase_velden_versie4_2!E170</f>
        <v>String</v>
      </c>
      <c r="F174">
        <f>Dbase_velden_versie4_2!F170</f>
        <v>0</v>
      </c>
      <c r="G174" t="str">
        <f>Dbase_velden_versie4_2!G170</f>
        <v>SD LABORATORIUM</v>
      </c>
      <c r="H174" t="str">
        <f>Dbase_velden_versie4_2!H170</f>
        <v>[-]</v>
      </c>
      <c r="I174" t="str">
        <f>Dbase_velden_versie4_2!I170</f>
        <v>SD</v>
      </c>
      <c r="J174" t="str">
        <f>Dbase_velden_versie4_2!J170</f>
        <v>Samendrukkingsproef</v>
      </c>
      <c r="K174">
        <v>170</v>
      </c>
      <c r="L174" t="str">
        <v>SD_LABORATORIUM</v>
      </c>
      <c r="M174" t="str">
        <v>-</v>
      </c>
      <c r="N174" t="str">
        <v>Laboratorium waar de samendrukkingsproef is uitgevoerd</v>
      </c>
      <c r="O174" t="str">
        <v>String</v>
      </c>
      <c r="P174">
        <v>0</v>
      </c>
      <c r="Q174" t="str">
        <v>SD LABORATORIUM</v>
      </c>
      <c r="R174" t="str">
        <v>[-]</v>
      </c>
      <c r="S174" t="str">
        <f t="shared" si="41"/>
        <v>OK</v>
      </c>
      <c r="T174" t="str">
        <f t="shared" si="35"/>
        <v>OK</v>
      </c>
      <c r="U174" t="str">
        <f t="shared" si="36"/>
        <v>OK</v>
      </c>
      <c r="V174" t="str">
        <f t="shared" si="37"/>
        <v>OK</v>
      </c>
      <c r="W174" t="str">
        <f t="shared" si="38"/>
        <v>OK</v>
      </c>
      <c r="X174" t="str">
        <f t="shared" si="39"/>
        <v>OK</v>
      </c>
      <c r="Y174" t="str">
        <f t="shared" si="40"/>
        <v>OK</v>
      </c>
      <c r="Z174">
        <v>169</v>
      </c>
      <c r="AA174">
        <v>171</v>
      </c>
      <c r="AB174" t="s">
        <v>2462</v>
      </c>
      <c r="AC174" t="s">
        <v>170</v>
      </c>
      <c r="AD174" t="s">
        <v>463</v>
      </c>
      <c r="AE174" t="s">
        <v>647</v>
      </c>
      <c r="AG174" t="s">
        <v>896</v>
      </c>
      <c r="AI174" t="s">
        <v>2391</v>
      </c>
      <c r="AJ174" t="s">
        <v>1395</v>
      </c>
      <c r="AK174" t="s">
        <v>2462</v>
      </c>
      <c r="AL174" t="s">
        <v>2463</v>
      </c>
      <c r="AN174" t="str">
        <f t="shared" si="42"/>
        <v>OK</v>
      </c>
      <c r="AO174" t="str">
        <f t="shared" si="43"/>
        <v>OK</v>
      </c>
      <c r="AP174" t="str">
        <f t="shared" si="44"/>
        <v>OK</v>
      </c>
      <c r="AR174" t="str">
        <f t="shared" si="45"/>
        <v>OK</v>
      </c>
      <c r="AS174" t="str">
        <f t="shared" si="46"/>
        <v>OK</v>
      </c>
      <c r="AT174" t="str">
        <f t="shared" si="47"/>
        <v>NOK</v>
      </c>
      <c r="AU174" t="str">
        <f t="shared" si="48"/>
        <v>OK</v>
      </c>
      <c r="AV174" t="str">
        <f t="shared" si="49"/>
        <v>OK</v>
      </c>
      <c r="AW174" t="str">
        <f t="shared" si="50"/>
        <v>OK</v>
      </c>
    </row>
    <row r="175" spans="1:49">
      <c r="A175">
        <f>Dbase_velden_versie4_2!A171</f>
        <v>171</v>
      </c>
      <c r="B175" t="str">
        <f>Dbase_velden_versie4_2!B171</f>
        <v>SD_NORM</v>
      </c>
      <c r="C175" t="str">
        <f>Dbase_velden_versie4_2!C171</f>
        <v>-</v>
      </c>
      <c r="D175" t="str">
        <f>Dbase_velden_versie4_2!D171</f>
        <v>Bij de uitvoering van de samendrukkingsproef aangehouden normen</v>
      </c>
      <c r="E175" t="str">
        <f>Dbase_velden_versie4_2!E171</f>
        <v>String</v>
      </c>
      <c r="F175">
        <f>Dbase_velden_versie4_2!F171</f>
        <v>0</v>
      </c>
      <c r="G175" t="str">
        <f>Dbase_velden_versie4_2!G171</f>
        <v>SD NORM</v>
      </c>
      <c r="H175" t="str">
        <f>Dbase_velden_versie4_2!H171</f>
        <v>[-]</v>
      </c>
      <c r="I175" t="str">
        <f>Dbase_velden_versie4_2!I171</f>
        <v>SD</v>
      </c>
      <c r="J175" t="str">
        <f>Dbase_velden_versie4_2!J171</f>
        <v>Samendrukkingsproef</v>
      </c>
      <c r="K175">
        <v>171</v>
      </c>
      <c r="L175" t="str">
        <v>SD_NORM</v>
      </c>
      <c r="M175" t="str">
        <v>-</v>
      </c>
      <c r="N175" t="str">
        <v>Bij de uitvoering van de samendrukkingsproef aangehouden normen</v>
      </c>
      <c r="O175" t="str">
        <v>String</v>
      </c>
      <c r="P175">
        <v>0</v>
      </c>
      <c r="Q175" t="str">
        <v>SD NORM</v>
      </c>
      <c r="R175" t="str">
        <v>[-]</v>
      </c>
      <c r="S175" t="str">
        <f t="shared" si="41"/>
        <v>OK</v>
      </c>
      <c r="T175" t="str">
        <f t="shared" si="35"/>
        <v>OK</v>
      </c>
      <c r="U175" t="str">
        <f t="shared" si="36"/>
        <v>OK</v>
      </c>
      <c r="V175" t="str">
        <f t="shared" si="37"/>
        <v>OK</v>
      </c>
      <c r="W175" t="str">
        <f t="shared" si="38"/>
        <v>OK</v>
      </c>
      <c r="X175" t="str">
        <f t="shared" si="39"/>
        <v>OK</v>
      </c>
      <c r="Y175" t="str">
        <f t="shared" si="40"/>
        <v>OK</v>
      </c>
      <c r="Z175">
        <v>170</v>
      </c>
      <c r="AA175">
        <v>172</v>
      </c>
      <c r="AB175" t="s">
        <v>2462</v>
      </c>
      <c r="AC175" t="s">
        <v>171</v>
      </c>
      <c r="AD175" t="s">
        <v>463</v>
      </c>
      <c r="AE175" t="s">
        <v>648</v>
      </c>
      <c r="AG175" t="s">
        <v>896</v>
      </c>
      <c r="AI175" t="s">
        <v>2435</v>
      </c>
      <c r="AJ175" t="s">
        <v>1395</v>
      </c>
      <c r="AK175" t="s">
        <v>2462</v>
      </c>
      <c r="AL175" t="s">
        <v>2463</v>
      </c>
      <c r="AN175" t="str">
        <f t="shared" si="42"/>
        <v>OK</v>
      </c>
      <c r="AO175" t="str">
        <f t="shared" si="43"/>
        <v>OK</v>
      </c>
      <c r="AP175" t="str">
        <f t="shared" si="44"/>
        <v>OK</v>
      </c>
      <c r="AR175" t="str">
        <f t="shared" si="45"/>
        <v>OK</v>
      </c>
      <c r="AS175" t="str">
        <f t="shared" si="46"/>
        <v>OK</v>
      </c>
      <c r="AT175" t="str">
        <f t="shared" si="47"/>
        <v>NOK</v>
      </c>
      <c r="AU175" t="str">
        <f t="shared" si="48"/>
        <v>OK</v>
      </c>
      <c r="AV175" t="str">
        <f t="shared" si="49"/>
        <v>OK</v>
      </c>
      <c r="AW175" t="str">
        <f t="shared" si="50"/>
        <v>OK</v>
      </c>
    </row>
    <row r="176" spans="1:49">
      <c r="A176">
        <f>Dbase_velden_versie4_2!A172</f>
        <v>172</v>
      </c>
      <c r="B176" t="str">
        <f>Dbase_velden_versie4_2!B172</f>
        <v>SD_DATUM</v>
      </c>
      <c r="C176" t="str">
        <f>Dbase_velden_versie4_2!C172</f>
        <v>DD-MM-JJJJ</v>
      </c>
      <c r="D176" t="str">
        <f>Dbase_velden_versie4_2!D172</f>
        <v>Datum waarop de samendrukkingsproef is uitgevoerd</v>
      </c>
      <c r="E176" t="str">
        <f>Dbase_velden_versie4_2!E172</f>
        <v>Date</v>
      </c>
      <c r="F176">
        <f>Dbase_velden_versie4_2!F172</f>
        <v>0</v>
      </c>
      <c r="G176" t="str">
        <f>Dbase_velden_versie4_2!G172</f>
        <v>SD DATUM</v>
      </c>
      <c r="H176" t="str">
        <f>Dbase_velden_versie4_2!H172</f>
        <v>[DD-MM-JJJJ]</v>
      </c>
      <c r="I176" t="str">
        <f>Dbase_velden_versie4_2!I172</f>
        <v>SD</v>
      </c>
      <c r="J176" t="str">
        <f>Dbase_velden_versie4_2!J172</f>
        <v>Samendrukkingsproef</v>
      </c>
      <c r="K176">
        <v>172</v>
      </c>
      <c r="L176" t="str">
        <v>SD_DATUM</v>
      </c>
      <c r="M176" t="str">
        <v>DD-MM-JJJJ</v>
      </c>
      <c r="N176" t="str">
        <v>Datum waarop de samendrukkingsproef is uitgevoerd</v>
      </c>
      <c r="O176" t="str">
        <v>Date</v>
      </c>
      <c r="P176">
        <v>0</v>
      </c>
      <c r="Q176" t="str">
        <v>SD DATUM</v>
      </c>
      <c r="R176" t="str">
        <v>[DD-MM-JJJJ]</v>
      </c>
      <c r="S176" t="str">
        <f t="shared" si="41"/>
        <v>OK</v>
      </c>
      <c r="T176" t="str">
        <f t="shared" si="35"/>
        <v>OK</v>
      </c>
      <c r="U176" t="str">
        <f t="shared" si="36"/>
        <v>OK</v>
      </c>
      <c r="V176" t="str">
        <f t="shared" si="37"/>
        <v>OK</v>
      </c>
      <c r="W176" t="str">
        <f t="shared" si="38"/>
        <v>OK</v>
      </c>
      <c r="X176" t="str">
        <f t="shared" si="39"/>
        <v>OK</v>
      </c>
      <c r="Y176" t="str">
        <f t="shared" si="40"/>
        <v>OK</v>
      </c>
      <c r="Z176">
        <v>171</v>
      </c>
      <c r="AA176">
        <v>173</v>
      </c>
      <c r="AB176" t="s">
        <v>2462</v>
      </c>
      <c r="AC176" t="s">
        <v>172</v>
      </c>
      <c r="AD176" t="s">
        <v>466</v>
      </c>
      <c r="AE176" t="s">
        <v>649</v>
      </c>
      <c r="AG176" t="s">
        <v>898</v>
      </c>
      <c r="AI176" t="s">
        <v>2327</v>
      </c>
      <c r="AJ176" t="s">
        <v>1398</v>
      </c>
      <c r="AK176" t="s">
        <v>2462</v>
      </c>
      <c r="AL176" t="s">
        <v>2463</v>
      </c>
      <c r="AN176" t="str">
        <f t="shared" si="42"/>
        <v>OK</v>
      </c>
      <c r="AO176" t="str">
        <f t="shared" si="43"/>
        <v>OK</v>
      </c>
      <c r="AP176" t="str">
        <f t="shared" si="44"/>
        <v>OK</v>
      </c>
      <c r="AR176" t="str">
        <f t="shared" si="45"/>
        <v>OK</v>
      </c>
      <c r="AS176" t="str">
        <f t="shared" si="46"/>
        <v>OK</v>
      </c>
      <c r="AT176" t="str">
        <f t="shared" si="47"/>
        <v>NOK</v>
      </c>
      <c r="AU176" t="str">
        <f t="shared" si="48"/>
        <v>OK</v>
      </c>
      <c r="AV176" t="str">
        <f t="shared" si="49"/>
        <v>OK</v>
      </c>
      <c r="AW176" t="str">
        <f t="shared" si="50"/>
        <v>OK</v>
      </c>
    </row>
    <row r="177" spans="1:49">
      <c r="A177">
        <f>Dbase_velden_versie4_2!A173</f>
        <v>173</v>
      </c>
      <c r="B177" t="str">
        <f>Dbase_velden_versie4_2!B173</f>
        <v>SD_CLASSIFICATIE</v>
      </c>
      <c r="C177" t="str">
        <f>Dbase_velden_versie4_2!C173</f>
        <v>-</v>
      </c>
      <c r="D177" t="str">
        <f>Dbase_velden_versie4_2!D173</f>
        <v>Classificatie van de grond conform de gehanteerde norm</v>
      </c>
      <c r="E177" t="str">
        <f>Dbase_velden_versie4_2!E173</f>
        <v>String</v>
      </c>
      <c r="F177">
        <f>Dbase_velden_versie4_2!F173</f>
        <v>0</v>
      </c>
      <c r="G177" t="str">
        <f>Dbase_velden_versie4_2!G173</f>
        <v>SD CLASSIFICATIE</v>
      </c>
      <c r="H177" t="str">
        <f>Dbase_velden_versie4_2!H173</f>
        <v>[-]</v>
      </c>
      <c r="I177" t="str">
        <f>Dbase_velden_versie4_2!I173</f>
        <v>SD</v>
      </c>
      <c r="J177" t="str">
        <f>Dbase_velden_versie4_2!J173</f>
        <v>Samendrukkingsproef</v>
      </c>
      <c r="K177">
        <v>173</v>
      </c>
      <c r="L177" t="str">
        <v>SD_GRONDSOORT</v>
      </c>
      <c r="M177" t="str">
        <v>-</v>
      </c>
      <c r="N177" t="str">
        <v>Classificatie van de grond conform de gehanteerde norm</v>
      </c>
      <c r="O177" t="str">
        <v>String</v>
      </c>
      <c r="P177">
        <v>0</v>
      </c>
      <c r="Q177" t="str">
        <v>SD CLASSIFICATIE</v>
      </c>
      <c r="R177" t="str">
        <v>[-]</v>
      </c>
      <c r="S177" t="str">
        <f t="shared" si="41"/>
        <v>OK</v>
      </c>
      <c r="T177" t="str">
        <f t="shared" si="35"/>
        <v>NOK</v>
      </c>
      <c r="U177" t="str">
        <f t="shared" si="36"/>
        <v>OK</v>
      </c>
      <c r="V177" t="str">
        <f t="shared" si="37"/>
        <v>OK</v>
      </c>
      <c r="W177" t="str">
        <f t="shared" si="38"/>
        <v>OK</v>
      </c>
      <c r="X177" t="str">
        <f t="shared" si="39"/>
        <v>OK</v>
      </c>
      <c r="Y177" t="str">
        <f t="shared" si="40"/>
        <v>OK</v>
      </c>
      <c r="Z177">
        <v>172</v>
      </c>
      <c r="AA177">
        <v>174</v>
      </c>
      <c r="AB177" t="s">
        <v>2462</v>
      </c>
      <c r="AC177" t="s">
        <v>2465</v>
      </c>
      <c r="AD177" t="s">
        <v>463</v>
      </c>
      <c r="AE177" t="s">
        <v>2353</v>
      </c>
      <c r="AG177" t="s">
        <v>896</v>
      </c>
      <c r="AH177" t="s">
        <v>2354</v>
      </c>
      <c r="AI177" t="s">
        <v>2355</v>
      </c>
      <c r="AJ177" t="s">
        <v>1395</v>
      </c>
      <c r="AK177" t="s">
        <v>2462</v>
      </c>
      <c r="AL177" t="s">
        <v>2463</v>
      </c>
      <c r="AN177" t="str">
        <f t="shared" si="42"/>
        <v>NOK</v>
      </c>
      <c r="AO177" t="str">
        <f t="shared" si="43"/>
        <v>OK</v>
      </c>
      <c r="AP177" t="str">
        <f t="shared" si="44"/>
        <v>NOK</v>
      </c>
      <c r="AR177" t="str">
        <f t="shared" si="45"/>
        <v>OK</v>
      </c>
      <c r="AS177" t="str">
        <f t="shared" si="46"/>
        <v>NOK</v>
      </c>
      <c r="AT177" t="str">
        <f t="shared" si="47"/>
        <v>NOK</v>
      </c>
      <c r="AU177" t="str">
        <f t="shared" si="48"/>
        <v>OK</v>
      </c>
      <c r="AV177" t="str">
        <f t="shared" si="49"/>
        <v>OK</v>
      </c>
      <c r="AW177" t="str">
        <f t="shared" si="50"/>
        <v>OK</v>
      </c>
    </row>
    <row r="178" spans="1:49">
      <c r="A178">
        <f>Dbase_velden_versie4_2!A174</f>
        <v>174</v>
      </c>
      <c r="B178" t="str">
        <f>Dbase_velden_versie4_2!B174</f>
        <v>SD_CLASSIFICATIE_BIJMENGING</v>
      </c>
      <c r="C178" t="str">
        <f>Dbase_velden_versie4_2!C174</f>
        <v>-</v>
      </c>
      <c r="D178" t="str">
        <f>Dbase_velden_versie4_2!D174</f>
        <v>Beschrijving van de bijzondere bestanddelen of secundaire of tertiaire fracties</v>
      </c>
      <c r="E178" t="str">
        <f>Dbase_velden_versie4_2!E174</f>
        <v>String</v>
      </c>
      <c r="F178">
        <f>Dbase_velden_versie4_2!F174</f>
        <v>0</v>
      </c>
      <c r="G178" t="str">
        <f>Dbase_velden_versie4_2!G174</f>
        <v>SD CLASSIFICATIE BIJMENGING</v>
      </c>
      <c r="H178" t="str">
        <f>Dbase_velden_versie4_2!H174</f>
        <v>[-]</v>
      </c>
      <c r="I178" t="str">
        <f>Dbase_velden_versie4_2!I174</f>
        <v>SD</v>
      </c>
      <c r="J178" t="str">
        <f>Dbase_velden_versie4_2!J174</f>
        <v>Samendrukkingsproef</v>
      </c>
      <c r="K178">
        <v>174</v>
      </c>
      <c r="L178" t="str">
        <v>SD_OVERIGE_BESTANDDELEN</v>
      </c>
      <c r="M178" t="str">
        <v>-</v>
      </c>
      <c r="N178" t="str">
        <v>Beschrijving van de bijzondere bestanddelen of secundaire of tertiaire fracties</v>
      </c>
      <c r="O178" t="str">
        <v>String</v>
      </c>
      <c r="P178">
        <v>0</v>
      </c>
      <c r="Q178" t="str">
        <v>SD OVERIGE BESTANDDELEN</v>
      </c>
      <c r="R178" t="str">
        <v>[-]</v>
      </c>
      <c r="S178" t="str">
        <f t="shared" si="41"/>
        <v>OK</v>
      </c>
      <c r="T178" t="str">
        <f t="shared" si="35"/>
        <v>NOK</v>
      </c>
      <c r="U178" t="str">
        <f t="shared" si="36"/>
        <v>OK</v>
      </c>
      <c r="V178" t="str">
        <f t="shared" si="37"/>
        <v>OK</v>
      </c>
      <c r="W178" t="str">
        <f t="shared" si="38"/>
        <v>OK</v>
      </c>
      <c r="X178" t="str">
        <f t="shared" si="39"/>
        <v>OK</v>
      </c>
      <c r="Y178" t="str">
        <f t="shared" si="40"/>
        <v>NOK</v>
      </c>
      <c r="Z178">
        <v>173</v>
      </c>
      <c r="AA178">
        <v>175</v>
      </c>
      <c r="AB178" t="s">
        <v>2462</v>
      </c>
      <c r="AC178" t="s">
        <v>2466</v>
      </c>
      <c r="AD178" t="s">
        <v>463</v>
      </c>
      <c r="AE178" t="s">
        <v>2394</v>
      </c>
      <c r="AG178" t="s">
        <v>896</v>
      </c>
      <c r="AI178" t="s">
        <v>2358</v>
      </c>
      <c r="AJ178" t="s">
        <v>1395</v>
      </c>
      <c r="AK178" t="s">
        <v>2462</v>
      </c>
      <c r="AL178" t="s">
        <v>2463</v>
      </c>
      <c r="AN178" t="str">
        <f t="shared" si="42"/>
        <v>NOK</v>
      </c>
      <c r="AO178" t="str">
        <f t="shared" si="43"/>
        <v>OK</v>
      </c>
      <c r="AP178" t="str">
        <f t="shared" si="44"/>
        <v>NOK</v>
      </c>
      <c r="AR178" t="str">
        <f t="shared" si="45"/>
        <v>OK</v>
      </c>
      <c r="AS178" t="str">
        <f t="shared" si="46"/>
        <v>OK</v>
      </c>
      <c r="AT178" t="str">
        <f t="shared" si="47"/>
        <v>NOK</v>
      </c>
      <c r="AU178" t="str">
        <f t="shared" si="48"/>
        <v>OK</v>
      </c>
      <c r="AV178" t="str">
        <f t="shared" si="49"/>
        <v>OK</v>
      </c>
      <c r="AW178" t="str">
        <f t="shared" si="50"/>
        <v>OK</v>
      </c>
    </row>
    <row r="179" spans="1:49">
      <c r="A179">
        <f>Dbase_velden_versie4_2!A175</f>
        <v>175</v>
      </c>
      <c r="B179" t="str">
        <f>Dbase_velden_versie4_2!B175</f>
        <v>SD_MONSTERNIVEAU</v>
      </c>
      <c r="C179" t="str">
        <f>Dbase_velden_versie4_2!C175</f>
        <v>m NAP</v>
      </c>
      <c r="D179" t="str">
        <f>Dbase_velden_versie4_2!D175</f>
        <v>Niveau van het monster van de samendrukkingsproef</v>
      </c>
      <c r="E179" t="str">
        <f>Dbase_velden_versie4_2!E175</f>
        <v>Double</v>
      </c>
      <c r="F179" t="str">
        <f>Dbase_velden_versie4_2!F175</f>
        <v>+10 / - 50</v>
      </c>
      <c r="G179" t="str">
        <f>Dbase_velden_versie4_2!G175</f>
        <v>SD MONSTERNIVEAU</v>
      </c>
      <c r="H179" t="str">
        <f>Dbase_velden_versie4_2!H175</f>
        <v>[m NAP]</v>
      </c>
      <c r="I179" t="str">
        <f>Dbase_velden_versie4_2!I175</f>
        <v>SD</v>
      </c>
      <c r="J179" t="str">
        <f>Dbase_velden_versie4_2!J175</f>
        <v>Samendrukkingsproef</v>
      </c>
      <c r="K179">
        <v>175</v>
      </c>
      <c r="L179" t="str">
        <v>SD_MONSTERNIVEAU</v>
      </c>
      <c r="M179" t="str">
        <v>m NAP</v>
      </c>
      <c r="N179" t="str">
        <v>Niveau van het monster van de samendrukkingsproef</v>
      </c>
      <c r="O179" t="str">
        <v>Double</v>
      </c>
      <c r="P179" t="str">
        <v>+10 / - 50</v>
      </c>
      <c r="Q179" t="str">
        <v>SD MONSTERNIVEAU</v>
      </c>
      <c r="R179" t="str">
        <v>[m NAP]</v>
      </c>
      <c r="S179" t="str">
        <f t="shared" si="41"/>
        <v>OK</v>
      </c>
      <c r="T179" t="str">
        <f t="shared" si="35"/>
        <v>OK</v>
      </c>
      <c r="U179" t="str">
        <f t="shared" si="36"/>
        <v>OK</v>
      </c>
      <c r="V179" t="str">
        <f t="shared" si="37"/>
        <v>OK</v>
      </c>
      <c r="W179" t="str">
        <f t="shared" si="38"/>
        <v>OK</v>
      </c>
      <c r="X179" t="str">
        <f t="shared" si="39"/>
        <v>OK</v>
      </c>
      <c r="Y179" t="str">
        <f t="shared" si="40"/>
        <v>OK</v>
      </c>
      <c r="Z179">
        <v>174</v>
      </c>
      <c r="AA179">
        <v>176</v>
      </c>
      <c r="AB179" t="s">
        <v>2462</v>
      </c>
      <c r="AC179" t="s">
        <v>175</v>
      </c>
      <c r="AD179" t="s">
        <v>465</v>
      </c>
      <c r="AE179" t="s">
        <v>650</v>
      </c>
      <c r="AG179" t="s">
        <v>897</v>
      </c>
      <c r="AH179" t="s">
        <v>907</v>
      </c>
      <c r="AI179" t="s">
        <v>2359</v>
      </c>
      <c r="AJ179" t="s">
        <v>1397</v>
      </c>
      <c r="AK179" t="s">
        <v>2462</v>
      </c>
      <c r="AL179" t="s">
        <v>2463</v>
      </c>
      <c r="AN179" t="str">
        <f t="shared" si="42"/>
        <v>OK</v>
      </c>
      <c r="AO179" t="str">
        <f t="shared" si="43"/>
        <v>OK</v>
      </c>
      <c r="AP179" t="str">
        <f t="shared" si="44"/>
        <v>OK</v>
      </c>
      <c r="AR179" t="str">
        <f t="shared" si="45"/>
        <v>OK</v>
      </c>
      <c r="AS179" t="str">
        <f t="shared" si="46"/>
        <v>OK</v>
      </c>
      <c r="AT179" t="str">
        <f t="shared" si="47"/>
        <v>NOK</v>
      </c>
      <c r="AU179" t="str">
        <f t="shared" si="48"/>
        <v>OK</v>
      </c>
      <c r="AV179" t="str">
        <f t="shared" si="49"/>
        <v>OK</v>
      </c>
      <c r="AW179" t="str">
        <f t="shared" si="50"/>
        <v>OK</v>
      </c>
    </row>
    <row r="180" spans="1:49">
      <c r="A180">
        <f>Dbase_velden_versie4_2!A176</f>
        <v>176</v>
      </c>
      <c r="B180" t="str">
        <f>Dbase_velden_versie4_2!B176</f>
        <v>SD_TERREINSPANNING</v>
      </c>
      <c r="C180" t="str">
        <f>Dbase_velden_versie4_2!C176</f>
        <v>kPa</v>
      </c>
      <c r="D180" t="str">
        <f>Dbase_velden_versie4_2!D176</f>
        <v>Inschatting van de terreinspanning op het niveau van het beproefde monster</v>
      </c>
      <c r="E180" t="str">
        <f>Dbase_velden_versie4_2!E176</f>
        <v>Double</v>
      </c>
      <c r="F180">
        <f>Dbase_velden_versie4_2!F176</f>
        <v>0</v>
      </c>
      <c r="G180" t="str">
        <f>Dbase_velden_versie4_2!G176</f>
        <v>SD TERREINSPANNING</v>
      </c>
      <c r="H180" t="str">
        <f>Dbase_velden_versie4_2!H176</f>
        <v>[kPa]</v>
      </c>
      <c r="I180" t="str">
        <f>Dbase_velden_versie4_2!I176</f>
        <v>SD</v>
      </c>
      <c r="J180" t="str">
        <f>Dbase_velden_versie4_2!J176</f>
        <v>Samendrukkingsproef</v>
      </c>
      <c r="K180">
        <v>176</v>
      </c>
      <c r="L180" t="str">
        <v>SD_TERREINSPANNING</v>
      </c>
      <c r="M180" t="str">
        <v>kPa</v>
      </c>
      <c r="N180" t="str">
        <v>Inschatting van de terreinspanning op het niveau van het beproefde monster</v>
      </c>
      <c r="O180" t="str">
        <v>Double</v>
      </c>
      <c r="P180">
        <v>0</v>
      </c>
      <c r="Q180" t="str">
        <v>SD TERREINSPANNING</v>
      </c>
      <c r="R180" t="str">
        <v>[kPa]</v>
      </c>
      <c r="S180" t="str">
        <f t="shared" si="41"/>
        <v>OK</v>
      </c>
      <c r="T180" t="str">
        <f t="shared" si="35"/>
        <v>OK</v>
      </c>
      <c r="U180" t="str">
        <f t="shared" si="36"/>
        <v>OK</v>
      </c>
      <c r="V180" t="str">
        <f t="shared" si="37"/>
        <v>OK</v>
      </c>
      <c r="W180" t="str">
        <f t="shared" si="38"/>
        <v>OK</v>
      </c>
      <c r="X180" t="str">
        <f t="shared" si="39"/>
        <v>OK</v>
      </c>
      <c r="Y180" t="str">
        <f t="shared" si="40"/>
        <v>OK</v>
      </c>
      <c r="Z180">
        <v>175</v>
      </c>
      <c r="AA180">
        <v>177</v>
      </c>
      <c r="AB180" t="s">
        <v>2462</v>
      </c>
      <c r="AC180" t="s">
        <v>176</v>
      </c>
      <c r="AD180" t="s">
        <v>470</v>
      </c>
      <c r="AE180" t="s">
        <v>618</v>
      </c>
      <c r="AG180" t="s">
        <v>897</v>
      </c>
      <c r="AI180" t="s">
        <v>2438</v>
      </c>
      <c r="AJ180" t="s">
        <v>1402</v>
      </c>
      <c r="AK180" t="s">
        <v>2462</v>
      </c>
      <c r="AL180" t="s">
        <v>2463</v>
      </c>
      <c r="AN180" t="str">
        <f t="shared" si="42"/>
        <v>OK</v>
      </c>
      <c r="AO180" t="str">
        <f t="shared" si="43"/>
        <v>OK</v>
      </c>
      <c r="AP180" t="str">
        <f t="shared" si="44"/>
        <v>OK</v>
      </c>
      <c r="AR180" t="str">
        <f t="shared" si="45"/>
        <v>OK</v>
      </c>
      <c r="AS180" t="str">
        <f t="shared" si="46"/>
        <v>OK</v>
      </c>
      <c r="AT180" t="str">
        <f t="shared" si="47"/>
        <v>NOK</v>
      </c>
      <c r="AU180" t="str">
        <f t="shared" si="48"/>
        <v>OK</v>
      </c>
      <c r="AV180" t="str">
        <f t="shared" si="49"/>
        <v>OK</v>
      </c>
      <c r="AW180" t="str">
        <f t="shared" si="50"/>
        <v>OK</v>
      </c>
    </row>
    <row r="181" spans="1:49">
      <c r="A181">
        <f>Dbase_velden_versie4_2!A177</f>
        <v>177</v>
      </c>
      <c r="B181" t="str">
        <f>Dbase_velden_versie4_2!B177</f>
        <v>SD_VOLUMEGEWICHT_NAT</v>
      </c>
      <c r="C181" t="str">
        <f>Dbase_velden_versie4_2!C177</f>
        <v>kN/m3</v>
      </c>
      <c r="D181" t="str">
        <f>Dbase_velden_versie4_2!D177</f>
        <v>Resultaat van de bepaling van het initiele volumieke gewicht conform NEN5110/5111 voor uitvoering van de proef</v>
      </c>
      <c r="E181" t="str">
        <f>Dbase_velden_versie4_2!E177</f>
        <v>Double</v>
      </c>
      <c r="F181" t="str">
        <f>Dbase_velden_versie4_2!F177</f>
        <v>+5,0 - +30,0</v>
      </c>
      <c r="G181" t="str">
        <f>Dbase_velden_versie4_2!G177</f>
        <v>SD VOLUMEGEWICHT NAT</v>
      </c>
      <c r="H181" t="str">
        <f>Dbase_velden_versie4_2!H177</f>
        <v>[kN/m3]</v>
      </c>
      <c r="I181" t="str">
        <f>Dbase_velden_versie4_2!I177</f>
        <v>SD</v>
      </c>
      <c r="J181" t="str">
        <f>Dbase_velden_versie4_2!J177</f>
        <v>Samendrukkingsproef</v>
      </c>
      <c r="K181">
        <v>177</v>
      </c>
      <c r="L181" t="str">
        <v>SD_VOLUMEGEWICHT_NAT</v>
      </c>
      <c r="M181" t="str">
        <v>kN/m3</v>
      </c>
      <c r="N181" t="str">
        <v>Resultaat van de bepaling van het initiele volumieke gewicht conform NEN5110/5111 voor uitvoering van de proef</v>
      </c>
      <c r="O181" t="str">
        <v>Double</v>
      </c>
      <c r="P181" t="str">
        <v>+5,0 - +30,0</v>
      </c>
      <c r="Q181" t="str">
        <v>SD VOLUMEGEWICHT NAT</v>
      </c>
      <c r="R181" t="str">
        <v>[kN/m3]</v>
      </c>
      <c r="S181" t="str">
        <f t="shared" si="41"/>
        <v>OK</v>
      </c>
      <c r="T181" t="str">
        <f t="shared" si="35"/>
        <v>OK</v>
      </c>
      <c r="U181" t="str">
        <f t="shared" si="36"/>
        <v>OK</v>
      </c>
      <c r="V181" t="str">
        <f t="shared" si="37"/>
        <v>OK</v>
      </c>
      <c r="W181" t="str">
        <f t="shared" si="38"/>
        <v>OK</v>
      </c>
      <c r="X181" t="str">
        <f t="shared" si="39"/>
        <v>OK</v>
      </c>
      <c r="Y181" t="str">
        <f t="shared" si="40"/>
        <v>OK</v>
      </c>
      <c r="Z181">
        <v>176</v>
      </c>
      <c r="AA181">
        <v>178</v>
      </c>
      <c r="AB181" t="s">
        <v>2462</v>
      </c>
      <c r="AC181" t="s">
        <v>177</v>
      </c>
      <c r="AD181" t="s">
        <v>467</v>
      </c>
      <c r="AE181" t="s">
        <v>619</v>
      </c>
      <c r="AG181" t="s">
        <v>897</v>
      </c>
      <c r="AH181" t="s">
        <v>908</v>
      </c>
      <c r="AI181" t="s">
        <v>2360</v>
      </c>
      <c r="AJ181" t="s">
        <v>1399</v>
      </c>
      <c r="AK181" t="s">
        <v>2462</v>
      </c>
      <c r="AL181" t="s">
        <v>2463</v>
      </c>
      <c r="AN181" t="str">
        <f t="shared" si="42"/>
        <v>OK</v>
      </c>
      <c r="AO181" t="str">
        <f t="shared" si="43"/>
        <v>OK</v>
      </c>
      <c r="AP181" t="str">
        <f t="shared" si="44"/>
        <v>OK</v>
      </c>
      <c r="AR181" t="str">
        <f t="shared" si="45"/>
        <v>OK</v>
      </c>
      <c r="AS181" t="str">
        <f t="shared" si="46"/>
        <v>OK</v>
      </c>
      <c r="AT181" t="str">
        <f t="shared" si="47"/>
        <v>NOK</v>
      </c>
      <c r="AU181" t="str">
        <f t="shared" si="48"/>
        <v>OK</v>
      </c>
      <c r="AV181" t="str">
        <f t="shared" si="49"/>
        <v>OK</v>
      </c>
      <c r="AW181" t="str">
        <f t="shared" si="50"/>
        <v>OK</v>
      </c>
    </row>
    <row r="182" spans="1:49">
      <c r="A182">
        <f>Dbase_velden_versie4_2!A178</f>
        <v>178</v>
      </c>
      <c r="B182" t="str">
        <f>Dbase_velden_versie4_2!B178</f>
        <v>SD_VOLUMEGEWICHT_DR</v>
      </c>
      <c r="C182" t="str">
        <f>Dbase_velden_versie4_2!C178</f>
        <v>kN/m3</v>
      </c>
      <c r="D182" t="str">
        <f>Dbase_velden_versie4_2!D178</f>
        <v>Resultaat van de bepaling van het droge volumieke gewicht conform NEN5110/5111 voor uitvoering van de proef</v>
      </c>
      <c r="E182" t="str">
        <f>Dbase_velden_versie4_2!E178</f>
        <v>Double</v>
      </c>
      <c r="F182" t="str">
        <f>Dbase_velden_versie4_2!F178</f>
        <v>+0,0 - +30,0</v>
      </c>
      <c r="G182" t="str">
        <f>Dbase_velden_versie4_2!G178</f>
        <v>SD VOLUMEGEWICHT DR</v>
      </c>
      <c r="H182" t="str">
        <f>Dbase_velden_versie4_2!H178</f>
        <v>[kN/m3]</v>
      </c>
      <c r="I182" t="str">
        <f>Dbase_velden_versie4_2!I178</f>
        <v>SD</v>
      </c>
      <c r="J182" t="str">
        <f>Dbase_velden_versie4_2!J178</f>
        <v>Samendrukkingsproef</v>
      </c>
      <c r="K182">
        <v>178</v>
      </c>
      <c r="L182" t="str">
        <v>SD_VOLUMEGEWICHT_DR</v>
      </c>
      <c r="M182" t="str">
        <v>kN/m3</v>
      </c>
      <c r="N182" t="str">
        <v>Resultaat van de bepaling van het droge volumieke gewicht conform NEN5110/5111 voor uitvoering van de proef</v>
      </c>
      <c r="O182" t="str">
        <v>Double</v>
      </c>
      <c r="P182" t="str">
        <v>+0,0 - +30,0</v>
      </c>
      <c r="Q182" t="str">
        <v>SD VOLUMEGEWICHT DR</v>
      </c>
      <c r="R182" t="str">
        <v>[kN/m3]</v>
      </c>
      <c r="S182" t="str">
        <f t="shared" si="41"/>
        <v>OK</v>
      </c>
      <c r="T182" t="str">
        <f t="shared" si="35"/>
        <v>OK</v>
      </c>
      <c r="U182" t="str">
        <f t="shared" si="36"/>
        <v>OK</v>
      </c>
      <c r="V182" t="str">
        <f t="shared" si="37"/>
        <v>OK</v>
      </c>
      <c r="W182" t="str">
        <f t="shared" si="38"/>
        <v>OK</v>
      </c>
      <c r="X182" t="str">
        <f t="shared" si="39"/>
        <v>OK</v>
      </c>
      <c r="Y182" t="str">
        <f t="shared" si="40"/>
        <v>OK</v>
      </c>
      <c r="Z182">
        <v>177</v>
      </c>
      <c r="AA182">
        <v>179</v>
      </c>
      <c r="AB182" t="s">
        <v>2462</v>
      </c>
      <c r="AC182" t="s">
        <v>178</v>
      </c>
      <c r="AD182" t="s">
        <v>467</v>
      </c>
      <c r="AE182" t="s">
        <v>620</v>
      </c>
      <c r="AG182" t="s">
        <v>897</v>
      </c>
      <c r="AH182" t="s">
        <v>909</v>
      </c>
      <c r="AI182" t="s">
        <v>2361</v>
      </c>
      <c r="AJ182" t="s">
        <v>1399</v>
      </c>
      <c r="AK182" t="s">
        <v>2462</v>
      </c>
      <c r="AL182" t="s">
        <v>2463</v>
      </c>
      <c r="AN182" t="str">
        <f t="shared" si="42"/>
        <v>OK</v>
      </c>
      <c r="AO182" t="str">
        <f t="shared" si="43"/>
        <v>OK</v>
      </c>
      <c r="AP182" t="str">
        <f t="shared" si="44"/>
        <v>OK</v>
      </c>
      <c r="AR182" t="str">
        <f t="shared" si="45"/>
        <v>OK</v>
      </c>
      <c r="AS182" t="str">
        <f t="shared" si="46"/>
        <v>OK</v>
      </c>
      <c r="AT182" t="str">
        <f t="shared" si="47"/>
        <v>NOK</v>
      </c>
      <c r="AU182" t="str">
        <f t="shared" si="48"/>
        <v>OK</v>
      </c>
      <c r="AV182" t="str">
        <f t="shared" si="49"/>
        <v>OK</v>
      </c>
      <c r="AW182" t="str">
        <f t="shared" si="50"/>
        <v>OK</v>
      </c>
    </row>
    <row r="183" spans="1:49">
      <c r="A183">
        <f>Dbase_velden_versie4_2!A179</f>
        <v>179</v>
      </c>
      <c r="B183" t="str">
        <f>Dbase_velden_versie4_2!B179</f>
        <v>SD_WATERGEHALTE_INI</v>
      </c>
      <c r="C183" t="str">
        <f>Dbase_velden_versie4_2!C179</f>
        <v>%</v>
      </c>
      <c r="D183" t="str">
        <f>Dbase_velden_versie4_2!D179</f>
        <v>Resultaat van de bepaling van het initiele watergehalte conform NEN5112/5113 voor uitvoering van de proef</v>
      </c>
      <c r="E183" t="str">
        <f>Dbase_velden_versie4_2!E179</f>
        <v>Double</v>
      </c>
      <c r="F183" t="str">
        <f>Dbase_velden_versie4_2!F179</f>
        <v>0,0 - 1000,0</v>
      </c>
      <c r="G183" t="str">
        <f>Dbase_velden_versie4_2!G179</f>
        <v>SD WATERGEHALTE INI</v>
      </c>
      <c r="H183" t="str">
        <f>Dbase_velden_versie4_2!H179</f>
        <v>[%]</v>
      </c>
      <c r="I183" t="str">
        <f>Dbase_velden_versie4_2!I179</f>
        <v>SD</v>
      </c>
      <c r="J183" t="str">
        <f>Dbase_velden_versie4_2!J179</f>
        <v>Samendrukkingsproef</v>
      </c>
      <c r="K183">
        <v>179</v>
      </c>
      <c r="L183" t="str">
        <v>SD_WATERGEHALTE_INI</v>
      </c>
      <c r="M183" t="str">
        <v>%</v>
      </c>
      <c r="N183" t="str">
        <v>Resultaat van de bepaling van het initiele watergehalte conform NEN5112/5113 voor uitvoering van de proef</v>
      </c>
      <c r="O183" t="str">
        <v>Double</v>
      </c>
      <c r="P183" t="str">
        <v>0,0 - 1000,0</v>
      </c>
      <c r="Q183" t="str">
        <v>SD WATERGEHALTE INI</v>
      </c>
      <c r="R183" t="str">
        <v>[%]</v>
      </c>
      <c r="S183" t="str">
        <f t="shared" si="41"/>
        <v>OK</v>
      </c>
      <c r="T183" t="str">
        <f t="shared" si="35"/>
        <v>OK</v>
      </c>
      <c r="U183" t="str">
        <f t="shared" si="36"/>
        <v>OK</v>
      </c>
      <c r="V183" t="str">
        <f t="shared" si="37"/>
        <v>OK</v>
      </c>
      <c r="W183" t="str">
        <f t="shared" si="38"/>
        <v>OK</v>
      </c>
      <c r="X183" t="str">
        <f t="shared" si="39"/>
        <v>OK</v>
      </c>
      <c r="Y183" t="str">
        <f t="shared" si="40"/>
        <v>OK</v>
      </c>
      <c r="Z183">
        <v>178</v>
      </c>
      <c r="AA183">
        <v>180</v>
      </c>
      <c r="AB183" t="s">
        <v>2462</v>
      </c>
      <c r="AC183" t="s">
        <v>179</v>
      </c>
      <c r="AD183" t="s">
        <v>468</v>
      </c>
      <c r="AE183" t="s">
        <v>621</v>
      </c>
      <c r="AG183" t="s">
        <v>897</v>
      </c>
      <c r="AH183" t="s">
        <v>910</v>
      </c>
      <c r="AI183" t="s">
        <v>2467</v>
      </c>
      <c r="AJ183" t="s">
        <v>1400</v>
      </c>
      <c r="AK183" t="s">
        <v>2462</v>
      </c>
      <c r="AL183" t="s">
        <v>2463</v>
      </c>
      <c r="AN183" t="str">
        <f t="shared" si="42"/>
        <v>OK</v>
      </c>
      <c r="AO183" t="str">
        <f t="shared" si="43"/>
        <v>OK</v>
      </c>
      <c r="AP183" t="str">
        <f t="shared" si="44"/>
        <v>OK</v>
      </c>
      <c r="AR183" t="str">
        <f t="shared" si="45"/>
        <v>OK</v>
      </c>
      <c r="AS183" t="str">
        <f t="shared" si="46"/>
        <v>OK</v>
      </c>
      <c r="AT183" t="str">
        <f t="shared" si="47"/>
        <v>NOK</v>
      </c>
      <c r="AU183" t="str">
        <f t="shared" si="48"/>
        <v>OK</v>
      </c>
      <c r="AV183" t="str">
        <f t="shared" si="49"/>
        <v>OK</v>
      </c>
      <c r="AW183" t="str">
        <f t="shared" si="50"/>
        <v>OK</v>
      </c>
    </row>
    <row r="184" spans="1:49">
      <c r="A184">
        <f>Dbase_velden_versie4_2!A180</f>
        <v>180</v>
      </c>
      <c r="B184" t="str">
        <f>Dbase_velden_versie4_2!B180</f>
        <v>SD_WATERGEHALTE_NA_PROEF</v>
      </c>
      <c r="C184" t="str">
        <f>Dbase_velden_versie4_2!C180</f>
        <v>%</v>
      </c>
      <c r="D184" t="str">
        <f>Dbase_velden_versie4_2!D180</f>
        <v>Resultaat van de bepaling van het initiele watergehalte conform NEN5112/5113 na uitvoering van de proef</v>
      </c>
      <c r="E184" t="str">
        <f>Dbase_velden_versie4_2!E180</f>
        <v>Double</v>
      </c>
      <c r="F184" t="str">
        <f>Dbase_velden_versie4_2!F180</f>
        <v>0,0 - 1000,0</v>
      </c>
      <c r="G184" t="str">
        <f>Dbase_velden_versie4_2!G180</f>
        <v>SD WATERGEHALTE NA PROEF</v>
      </c>
      <c r="H184" t="str">
        <f>Dbase_velden_versie4_2!H180</f>
        <v>[%]</v>
      </c>
      <c r="I184" t="str">
        <f>Dbase_velden_versie4_2!I180</f>
        <v>SD</v>
      </c>
      <c r="J184" t="str">
        <f>Dbase_velden_versie4_2!J180</f>
        <v>Samendrukkingsproef</v>
      </c>
      <c r="K184">
        <v>180</v>
      </c>
      <c r="L184" t="str">
        <v>SD_WATERGEHALTE_NA_PROEF</v>
      </c>
      <c r="M184" t="str">
        <v>%</v>
      </c>
      <c r="N184" t="str">
        <v>Resultaat van de bepaling van het initiele watergehalte conform NEN5112/5113 na uitvoering van de proef</v>
      </c>
      <c r="O184" t="str">
        <v>Double</v>
      </c>
      <c r="P184" t="str">
        <v>0,0 - 1000,0</v>
      </c>
      <c r="Q184" t="str">
        <v>SD WATERGEHALTE NA PROEF</v>
      </c>
      <c r="R184" t="str">
        <v>[%]</v>
      </c>
      <c r="S184" t="str">
        <f t="shared" si="41"/>
        <v>OK</v>
      </c>
      <c r="T184" t="str">
        <f t="shared" si="35"/>
        <v>OK</v>
      </c>
      <c r="U184" t="str">
        <f t="shared" si="36"/>
        <v>OK</v>
      </c>
      <c r="V184" t="str">
        <f t="shared" si="37"/>
        <v>OK</v>
      </c>
      <c r="W184" t="str">
        <f t="shared" si="38"/>
        <v>OK</v>
      </c>
      <c r="X184" t="str">
        <f t="shared" si="39"/>
        <v>OK</v>
      </c>
      <c r="Y184" t="str">
        <f t="shared" si="40"/>
        <v>OK</v>
      </c>
      <c r="Z184">
        <v>179</v>
      </c>
      <c r="AA184">
        <v>181</v>
      </c>
      <c r="AB184" t="s">
        <v>2462</v>
      </c>
      <c r="AC184" t="s">
        <v>180</v>
      </c>
      <c r="AD184" t="s">
        <v>468</v>
      </c>
      <c r="AE184" t="s">
        <v>622</v>
      </c>
      <c r="AG184" t="s">
        <v>897</v>
      </c>
      <c r="AH184" t="s">
        <v>910</v>
      </c>
      <c r="AI184" t="s">
        <v>2440</v>
      </c>
      <c r="AJ184" t="s">
        <v>1400</v>
      </c>
      <c r="AK184" t="s">
        <v>2462</v>
      </c>
      <c r="AL184" t="s">
        <v>2463</v>
      </c>
      <c r="AN184" t="str">
        <f t="shared" si="42"/>
        <v>OK</v>
      </c>
      <c r="AO184" t="str">
        <f t="shared" si="43"/>
        <v>OK</v>
      </c>
      <c r="AP184" t="str">
        <f t="shared" si="44"/>
        <v>OK</v>
      </c>
      <c r="AR184" t="str">
        <f t="shared" si="45"/>
        <v>OK</v>
      </c>
      <c r="AS184" t="str">
        <f t="shared" si="46"/>
        <v>OK</v>
      </c>
      <c r="AT184" t="str">
        <f t="shared" si="47"/>
        <v>NOK</v>
      </c>
      <c r="AU184" t="str">
        <f t="shared" si="48"/>
        <v>OK</v>
      </c>
      <c r="AV184" t="str">
        <f t="shared" si="49"/>
        <v>OK</v>
      </c>
      <c r="AW184" t="str">
        <f t="shared" si="50"/>
        <v>OK</v>
      </c>
    </row>
    <row r="185" spans="1:49">
      <c r="A185">
        <f>Dbase_velden_versie4_2!A181</f>
        <v>181</v>
      </c>
      <c r="B185" t="str">
        <f>Dbase_velden_versie4_2!B181</f>
        <v>SD_PORIENGETAL</v>
      </c>
      <c r="C185" t="str">
        <f>Dbase_velden_versie4_2!C181</f>
        <v>-</v>
      </c>
      <c r="D185" t="str">
        <f>Dbase_velden_versie4_2!D181</f>
        <v>Resultaat van de bepaling van het poriengetal conform ...</v>
      </c>
      <c r="E185" t="str">
        <f>Dbase_velden_versie4_2!E181</f>
        <v>Double</v>
      </c>
      <c r="F185" t="str">
        <f>Dbase_velden_versie4_2!F181</f>
        <v>0 - 10</v>
      </c>
      <c r="G185" t="str">
        <f>Dbase_velden_versie4_2!G181</f>
        <v>SD PORIENGETAL</v>
      </c>
      <c r="H185" t="str">
        <f>Dbase_velden_versie4_2!H181</f>
        <v>[-]</v>
      </c>
      <c r="I185" t="str">
        <f>Dbase_velden_versie4_2!I181</f>
        <v>SD</v>
      </c>
      <c r="J185" t="str">
        <f>Dbase_velden_versie4_2!J181</f>
        <v>Samendrukkingsproef</v>
      </c>
      <c r="K185">
        <v>181</v>
      </c>
      <c r="L185" t="str">
        <v>SD_PORIENGETAL</v>
      </c>
      <c r="M185" t="str">
        <v>-</v>
      </c>
      <c r="N185" t="str">
        <v>Resultaat van de bepaling van het poriengetal conform ...</v>
      </c>
      <c r="O185" t="str">
        <v>Double</v>
      </c>
      <c r="P185" t="str">
        <v>0 - 10</v>
      </c>
      <c r="Q185" t="str">
        <v>SD PORIENGETAL</v>
      </c>
      <c r="R185" t="str">
        <v>[-]</v>
      </c>
      <c r="S185" t="str">
        <f t="shared" si="41"/>
        <v>OK</v>
      </c>
      <c r="T185" t="str">
        <f t="shared" si="35"/>
        <v>OK</v>
      </c>
      <c r="U185" t="str">
        <f t="shared" si="36"/>
        <v>OK</v>
      </c>
      <c r="V185" t="str">
        <f t="shared" si="37"/>
        <v>OK</v>
      </c>
      <c r="W185" t="str">
        <f t="shared" si="38"/>
        <v>OK</v>
      </c>
      <c r="X185" t="str">
        <f t="shared" si="39"/>
        <v>OK</v>
      </c>
      <c r="Y185" t="str">
        <f t="shared" si="40"/>
        <v>OK</v>
      </c>
      <c r="Z185">
        <v>180</v>
      </c>
      <c r="AA185">
        <v>182</v>
      </c>
      <c r="AB185" t="s">
        <v>2462</v>
      </c>
      <c r="AC185" t="s">
        <v>181</v>
      </c>
      <c r="AD185" t="s">
        <v>463</v>
      </c>
      <c r="AE185" t="s">
        <v>539</v>
      </c>
      <c r="AG185" t="s">
        <v>897</v>
      </c>
      <c r="AH185" t="s">
        <v>912</v>
      </c>
      <c r="AI185" t="s">
        <v>2364</v>
      </c>
      <c r="AJ185" t="s">
        <v>1395</v>
      </c>
      <c r="AK185" t="s">
        <v>2462</v>
      </c>
      <c r="AL185" t="s">
        <v>2463</v>
      </c>
      <c r="AN185" t="str">
        <f t="shared" si="42"/>
        <v>OK</v>
      </c>
      <c r="AO185" t="str">
        <f t="shared" si="43"/>
        <v>OK</v>
      </c>
      <c r="AP185" t="str">
        <f t="shared" si="44"/>
        <v>OK</v>
      </c>
      <c r="AR185" t="str">
        <f t="shared" si="45"/>
        <v>OK</v>
      </c>
      <c r="AS185" t="str">
        <f t="shared" si="46"/>
        <v>OK</v>
      </c>
      <c r="AT185" t="str">
        <f t="shared" si="47"/>
        <v>NOK</v>
      </c>
      <c r="AU185" t="str">
        <f t="shared" si="48"/>
        <v>OK</v>
      </c>
      <c r="AV185" t="str">
        <f t="shared" si="49"/>
        <v>OK</v>
      </c>
      <c r="AW185" t="str">
        <f t="shared" si="50"/>
        <v>OK</v>
      </c>
    </row>
    <row r="186" spans="1:49">
      <c r="A186">
        <f>Dbase_velden_versie4_2!A182</f>
        <v>182</v>
      </c>
      <c r="B186" t="str">
        <f>Dbase_velden_versie4_2!B182</f>
        <v>SD_MAX_TEMPERATUUR_PROEF</v>
      </c>
      <c r="C186" t="str">
        <f>Dbase_velden_versie4_2!C182</f>
        <v>°C</v>
      </c>
      <c r="D186" t="str">
        <f>Dbase_velden_versie4_2!D182</f>
        <v>Maximum temperatuur in het laboratorium gedurende de uitvoering van de proef</v>
      </c>
      <c r="E186" t="str">
        <f>Dbase_velden_versie4_2!E182</f>
        <v>Double</v>
      </c>
      <c r="F186" t="str">
        <f>Dbase_velden_versie4_2!F182</f>
        <v>0  / 50</v>
      </c>
      <c r="G186" t="str">
        <f>Dbase_velden_versie4_2!G182</f>
        <v>SD MAX TEMPERATUUR PROEF</v>
      </c>
      <c r="H186" t="str">
        <f>Dbase_velden_versie4_2!H182</f>
        <v>[°C]</v>
      </c>
      <c r="I186" t="str">
        <f>Dbase_velden_versie4_2!I182</f>
        <v>SD</v>
      </c>
      <c r="J186" t="str">
        <f>Dbase_velden_versie4_2!J182</f>
        <v>Samendrukkingsproef</v>
      </c>
      <c r="K186">
        <v>182</v>
      </c>
      <c r="L186" t="str">
        <v>SD_MAX_TEMPERATUUR_PROEF</v>
      </c>
      <c r="M186" t="str">
        <v>°C</v>
      </c>
      <c r="N186" t="str">
        <v>Maximum temperatuur in het laboratorium gedurende de uitvoering van de proef</v>
      </c>
      <c r="O186" t="str">
        <v>Double</v>
      </c>
      <c r="P186" t="str">
        <v>0  / 50</v>
      </c>
      <c r="Q186" t="str">
        <v>SD MAX TEMPERATUUR PROEF</v>
      </c>
      <c r="R186" t="str">
        <v>[°C]</v>
      </c>
      <c r="S186" t="str">
        <f t="shared" si="41"/>
        <v>OK</v>
      </c>
      <c r="T186" t="str">
        <f t="shared" si="35"/>
        <v>OK</v>
      </c>
      <c r="U186" t="str">
        <f t="shared" si="36"/>
        <v>OK</v>
      </c>
      <c r="V186" t="str">
        <f t="shared" si="37"/>
        <v>OK</v>
      </c>
      <c r="W186" t="str">
        <f t="shared" si="38"/>
        <v>OK</v>
      </c>
      <c r="X186" t="str">
        <f t="shared" si="39"/>
        <v>OK</v>
      </c>
      <c r="Y186" t="str">
        <f t="shared" si="40"/>
        <v>OK</v>
      </c>
      <c r="Z186">
        <v>181</v>
      </c>
      <c r="AA186">
        <v>183</v>
      </c>
      <c r="AB186" t="s">
        <v>2462</v>
      </c>
      <c r="AC186" t="s">
        <v>182</v>
      </c>
      <c r="AD186" t="s">
        <v>474</v>
      </c>
      <c r="AE186" t="s">
        <v>624</v>
      </c>
      <c r="AG186" t="s">
        <v>897</v>
      </c>
      <c r="AH186" t="s">
        <v>923</v>
      </c>
      <c r="AI186" t="s">
        <v>2468</v>
      </c>
      <c r="AJ186" t="s">
        <v>1406</v>
      </c>
      <c r="AK186" t="s">
        <v>2462</v>
      </c>
      <c r="AL186" t="s">
        <v>2463</v>
      </c>
      <c r="AN186" t="str">
        <f t="shared" si="42"/>
        <v>OK</v>
      </c>
      <c r="AO186" t="str">
        <f t="shared" si="43"/>
        <v>OK</v>
      </c>
      <c r="AP186" t="str">
        <f t="shared" si="44"/>
        <v>OK</v>
      </c>
      <c r="AR186" t="str">
        <f t="shared" si="45"/>
        <v>OK</v>
      </c>
      <c r="AS186" t="str">
        <f t="shared" si="46"/>
        <v>OK</v>
      </c>
      <c r="AT186" t="str">
        <f t="shared" si="47"/>
        <v>NOK</v>
      </c>
      <c r="AU186" t="str">
        <f t="shared" si="48"/>
        <v>OK</v>
      </c>
      <c r="AV186" t="str">
        <f t="shared" si="49"/>
        <v>OK</v>
      </c>
      <c r="AW186" t="str">
        <f t="shared" si="50"/>
        <v>OK</v>
      </c>
    </row>
    <row r="187" spans="1:49">
      <c r="A187">
        <f>Dbase_velden_versie4_2!A183</f>
        <v>183</v>
      </c>
      <c r="B187" t="str">
        <f>Dbase_velden_versie4_2!B183</f>
        <v>SD_MIN_TEMPERATUUR_PROEF</v>
      </c>
      <c r="C187" t="str">
        <f>Dbase_velden_versie4_2!C183</f>
        <v>°C</v>
      </c>
      <c r="D187" t="str">
        <f>Dbase_velden_versie4_2!D183</f>
        <v>Minimum temperatuur in het laboratorium gedurende de uitvoering van de proef</v>
      </c>
      <c r="E187" t="str">
        <f>Dbase_velden_versie4_2!E183</f>
        <v>Double</v>
      </c>
      <c r="F187" t="str">
        <f>Dbase_velden_versie4_2!F183</f>
        <v>0  / 50</v>
      </c>
      <c r="G187" t="str">
        <f>Dbase_velden_versie4_2!G183</f>
        <v>SD MIN TEMPERATUUR PROEF</v>
      </c>
      <c r="H187" t="str">
        <f>Dbase_velden_versie4_2!H183</f>
        <v>[°C]</v>
      </c>
      <c r="I187" t="str">
        <f>Dbase_velden_versie4_2!I183</f>
        <v>SD</v>
      </c>
      <c r="J187" t="str">
        <f>Dbase_velden_versie4_2!J183</f>
        <v>Samendrukkingsproef</v>
      </c>
      <c r="K187">
        <v>183</v>
      </c>
      <c r="L187" t="str">
        <v>SD_MIN_TEMPERATUUR_PROEF</v>
      </c>
      <c r="M187" t="str">
        <v>°C</v>
      </c>
      <c r="N187" t="str">
        <v>Minimum temperatuur in het laboratorium gedurende de uitvoering van de proef</v>
      </c>
      <c r="O187" t="str">
        <v>Double</v>
      </c>
      <c r="P187" t="str">
        <v>0  / 50</v>
      </c>
      <c r="Q187" t="str">
        <v>SD MIN TEMPERATUUR PROEF</v>
      </c>
      <c r="R187" t="str">
        <v>[°C]</v>
      </c>
      <c r="S187" t="str">
        <f t="shared" si="41"/>
        <v>OK</v>
      </c>
      <c r="T187" t="str">
        <f t="shared" si="35"/>
        <v>OK</v>
      </c>
      <c r="U187" t="str">
        <f t="shared" si="36"/>
        <v>OK</v>
      </c>
      <c r="V187" t="str">
        <f t="shared" si="37"/>
        <v>OK</v>
      </c>
      <c r="W187" t="str">
        <f t="shared" si="38"/>
        <v>OK</v>
      </c>
      <c r="X187" t="str">
        <f t="shared" si="39"/>
        <v>OK</v>
      </c>
      <c r="Y187" t="str">
        <f t="shared" si="40"/>
        <v>OK</v>
      </c>
      <c r="Z187">
        <v>182</v>
      </c>
      <c r="AA187">
        <v>184</v>
      </c>
      <c r="AB187" t="s">
        <v>2462</v>
      </c>
      <c r="AC187" t="s">
        <v>183</v>
      </c>
      <c r="AD187" t="s">
        <v>474</v>
      </c>
      <c r="AE187" t="s">
        <v>625</v>
      </c>
      <c r="AG187" t="s">
        <v>897</v>
      </c>
      <c r="AH187" t="s">
        <v>923</v>
      </c>
      <c r="AI187" t="s">
        <v>2469</v>
      </c>
      <c r="AJ187" t="s">
        <v>1406</v>
      </c>
      <c r="AK187" t="s">
        <v>2462</v>
      </c>
      <c r="AL187" t="s">
        <v>2463</v>
      </c>
      <c r="AN187" t="str">
        <f t="shared" si="42"/>
        <v>OK</v>
      </c>
      <c r="AO187" t="str">
        <f t="shared" si="43"/>
        <v>OK</v>
      </c>
      <c r="AP187" t="str">
        <f t="shared" si="44"/>
        <v>OK</v>
      </c>
      <c r="AR187" t="str">
        <f t="shared" si="45"/>
        <v>OK</v>
      </c>
      <c r="AS187" t="str">
        <f t="shared" si="46"/>
        <v>OK</v>
      </c>
      <c r="AT187" t="str">
        <f t="shared" si="47"/>
        <v>NOK</v>
      </c>
      <c r="AU187" t="str">
        <f t="shared" si="48"/>
        <v>OK</v>
      </c>
      <c r="AV187" t="str">
        <f t="shared" si="49"/>
        <v>OK</v>
      </c>
      <c r="AW187" t="str">
        <f t="shared" si="50"/>
        <v>OK</v>
      </c>
    </row>
    <row r="188" spans="1:49">
      <c r="A188">
        <f>Dbase_velden_versie4_2!A184</f>
        <v>184</v>
      </c>
      <c r="B188" t="str">
        <f>Dbase_velden_versie4_2!B184</f>
        <v>SD_BELAST_ONTLASTSTAPPEN</v>
      </c>
      <c r="C188" t="str">
        <f>Dbase_velden_versie4_2!C184</f>
        <v>-</v>
      </c>
      <c r="D188" t="str">
        <f>Dbase_velden_versie4_2!D184</f>
        <v>Aantal belasttrappen en het aantal ontlasttrappen</v>
      </c>
      <c r="E188" t="str">
        <f>Dbase_velden_versie4_2!E184</f>
        <v>String</v>
      </c>
      <c r="F188">
        <f>Dbase_velden_versie4_2!F184</f>
        <v>0</v>
      </c>
      <c r="G188" t="str">
        <f>Dbase_velden_versie4_2!G184</f>
        <v>SD BELAST ONTLASTSTAPPEN</v>
      </c>
      <c r="H188" t="str">
        <f>Dbase_velden_versie4_2!H184</f>
        <v>[-]</v>
      </c>
      <c r="I188" t="str">
        <f>Dbase_velden_versie4_2!I184</f>
        <v>SD</v>
      </c>
      <c r="J188" t="str">
        <f>Dbase_velden_versie4_2!J184</f>
        <v>Samendrukkingsproef</v>
      </c>
      <c r="K188">
        <v>184</v>
      </c>
      <c r="L188" t="str">
        <v>SD_BELAST_ONTLASTSTAPPEN</v>
      </c>
      <c r="M188" t="str">
        <v>-</v>
      </c>
      <c r="N188" t="str">
        <v>Aantal belasttrappen en het aantal ontlasttrappen</v>
      </c>
      <c r="O188" t="str">
        <v>String</v>
      </c>
      <c r="P188">
        <v>0</v>
      </c>
      <c r="Q188" t="str">
        <v>SD BELAST ONTLASTSTAPPEN</v>
      </c>
      <c r="R188" t="str">
        <v>[-]</v>
      </c>
      <c r="S188" t="str">
        <f t="shared" si="41"/>
        <v>OK</v>
      </c>
      <c r="T188" t="str">
        <f t="shared" si="35"/>
        <v>OK</v>
      </c>
      <c r="U188" t="str">
        <f t="shared" si="36"/>
        <v>OK</v>
      </c>
      <c r="V188" t="str">
        <f t="shared" si="37"/>
        <v>OK</v>
      </c>
      <c r="W188" t="str">
        <f t="shared" si="38"/>
        <v>OK</v>
      </c>
      <c r="X188" t="str">
        <f t="shared" si="39"/>
        <v>OK</v>
      </c>
      <c r="Y188" t="str">
        <f t="shared" si="40"/>
        <v>OK</v>
      </c>
      <c r="Z188">
        <v>183</v>
      </c>
      <c r="AA188">
        <v>185</v>
      </c>
      <c r="AB188" t="s">
        <v>2462</v>
      </c>
      <c r="AC188" t="s">
        <v>184</v>
      </c>
      <c r="AD188" t="s">
        <v>463</v>
      </c>
      <c r="AE188" t="s">
        <v>651</v>
      </c>
      <c r="AG188" t="s">
        <v>896</v>
      </c>
      <c r="AI188" t="s">
        <v>2470</v>
      </c>
      <c r="AJ188" t="s">
        <v>1395</v>
      </c>
      <c r="AK188" t="s">
        <v>2462</v>
      </c>
      <c r="AL188" t="s">
        <v>2463</v>
      </c>
      <c r="AN188" t="str">
        <f t="shared" si="42"/>
        <v>OK</v>
      </c>
      <c r="AO188" t="str">
        <f t="shared" si="43"/>
        <v>OK</v>
      </c>
      <c r="AP188" t="str">
        <f t="shared" si="44"/>
        <v>OK</v>
      </c>
      <c r="AR188" t="str">
        <f t="shared" si="45"/>
        <v>OK</v>
      </c>
      <c r="AS188" t="str">
        <f t="shared" si="46"/>
        <v>OK</v>
      </c>
      <c r="AT188" t="str">
        <f t="shared" si="47"/>
        <v>NOK</v>
      </c>
      <c r="AU188" t="str">
        <f t="shared" si="48"/>
        <v>OK</v>
      </c>
      <c r="AV188" t="str">
        <f t="shared" si="49"/>
        <v>OK</v>
      </c>
      <c r="AW188" t="str">
        <f t="shared" si="50"/>
        <v>OK</v>
      </c>
    </row>
    <row r="189" spans="1:49">
      <c r="A189">
        <f>Dbase_velden_versie4_2!A185</f>
        <v>185</v>
      </c>
      <c r="B189" t="str">
        <f>Dbase_velden_versie4_2!B185</f>
        <v>SD_TYPEPROEF</v>
      </c>
      <c r="C189" t="str">
        <f>Dbase_velden_versie4_2!C185</f>
        <v>-</v>
      </c>
      <c r="D189" t="str">
        <f>Dbase_velden_versie4_2!D185</f>
        <v>Beschrijving van de type uitgevoerde proef</v>
      </c>
      <c r="E189" t="str">
        <f>Dbase_velden_versie4_2!E185</f>
        <v>String</v>
      </c>
      <c r="F189">
        <f>Dbase_velden_versie4_2!F185</f>
        <v>0</v>
      </c>
      <c r="G189" t="str">
        <f>Dbase_velden_versie4_2!G185</f>
        <v>SD TYPEPROEF</v>
      </c>
      <c r="H189" t="str">
        <f>Dbase_velden_versie4_2!H185</f>
        <v>[-]</v>
      </c>
      <c r="I189" t="str">
        <f>Dbase_velden_versie4_2!I185</f>
        <v>SD</v>
      </c>
      <c r="J189" t="str">
        <f>Dbase_velden_versie4_2!J185</f>
        <v>Samendrukkingsproef</v>
      </c>
      <c r="K189">
        <v>185</v>
      </c>
      <c r="L189" t="str">
        <v>SD_TYPEPROEF</v>
      </c>
      <c r="M189" t="str">
        <v>-</v>
      </c>
      <c r="N189" t="str">
        <v>Beschrijving van de type uitgevoerde proef</v>
      </c>
      <c r="O189" t="str">
        <v>String</v>
      </c>
      <c r="P189">
        <v>0</v>
      </c>
      <c r="Q189" t="str">
        <v>SD TYPEPROEF</v>
      </c>
      <c r="R189" t="str">
        <v>[-]</v>
      </c>
      <c r="S189" t="str">
        <f t="shared" si="41"/>
        <v>OK</v>
      </c>
      <c r="T189" t="str">
        <f t="shared" si="35"/>
        <v>OK</v>
      </c>
      <c r="U189" t="str">
        <f t="shared" si="36"/>
        <v>OK</v>
      </c>
      <c r="V189" t="str">
        <f t="shared" si="37"/>
        <v>OK</v>
      </c>
      <c r="W189" t="str">
        <f t="shared" si="38"/>
        <v>OK</v>
      </c>
      <c r="X189" t="str">
        <f t="shared" si="39"/>
        <v>OK</v>
      </c>
      <c r="Y189" t="str">
        <f t="shared" si="40"/>
        <v>OK</v>
      </c>
      <c r="Z189">
        <v>184</v>
      </c>
      <c r="AA189">
        <v>186</v>
      </c>
      <c r="AB189" t="s">
        <v>2462</v>
      </c>
      <c r="AC189" t="s">
        <v>185</v>
      </c>
      <c r="AD189" t="s">
        <v>463</v>
      </c>
      <c r="AE189" t="s">
        <v>652</v>
      </c>
      <c r="AG189" t="s">
        <v>896</v>
      </c>
      <c r="AI189" t="s">
        <v>2471</v>
      </c>
      <c r="AJ189" t="s">
        <v>1395</v>
      </c>
      <c r="AK189" t="s">
        <v>2462</v>
      </c>
      <c r="AL189" t="s">
        <v>2463</v>
      </c>
      <c r="AN189" t="str">
        <f t="shared" si="42"/>
        <v>OK</v>
      </c>
      <c r="AO189" t="str">
        <f t="shared" si="43"/>
        <v>OK</v>
      </c>
      <c r="AP189" t="str">
        <f t="shared" si="44"/>
        <v>OK</v>
      </c>
      <c r="AR189" t="str">
        <f t="shared" si="45"/>
        <v>OK</v>
      </c>
      <c r="AS189" t="str">
        <f t="shared" si="46"/>
        <v>OK</v>
      </c>
      <c r="AT189" t="str">
        <f t="shared" si="47"/>
        <v>NOK</v>
      </c>
      <c r="AU189" t="str">
        <f t="shared" si="48"/>
        <v>OK</v>
      </c>
      <c r="AV189" t="str">
        <f t="shared" si="49"/>
        <v>OK</v>
      </c>
      <c r="AW189" t="str">
        <f t="shared" si="50"/>
        <v>OK</v>
      </c>
    </row>
    <row r="190" spans="1:49">
      <c r="A190">
        <f>Dbase_velden_versie4_2!A186</f>
        <v>186</v>
      </c>
      <c r="B190" t="str">
        <f>Dbase_velden_versie4_2!B186</f>
        <v>SD_BJERRUM_GRENSSPANNING</v>
      </c>
      <c r="C190" t="str">
        <f>Dbase_velden_versie4_2!C186</f>
        <v>kPa</v>
      </c>
      <c r="D190" t="str">
        <f>Dbase_velden_versie4_2!D186</f>
        <v>Samendrukkingsparameter volgens Bjerrum, grensspanning</v>
      </c>
      <c r="E190" t="str">
        <f>Dbase_velden_versie4_2!E186</f>
        <v>Double</v>
      </c>
      <c r="F190">
        <f>Dbase_velden_versie4_2!F186</f>
        <v>0</v>
      </c>
      <c r="G190" t="str">
        <f>Dbase_velden_versie4_2!G186</f>
        <v>SD BJERRUM GRENSSPANNING</v>
      </c>
      <c r="H190" t="str">
        <f>Dbase_velden_versie4_2!H186</f>
        <v>[kPa]</v>
      </c>
      <c r="I190" t="str">
        <f>Dbase_velden_versie4_2!I186</f>
        <v>SD</v>
      </c>
      <c r="J190" t="str">
        <f>Dbase_velden_versie4_2!J186</f>
        <v>Samendrukkingsproef</v>
      </c>
      <c r="K190">
        <v>186</v>
      </c>
      <c r="L190" t="str">
        <v>SD_BJERRUM_GRENSSPANNING</v>
      </c>
      <c r="M190" t="str">
        <v>kPa</v>
      </c>
      <c r="N190" t="str">
        <v>Samendrukkingsparameter volgens Bjerrum, grensspanning</v>
      </c>
      <c r="O190" t="str">
        <v>Double</v>
      </c>
      <c r="P190">
        <v>0</v>
      </c>
      <c r="Q190" t="str">
        <v>SD BJERRUM GRENSSPANNING</v>
      </c>
      <c r="R190" t="str">
        <v>[kPa]</v>
      </c>
      <c r="S190" t="str">
        <f t="shared" si="41"/>
        <v>OK</v>
      </c>
      <c r="T190" t="str">
        <f t="shared" si="35"/>
        <v>OK</v>
      </c>
      <c r="U190" t="str">
        <f t="shared" si="36"/>
        <v>OK</v>
      </c>
      <c r="V190" t="str">
        <f t="shared" si="37"/>
        <v>OK</v>
      </c>
      <c r="W190" t="str">
        <f t="shared" si="38"/>
        <v>OK</v>
      </c>
      <c r="X190" t="str">
        <f t="shared" si="39"/>
        <v>OK</v>
      </c>
      <c r="Y190" t="str">
        <f t="shared" si="40"/>
        <v>OK</v>
      </c>
      <c r="Z190">
        <v>185</v>
      </c>
      <c r="AA190">
        <v>187</v>
      </c>
      <c r="AB190" t="s">
        <v>2462</v>
      </c>
      <c r="AC190" t="s">
        <v>186</v>
      </c>
      <c r="AD190" t="s">
        <v>470</v>
      </c>
      <c r="AE190" t="s">
        <v>653</v>
      </c>
      <c r="AG190" t="s">
        <v>897</v>
      </c>
      <c r="AI190" t="s">
        <v>2472</v>
      </c>
      <c r="AJ190" t="s">
        <v>1402</v>
      </c>
      <c r="AK190" t="s">
        <v>2462</v>
      </c>
      <c r="AL190" t="s">
        <v>2463</v>
      </c>
      <c r="AN190" t="str">
        <f t="shared" si="42"/>
        <v>OK</v>
      </c>
      <c r="AO190" t="str">
        <f t="shared" si="43"/>
        <v>OK</v>
      </c>
      <c r="AP190" t="str">
        <f t="shared" si="44"/>
        <v>OK</v>
      </c>
      <c r="AR190" t="str">
        <f t="shared" si="45"/>
        <v>OK</v>
      </c>
      <c r="AS190" t="str">
        <f t="shared" si="46"/>
        <v>OK</v>
      </c>
      <c r="AT190" t="str">
        <f t="shared" si="47"/>
        <v>NOK</v>
      </c>
      <c r="AU190" t="str">
        <f t="shared" si="48"/>
        <v>OK</v>
      </c>
      <c r="AV190" t="str">
        <f t="shared" si="49"/>
        <v>OK</v>
      </c>
      <c r="AW190" t="str">
        <f t="shared" si="50"/>
        <v>OK</v>
      </c>
    </row>
    <row r="191" spans="1:49">
      <c r="A191">
        <f>Dbase_velden_versie4_2!A187</f>
        <v>187</v>
      </c>
      <c r="B191" t="str">
        <f>Dbase_velden_versie4_2!B187</f>
        <v>SD_BJERRUM_REK_BIJ_GRENSSPANNING</v>
      </c>
      <c r="C191" t="str">
        <f>Dbase_velden_versie4_2!C187</f>
        <v>%</v>
      </c>
      <c r="D191" t="str">
        <f>Dbase_velden_versie4_2!D187</f>
        <v>Samendrukkingsparameter volgens Bjerrum, rek bij de grensspanning</v>
      </c>
      <c r="E191" t="str">
        <f>Dbase_velden_versie4_2!E187</f>
        <v>Double</v>
      </c>
      <c r="F191" t="str">
        <f>Dbase_velden_versie4_2!F187</f>
        <v>0% - 100%</v>
      </c>
      <c r="G191" t="str">
        <f>Dbase_velden_versie4_2!G187</f>
        <v>SD BJERRUM REK BIJ GRENSSPANNING</v>
      </c>
      <c r="H191" t="str">
        <f>Dbase_velden_versie4_2!H187</f>
        <v>[%]</v>
      </c>
      <c r="I191" t="str">
        <f>Dbase_velden_versie4_2!I187</f>
        <v>SD</v>
      </c>
      <c r="J191" t="str">
        <f>Dbase_velden_versie4_2!J187</f>
        <v>Samendrukkingsproef</v>
      </c>
      <c r="K191">
        <v>187</v>
      </c>
      <c r="L191" t="str">
        <v>SD_BJERRUM_REK_BIJ_GRENSSPANNING</v>
      </c>
      <c r="M191" t="str">
        <v>%</v>
      </c>
      <c r="N191" t="str">
        <v>Samendrukkingsparameter volgens Bjerrum, rek bij de grensspanning</v>
      </c>
      <c r="O191" t="str">
        <v>Double</v>
      </c>
      <c r="P191" t="str">
        <v>0% - 100%</v>
      </c>
      <c r="Q191" t="str">
        <v>SD BJERRUM REK BIJ GRENSSPANNING</v>
      </c>
      <c r="R191" t="str">
        <v>[%]</v>
      </c>
      <c r="S191" t="str">
        <f t="shared" si="41"/>
        <v>OK</v>
      </c>
      <c r="T191" t="str">
        <f t="shared" si="35"/>
        <v>OK</v>
      </c>
      <c r="U191" t="str">
        <f t="shared" si="36"/>
        <v>OK</v>
      </c>
      <c r="V191" t="str">
        <f t="shared" si="37"/>
        <v>OK</v>
      </c>
      <c r="W191" t="str">
        <f t="shared" si="38"/>
        <v>OK</v>
      </c>
      <c r="X191" t="str">
        <f t="shared" si="39"/>
        <v>OK</v>
      </c>
      <c r="Y191" t="str">
        <f t="shared" si="40"/>
        <v>OK</v>
      </c>
      <c r="Z191">
        <v>186</v>
      </c>
      <c r="AA191">
        <v>188</v>
      </c>
      <c r="AB191" t="s">
        <v>2462</v>
      </c>
      <c r="AC191" t="s">
        <v>187</v>
      </c>
      <c r="AD191" t="s">
        <v>468</v>
      </c>
      <c r="AE191" t="s">
        <v>654</v>
      </c>
      <c r="AG191" t="s">
        <v>897</v>
      </c>
      <c r="AH191" t="s">
        <v>911</v>
      </c>
      <c r="AI191" t="s">
        <v>2473</v>
      </c>
      <c r="AJ191" t="s">
        <v>1400</v>
      </c>
      <c r="AK191" t="s">
        <v>2462</v>
      </c>
      <c r="AL191" t="s">
        <v>2463</v>
      </c>
      <c r="AN191" t="str">
        <f t="shared" si="42"/>
        <v>OK</v>
      </c>
      <c r="AO191" t="str">
        <f t="shared" si="43"/>
        <v>OK</v>
      </c>
      <c r="AP191" t="str">
        <f t="shared" si="44"/>
        <v>OK</v>
      </c>
      <c r="AR191" t="str">
        <f t="shared" si="45"/>
        <v>OK</v>
      </c>
      <c r="AS191" t="str">
        <f t="shared" si="46"/>
        <v>OK</v>
      </c>
      <c r="AT191" t="str">
        <f t="shared" si="47"/>
        <v>NOK</v>
      </c>
      <c r="AU191" t="str">
        <f t="shared" si="48"/>
        <v>OK</v>
      </c>
      <c r="AV191" t="str">
        <f t="shared" si="49"/>
        <v>OK</v>
      </c>
      <c r="AW191" t="str">
        <f t="shared" si="50"/>
        <v>OK</v>
      </c>
    </row>
    <row r="192" spans="1:49">
      <c r="A192">
        <f>Dbase_velden_versie4_2!A188</f>
        <v>188</v>
      </c>
      <c r="B192" t="str">
        <f>Dbase_velden_versie4_2!B188</f>
        <v>SD_BJERRUM_CC</v>
      </c>
      <c r="C192" t="str">
        <f>Dbase_velden_versie4_2!C188</f>
        <v>-</v>
      </c>
      <c r="D192" t="str">
        <f>Dbase_velden_versie4_2!D188</f>
        <v>NEN Bjerrum Cc</v>
      </c>
      <c r="E192" t="str">
        <f>Dbase_velden_versie4_2!E188</f>
        <v>Double</v>
      </c>
      <c r="F192">
        <f>Dbase_velden_versie4_2!F188</f>
        <v>0</v>
      </c>
      <c r="G192" t="str">
        <f>Dbase_velden_versie4_2!G188</f>
        <v>SD BJERRUM CC</v>
      </c>
      <c r="H192" t="str">
        <f>Dbase_velden_versie4_2!H188</f>
        <v>[-]</v>
      </c>
      <c r="I192" t="str">
        <f>Dbase_velden_versie4_2!I188</f>
        <v>SD</v>
      </c>
      <c r="J192" t="str">
        <f>Dbase_velden_versie4_2!J188</f>
        <v>Samendrukkingsproef</v>
      </c>
      <c r="K192">
        <v>188</v>
      </c>
      <c r="L192" t="str">
        <v>SD_BJERRUM_CC</v>
      </c>
      <c r="M192" t="str">
        <v>-</v>
      </c>
      <c r="N192" t="str">
        <v>NEN Bjerrum Cc</v>
      </c>
      <c r="O192" t="str">
        <v>Double</v>
      </c>
      <c r="P192">
        <v>0</v>
      </c>
      <c r="Q192" t="str">
        <v>SD BJERRUM CC</v>
      </c>
      <c r="R192" t="str">
        <v>[-]</v>
      </c>
      <c r="S192" t="str">
        <f t="shared" si="41"/>
        <v>OK</v>
      </c>
      <c r="T192" t="str">
        <f t="shared" si="35"/>
        <v>OK</v>
      </c>
      <c r="U192" t="str">
        <f t="shared" si="36"/>
        <v>OK</v>
      </c>
      <c r="V192" t="str">
        <f t="shared" si="37"/>
        <v>OK</v>
      </c>
      <c r="W192" t="str">
        <f t="shared" si="38"/>
        <v>OK</v>
      </c>
      <c r="X192" t="str">
        <f t="shared" si="39"/>
        <v>OK</v>
      </c>
      <c r="Y192" t="str">
        <f t="shared" si="40"/>
        <v>OK</v>
      </c>
      <c r="Z192">
        <v>187</v>
      </c>
      <c r="AA192">
        <v>189</v>
      </c>
      <c r="AB192" t="s">
        <v>2462</v>
      </c>
      <c r="AC192" t="s">
        <v>188</v>
      </c>
      <c r="AD192" t="s">
        <v>463</v>
      </c>
      <c r="AE192" t="s">
        <v>655</v>
      </c>
      <c r="AG192" t="s">
        <v>897</v>
      </c>
      <c r="AI192" t="s">
        <v>2474</v>
      </c>
      <c r="AJ192" t="s">
        <v>1395</v>
      </c>
      <c r="AK192" t="s">
        <v>2462</v>
      </c>
      <c r="AL192" t="s">
        <v>2463</v>
      </c>
      <c r="AN192" t="str">
        <f t="shared" si="42"/>
        <v>OK</v>
      </c>
      <c r="AO192" t="str">
        <f t="shared" si="43"/>
        <v>OK</v>
      </c>
      <c r="AP192" t="str">
        <f t="shared" si="44"/>
        <v>OK</v>
      </c>
      <c r="AR192" t="str">
        <f t="shared" si="45"/>
        <v>OK</v>
      </c>
      <c r="AS192" t="str">
        <f t="shared" si="46"/>
        <v>OK</v>
      </c>
      <c r="AT192" t="str">
        <f t="shared" si="47"/>
        <v>NOK</v>
      </c>
      <c r="AU192" t="str">
        <f t="shared" si="48"/>
        <v>OK</v>
      </c>
      <c r="AV192" t="str">
        <f t="shared" si="49"/>
        <v>OK</v>
      </c>
      <c r="AW192" t="str">
        <f t="shared" si="50"/>
        <v>OK</v>
      </c>
    </row>
    <row r="193" spans="1:49">
      <c r="A193">
        <f>Dbase_velden_versie4_2!A189</f>
        <v>189</v>
      </c>
      <c r="B193" t="str">
        <f>Dbase_velden_versie4_2!B189</f>
        <v>SD_BJERRUM_CC_TRAP1_2</v>
      </c>
      <c r="C193" t="str">
        <f>Dbase_velden_versie4_2!C189</f>
        <v>-</v>
      </c>
      <c r="D193" t="str">
        <f>Dbase_velden_versie4_2!D189</f>
        <v>Samendrukkingsparameter volgens Bjerrum, Cc waarde conform NEN5118, trap 1-2</v>
      </c>
      <c r="E193" t="str">
        <f>Dbase_velden_versie4_2!E189</f>
        <v>Double</v>
      </c>
      <c r="F193">
        <f>Dbase_velden_versie4_2!F189</f>
        <v>0</v>
      </c>
      <c r="G193" t="str">
        <f>Dbase_velden_versie4_2!G189</f>
        <v>SD BJERRUM CC TRAP1 2</v>
      </c>
      <c r="H193" t="str">
        <f>Dbase_velden_versie4_2!H189</f>
        <v>[-]</v>
      </c>
      <c r="I193" t="str">
        <f>Dbase_velden_versie4_2!I189</f>
        <v>SD</v>
      </c>
      <c r="J193" t="str">
        <f>Dbase_velden_versie4_2!J189</f>
        <v>Samendrukkingsproef</v>
      </c>
      <c r="K193">
        <v>189</v>
      </c>
      <c r="L193" t="str">
        <v>SD_BJERRUM_CC_TRAP1_2</v>
      </c>
      <c r="M193" t="str">
        <v>-</v>
      </c>
      <c r="N193" t="str">
        <v>Samendrukkingsparameter volgens Bjerrum, Cc waarde conform NEN5118, trap 1-2</v>
      </c>
      <c r="O193" t="str">
        <v>Double</v>
      </c>
      <c r="P193">
        <v>0</v>
      </c>
      <c r="Q193" t="str">
        <v>SD BJERRUM CC TRAP1 2</v>
      </c>
      <c r="R193" t="str">
        <v>[-]</v>
      </c>
      <c r="S193" t="str">
        <f t="shared" si="41"/>
        <v>OK</v>
      </c>
      <c r="T193" t="str">
        <f t="shared" si="35"/>
        <v>OK</v>
      </c>
      <c r="U193" t="str">
        <f t="shared" si="36"/>
        <v>OK</v>
      </c>
      <c r="V193" t="str">
        <f t="shared" si="37"/>
        <v>OK</v>
      </c>
      <c r="W193" t="str">
        <f t="shared" si="38"/>
        <v>OK</v>
      </c>
      <c r="X193" t="str">
        <f t="shared" si="39"/>
        <v>OK</v>
      </c>
      <c r="Y193" t="str">
        <f t="shared" si="40"/>
        <v>OK</v>
      </c>
      <c r="Z193">
        <v>188</v>
      </c>
      <c r="AA193">
        <v>190</v>
      </c>
      <c r="AB193" t="s">
        <v>2462</v>
      </c>
      <c r="AC193" t="s">
        <v>189</v>
      </c>
      <c r="AD193" t="s">
        <v>463</v>
      </c>
      <c r="AE193" t="s">
        <v>656</v>
      </c>
      <c r="AG193" t="s">
        <v>897</v>
      </c>
      <c r="AI193" t="s">
        <v>2475</v>
      </c>
      <c r="AJ193" t="s">
        <v>1395</v>
      </c>
      <c r="AK193" t="s">
        <v>2462</v>
      </c>
      <c r="AL193" t="s">
        <v>2463</v>
      </c>
      <c r="AN193" t="str">
        <f t="shared" si="42"/>
        <v>OK</v>
      </c>
      <c r="AO193" t="str">
        <f t="shared" si="43"/>
        <v>OK</v>
      </c>
      <c r="AP193" t="str">
        <f t="shared" si="44"/>
        <v>OK</v>
      </c>
      <c r="AR193" t="str">
        <f t="shared" si="45"/>
        <v>OK</v>
      </c>
      <c r="AS193" t="str">
        <f t="shared" si="46"/>
        <v>OK</v>
      </c>
      <c r="AT193" t="str">
        <f t="shared" si="47"/>
        <v>NOK</v>
      </c>
      <c r="AU193" t="str">
        <f t="shared" si="48"/>
        <v>OK</v>
      </c>
      <c r="AV193" t="str">
        <f t="shared" si="49"/>
        <v>OK</v>
      </c>
      <c r="AW193" t="str">
        <f t="shared" si="50"/>
        <v>OK</v>
      </c>
    </row>
    <row r="194" spans="1:49">
      <c r="A194">
        <f>Dbase_velden_versie4_2!A190</f>
        <v>190</v>
      </c>
      <c r="B194" t="str">
        <f>Dbase_velden_versie4_2!B190</f>
        <v>SD_BJERRUM_CC_TRAP2_3</v>
      </c>
      <c r="C194" t="str">
        <f>Dbase_velden_versie4_2!C190</f>
        <v>-</v>
      </c>
      <c r="D194" t="str">
        <f>Dbase_velden_versie4_2!D190</f>
        <v>Samendrukkingsparameter volgens Bjerrum, Cc waarde conform NEN5118, trap 2-3</v>
      </c>
      <c r="E194" t="str">
        <f>Dbase_velden_versie4_2!E190</f>
        <v>Double</v>
      </c>
      <c r="F194">
        <f>Dbase_velden_versie4_2!F190</f>
        <v>0</v>
      </c>
      <c r="G194" t="str">
        <f>Dbase_velden_versie4_2!G190</f>
        <v>SD BJERRUM CC TRAP2 3</v>
      </c>
      <c r="H194" t="str">
        <f>Dbase_velden_versie4_2!H190</f>
        <v>[-]</v>
      </c>
      <c r="I194" t="str">
        <f>Dbase_velden_versie4_2!I190</f>
        <v>SD</v>
      </c>
      <c r="J194" t="str">
        <f>Dbase_velden_versie4_2!J190</f>
        <v>Samendrukkingsproef</v>
      </c>
      <c r="K194">
        <v>190</v>
      </c>
      <c r="L194" t="str">
        <v>SD_BJERRUM_CC_TRAP2_3</v>
      </c>
      <c r="M194" t="str">
        <v>-</v>
      </c>
      <c r="N194" t="str">
        <v>Samendrukkingsparameter volgens Bjerrum, Cc waarde conform NEN5118, trap 2-3</v>
      </c>
      <c r="O194" t="str">
        <v>Double</v>
      </c>
      <c r="P194">
        <v>0</v>
      </c>
      <c r="Q194" t="str">
        <v>SD BJERRUM CC TRAP2 3</v>
      </c>
      <c r="R194" t="str">
        <v>[-]</v>
      </c>
      <c r="S194" t="str">
        <f t="shared" si="41"/>
        <v>OK</v>
      </c>
      <c r="T194" t="str">
        <f t="shared" si="35"/>
        <v>OK</v>
      </c>
      <c r="U194" t="str">
        <f t="shared" si="36"/>
        <v>OK</v>
      </c>
      <c r="V194" t="str">
        <f t="shared" si="37"/>
        <v>OK</v>
      </c>
      <c r="W194" t="str">
        <f t="shared" si="38"/>
        <v>OK</v>
      </c>
      <c r="X194" t="str">
        <f t="shared" si="39"/>
        <v>OK</v>
      </c>
      <c r="Y194" t="str">
        <f t="shared" si="40"/>
        <v>OK</v>
      </c>
      <c r="Z194">
        <v>189</v>
      </c>
      <c r="AA194">
        <v>191</v>
      </c>
      <c r="AB194" t="s">
        <v>2462</v>
      </c>
      <c r="AC194" t="s">
        <v>190</v>
      </c>
      <c r="AD194" t="s">
        <v>463</v>
      </c>
      <c r="AE194" t="s">
        <v>657</v>
      </c>
      <c r="AG194" t="s">
        <v>897</v>
      </c>
      <c r="AI194" t="s">
        <v>2476</v>
      </c>
      <c r="AJ194" t="s">
        <v>1395</v>
      </c>
      <c r="AK194" t="s">
        <v>2462</v>
      </c>
      <c r="AL194" t="s">
        <v>2463</v>
      </c>
      <c r="AN194" t="str">
        <f t="shared" si="42"/>
        <v>OK</v>
      </c>
      <c r="AO194" t="str">
        <f t="shared" si="43"/>
        <v>OK</v>
      </c>
      <c r="AP194" t="str">
        <f t="shared" si="44"/>
        <v>OK</v>
      </c>
      <c r="AR194" t="str">
        <f t="shared" si="45"/>
        <v>OK</v>
      </c>
      <c r="AS194" t="str">
        <f t="shared" si="46"/>
        <v>OK</v>
      </c>
      <c r="AT194" t="str">
        <f t="shared" si="47"/>
        <v>NOK</v>
      </c>
      <c r="AU194" t="str">
        <f t="shared" si="48"/>
        <v>OK</v>
      </c>
      <c r="AV194" t="str">
        <f t="shared" si="49"/>
        <v>OK</v>
      </c>
      <c r="AW194" t="str">
        <f t="shared" si="50"/>
        <v>OK</v>
      </c>
    </row>
    <row r="195" spans="1:49">
      <c r="A195">
        <f>Dbase_velden_versie4_2!A191</f>
        <v>191</v>
      </c>
      <c r="B195" t="str">
        <f>Dbase_velden_versie4_2!B191</f>
        <v>SD_BJERRUM_CC_TRAP3_4</v>
      </c>
      <c r="C195" t="str">
        <f>Dbase_velden_versie4_2!C191</f>
        <v>-</v>
      </c>
      <c r="D195" t="str">
        <f>Dbase_velden_versie4_2!D191</f>
        <v>Samendrukkingsparameter volgens Bjerrum, Cc waarde conform NEN5118, trap 3-4</v>
      </c>
      <c r="E195" t="str">
        <f>Dbase_velden_versie4_2!E191</f>
        <v>Double</v>
      </c>
      <c r="F195">
        <f>Dbase_velden_versie4_2!F191</f>
        <v>0</v>
      </c>
      <c r="G195" t="str">
        <f>Dbase_velden_versie4_2!G191</f>
        <v>SD BJERRUM CC TRAP3 4</v>
      </c>
      <c r="H195" t="str">
        <f>Dbase_velden_versie4_2!H191</f>
        <v>[-]</v>
      </c>
      <c r="I195" t="str">
        <f>Dbase_velden_versie4_2!I191</f>
        <v>SD</v>
      </c>
      <c r="J195" t="str">
        <f>Dbase_velden_versie4_2!J191</f>
        <v>Samendrukkingsproef</v>
      </c>
      <c r="K195">
        <v>191</v>
      </c>
      <c r="L195" t="str">
        <v>SD_BJERRUM_CC_TRAP3_4</v>
      </c>
      <c r="M195" t="str">
        <v>-</v>
      </c>
      <c r="N195" t="str">
        <v>Samendrukkingsparameter volgens Bjerrum, Cc waarde conform NEN5118, trap 3-4</v>
      </c>
      <c r="O195" t="str">
        <v>Double</v>
      </c>
      <c r="P195">
        <v>0</v>
      </c>
      <c r="Q195" t="str">
        <v>SD BJERRUM CC TRAP3 4</v>
      </c>
      <c r="R195" t="str">
        <v>[-]</v>
      </c>
      <c r="S195" t="str">
        <f t="shared" si="41"/>
        <v>OK</v>
      </c>
      <c r="T195" t="str">
        <f t="shared" si="35"/>
        <v>OK</v>
      </c>
      <c r="U195" t="str">
        <f t="shared" si="36"/>
        <v>OK</v>
      </c>
      <c r="V195" t="str">
        <f t="shared" si="37"/>
        <v>OK</v>
      </c>
      <c r="W195" t="str">
        <f t="shared" si="38"/>
        <v>OK</v>
      </c>
      <c r="X195" t="str">
        <f t="shared" si="39"/>
        <v>OK</v>
      </c>
      <c r="Y195" t="str">
        <f t="shared" si="40"/>
        <v>OK</v>
      </c>
      <c r="Z195">
        <v>190</v>
      </c>
      <c r="AA195">
        <v>192</v>
      </c>
      <c r="AB195" t="s">
        <v>2462</v>
      </c>
      <c r="AC195" t="s">
        <v>191</v>
      </c>
      <c r="AD195" t="s">
        <v>463</v>
      </c>
      <c r="AE195" t="s">
        <v>658</v>
      </c>
      <c r="AG195" t="s">
        <v>897</v>
      </c>
      <c r="AI195" t="s">
        <v>2477</v>
      </c>
      <c r="AJ195" t="s">
        <v>1395</v>
      </c>
      <c r="AK195" t="s">
        <v>2462</v>
      </c>
      <c r="AL195" t="s">
        <v>2463</v>
      </c>
      <c r="AN195" t="str">
        <f t="shared" si="42"/>
        <v>OK</v>
      </c>
      <c r="AO195" t="str">
        <f t="shared" si="43"/>
        <v>OK</v>
      </c>
      <c r="AP195" t="str">
        <f t="shared" si="44"/>
        <v>OK</v>
      </c>
      <c r="AR195" t="str">
        <f t="shared" si="45"/>
        <v>OK</v>
      </c>
      <c r="AS195" t="str">
        <f t="shared" si="46"/>
        <v>OK</v>
      </c>
      <c r="AT195" t="str">
        <f t="shared" si="47"/>
        <v>NOK</v>
      </c>
      <c r="AU195" t="str">
        <f t="shared" si="48"/>
        <v>OK</v>
      </c>
      <c r="AV195" t="str">
        <f t="shared" si="49"/>
        <v>OK</v>
      </c>
      <c r="AW195" t="str">
        <f t="shared" si="50"/>
        <v>OK</v>
      </c>
    </row>
    <row r="196" spans="1:49">
      <c r="A196">
        <f>Dbase_velden_versie4_2!A192</f>
        <v>192</v>
      </c>
      <c r="B196" t="str">
        <f>Dbase_velden_versie4_2!B192</f>
        <v>SD_BJERRUM_CC_TRAP4_5</v>
      </c>
      <c r="C196" t="str">
        <f>Dbase_velden_versie4_2!C192</f>
        <v>-</v>
      </c>
      <c r="D196" t="str">
        <f>Dbase_velden_versie4_2!D192</f>
        <v>Samendrukkingsparameter volgens Bjerrum, Cc waarde conform NEN5118, trap 4-5</v>
      </c>
      <c r="E196" t="str">
        <f>Dbase_velden_versie4_2!E192</f>
        <v>Double</v>
      </c>
      <c r="F196">
        <f>Dbase_velden_versie4_2!F192</f>
        <v>0</v>
      </c>
      <c r="G196" t="str">
        <f>Dbase_velden_versie4_2!G192</f>
        <v>SD BJERRUM CC TRAP4 5</v>
      </c>
      <c r="H196" t="str">
        <f>Dbase_velden_versie4_2!H192</f>
        <v>[-]</v>
      </c>
      <c r="I196" t="str">
        <f>Dbase_velden_versie4_2!I192</f>
        <v>SD</v>
      </c>
      <c r="J196" t="str">
        <f>Dbase_velden_versie4_2!J192</f>
        <v>Samendrukkingsproef</v>
      </c>
      <c r="K196">
        <v>192</v>
      </c>
      <c r="L196" t="str">
        <v>SD_BJERRUM_CC_TRAP4_5</v>
      </c>
      <c r="M196" t="str">
        <v>-</v>
      </c>
      <c r="N196" t="str">
        <v>Samendrukkingsparameter volgens Bjerrum, Cc waarde conform NEN5118, trap 4-5</v>
      </c>
      <c r="O196" t="str">
        <v>Double</v>
      </c>
      <c r="P196">
        <v>0</v>
      </c>
      <c r="Q196" t="str">
        <v>SD BJERRUM CC TRAP4 5</v>
      </c>
      <c r="R196" t="str">
        <v>[-]</v>
      </c>
      <c r="S196" t="str">
        <f t="shared" si="41"/>
        <v>OK</v>
      </c>
      <c r="T196" t="str">
        <f t="shared" si="35"/>
        <v>OK</v>
      </c>
      <c r="U196" t="str">
        <f t="shared" si="36"/>
        <v>OK</v>
      </c>
      <c r="V196" t="str">
        <f t="shared" si="37"/>
        <v>OK</v>
      </c>
      <c r="W196" t="str">
        <f t="shared" si="38"/>
        <v>OK</v>
      </c>
      <c r="X196" t="str">
        <f t="shared" si="39"/>
        <v>OK</v>
      </c>
      <c r="Y196" t="str">
        <f t="shared" si="40"/>
        <v>OK</v>
      </c>
      <c r="Z196">
        <v>191</v>
      </c>
      <c r="AA196">
        <v>193</v>
      </c>
      <c r="AB196" t="s">
        <v>2462</v>
      </c>
      <c r="AC196" t="s">
        <v>192</v>
      </c>
      <c r="AD196" t="s">
        <v>463</v>
      </c>
      <c r="AE196" t="s">
        <v>659</v>
      </c>
      <c r="AG196" t="s">
        <v>897</v>
      </c>
      <c r="AI196" t="s">
        <v>2478</v>
      </c>
      <c r="AJ196" t="s">
        <v>1395</v>
      </c>
      <c r="AK196" t="s">
        <v>2462</v>
      </c>
      <c r="AL196" t="s">
        <v>2463</v>
      </c>
      <c r="AN196" t="str">
        <f t="shared" si="42"/>
        <v>OK</v>
      </c>
      <c r="AO196" t="str">
        <f t="shared" si="43"/>
        <v>OK</v>
      </c>
      <c r="AP196" t="str">
        <f t="shared" si="44"/>
        <v>OK</v>
      </c>
      <c r="AR196" t="str">
        <f t="shared" si="45"/>
        <v>OK</v>
      </c>
      <c r="AS196" t="str">
        <f t="shared" si="46"/>
        <v>OK</v>
      </c>
      <c r="AT196" t="str">
        <f t="shared" si="47"/>
        <v>NOK</v>
      </c>
      <c r="AU196" t="str">
        <f t="shared" si="48"/>
        <v>OK</v>
      </c>
      <c r="AV196" t="str">
        <f t="shared" si="49"/>
        <v>OK</v>
      </c>
      <c r="AW196" t="str">
        <f t="shared" si="50"/>
        <v>OK</v>
      </c>
    </row>
    <row r="197" spans="1:49">
      <c r="A197">
        <f>Dbase_velden_versie4_2!A193</f>
        <v>193</v>
      </c>
      <c r="B197" t="str">
        <f>Dbase_velden_versie4_2!B193</f>
        <v>SD_BJERRUM_CC_TRAP5_6</v>
      </c>
      <c r="C197" t="str">
        <f>Dbase_velden_versie4_2!C193</f>
        <v>-</v>
      </c>
      <c r="D197" t="str">
        <f>Dbase_velden_versie4_2!D193</f>
        <v>Samendrukkingsparameter volgens Bjerrum, Cc waarde conform NEN5118, trap 5-6</v>
      </c>
      <c r="E197" t="str">
        <f>Dbase_velden_versie4_2!E193</f>
        <v>Double</v>
      </c>
      <c r="F197">
        <f>Dbase_velden_versie4_2!F193</f>
        <v>0</v>
      </c>
      <c r="G197" t="str">
        <f>Dbase_velden_versie4_2!G193</f>
        <v>SD BJERRUM CC TRAP5 6</v>
      </c>
      <c r="H197" t="str">
        <f>Dbase_velden_versie4_2!H193</f>
        <v>[-]</v>
      </c>
      <c r="I197" t="str">
        <f>Dbase_velden_versie4_2!I193</f>
        <v>SD</v>
      </c>
      <c r="J197" t="str">
        <f>Dbase_velden_versie4_2!J193</f>
        <v>Samendrukkingsproef</v>
      </c>
      <c r="K197">
        <v>193</v>
      </c>
      <c r="L197" t="str">
        <v>SD_BJERRUM_CC_TRAP5_6</v>
      </c>
      <c r="M197" t="str">
        <v>-</v>
      </c>
      <c r="N197" t="str">
        <v>Samendrukkingsparameter volgens Bjerrum, Cc waarde conform NEN5118, trap 5-6</v>
      </c>
      <c r="O197" t="str">
        <v>Double</v>
      </c>
      <c r="P197">
        <v>0</v>
      </c>
      <c r="Q197" t="str">
        <v>SD BJERRUM CC TRAP5 6</v>
      </c>
      <c r="R197" t="str">
        <v>[-]</v>
      </c>
      <c r="S197" t="str">
        <f t="shared" si="41"/>
        <v>OK</v>
      </c>
      <c r="T197" t="str">
        <f t="shared" si="35"/>
        <v>OK</v>
      </c>
      <c r="U197" t="str">
        <f t="shared" si="36"/>
        <v>OK</v>
      </c>
      <c r="V197" t="str">
        <f t="shared" si="37"/>
        <v>OK</v>
      </c>
      <c r="W197" t="str">
        <f t="shared" si="38"/>
        <v>OK</v>
      </c>
      <c r="X197" t="str">
        <f t="shared" si="39"/>
        <v>OK</v>
      </c>
      <c r="Y197" t="str">
        <f t="shared" si="40"/>
        <v>OK</v>
      </c>
      <c r="Z197">
        <v>192</v>
      </c>
      <c r="AA197">
        <v>194</v>
      </c>
      <c r="AB197" t="s">
        <v>2462</v>
      </c>
      <c r="AC197" t="s">
        <v>193</v>
      </c>
      <c r="AD197" t="s">
        <v>463</v>
      </c>
      <c r="AE197" t="s">
        <v>660</v>
      </c>
      <c r="AG197" t="s">
        <v>897</v>
      </c>
      <c r="AI197" t="s">
        <v>2479</v>
      </c>
      <c r="AJ197" t="s">
        <v>1395</v>
      </c>
      <c r="AK197" t="s">
        <v>2462</v>
      </c>
      <c r="AL197" t="s">
        <v>2463</v>
      </c>
      <c r="AN197" t="str">
        <f t="shared" si="42"/>
        <v>OK</v>
      </c>
      <c r="AO197" t="str">
        <f t="shared" si="43"/>
        <v>OK</v>
      </c>
      <c r="AP197" t="str">
        <f t="shared" si="44"/>
        <v>OK</v>
      </c>
      <c r="AR197" t="str">
        <f t="shared" si="45"/>
        <v>OK</v>
      </c>
      <c r="AS197" t="str">
        <f t="shared" si="46"/>
        <v>OK</v>
      </c>
      <c r="AT197" t="str">
        <f t="shared" si="47"/>
        <v>NOK</v>
      </c>
      <c r="AU197" t="str">
        <f t="shared" si="48"/>
        <v>OK</v>
      </c>
      <c r="AV197" t="str">
        <f t="shared" si="49"/>
        <v>OK</v>
      </c>
      <c r="AW197" t="str">
        <f t="shared" si="50"/>
        <v>OK</v>
      </c>
    </row>
    <row r="198" spans="1:49">
      <c r="A198">
        <f>Dbase_velden_versie4_2!A194</f>
        <v>194</v>
      </c>
      <c r="B198" t="str">
        <f>Dbase_velden_versie4_2!B194</f>
        <v>SD_BJERRUM_CC_TRAP6_7</v>
      </c>
      <c r="C198" t="str">
        <f>Dbase_velden_versie4_2!C194</f>
        <v>-</v>
      </c>
      <c r="D198" t="str">
        <f>Dbase_velden_versie4_2!D194</f>
        <v>Samendrukkingsparameter volgens Bjerrum, Cc waarde conform NEN5118, trap 6-7</v>
      </c>
      <c r="E198" t="str">
        <f>Dbase_velden_versie4_2!E194</f>
        <v>Double</v>
      </c>
      <c r="F198">
        <f>Dbase_velden_versie4_2!F194</f>
        <v>0</v>
      </c>
      <c r="G198" t="str">
        <f>Dbase_velden_versie4_2!G194</f>
        <v>SD BJERRUM CC TRAP6 7</v>
      </c>
      <c r="H198" t="str">
        <f>Dbase_velden_versie4_2!H194</f>
        <v>[-]</v>
      </c>
      <c r="I198" t="str">
        <f>Dbase_velden_versie4_2!I194</f>
        <v>SD</v>
      </c>
      <c r="J198" t="str">
        <f>Dbase_velden_versie4_2!J194</f>
        <v>Samendrukkingsproef</v>
      </c>
      <c r="K198">
        <v>194</v>
      </c>
      <c r="L198" t="str">
        <v>SD_BJERRUM_CC_TRAP6_7</v>
      </c>
      <c r="M198" t="str">
        <v>-</v>
      </c>
      <c r="N198" t="str">
        <v>Samendrukkingsparameter volgens Bjerrum, Cc waarde conform NEN5118, trap 6-7</v>
      </c>
      <c r="O198" t="str">
        <v>Double</v>
      </c>
      <c r="P198">
        <v>0</v>
      </c>
      <c r="Q198" t="str">
        <v>SD BJERRUM CC TRAP6 7</v>
      </c>
      <c r="R198" t="str">
        <v>[-]</v>
      </c>
      <c r="S198" t="str">
        <f t="shared" si="41"/>
        <v>OK</v>
      </c>
      <c r="T198" t="str">
        <f t="shared" ref="T198:T261" si="51">IF(B198=L198,"OK","NOK")</f>
        <v>OK</v>
      </c>
      <c r="U198" t="str">
        <f t="shared" ref="U198:U261" si="52">IF(C198=M198,"OK","NOK")</f>
        <v>OK</v>
      </c>
      <c r="V198" t="str">
        <f t="shared" ref="V198:V261" si="53">IF(D198=N198,"OK","NOK")</f>
        <v>OK</v>
      </c>
      <c r="W198" t="str">
        <f t="shared" ref="W198:W261" si="54">IF(E198=O198,"OK","NOK")</f>
        <v>OK</v>
      </c>
      <c r="X198" t="str">
        <f t="shared" ref="X198:X261" si="55">IF(F198=P198,"OK","NOK")</f>
        <v>OK</v>
      </c>
      <c r="Y198" t="str">
        <f t="shared" ref="Y198:Y261" si="56">IF(G198=Q198,"OK","NOK")</f>
        <v>OK</v>
      </c>
      <c r="Z198">
        <v>193</v>
      </c>
      <c r="AA198">
        <v>195</v>
      </c>
      <c r="AB198" t="s">
        <v>2462</v>
      </c>
      <c r="AC198" t="s">
        <v>194</v>
      </c>
      <c r="AD198" t="s">
        <v>463</v>
      </c>
      <c r="AE198" t="s">
        <v>661</v>
      </c>
      <c r="AG198" t="s">
        <v>897</v>
      </c>
      <c r="AI198" t="s">
        <v>2480</v>
      </c>
      <c r="AJ198" t="s">
        <v>1395</v>
      </c>
      <c r="AK198" t="s">
        <v>2462</v>
      </c>
      <c r="AL198" t="s">
        <v>2463</v>
      </c>
      <c r="AN198" t="str">
        <f t="shared" si="42"/>
        <v>OK</v>
      </c>
      <c r="AO198" t="str">
        <f t="shared" si="43"/>
        <v>OK</v>
      </c>
      <c r="AP198" t="str">
        <f t="shared" si="44"/>
        <v>OK</v>
      </c>
      <c r="AR198" t="str">
        <f t="shared" si="45"/>
        <v>OK</v>
      </c>
      <c r="AS198" t="str">
        <f t="shared" si="46"/>
        <v>OK</v>
      </c>
      <c r="AT198" t="str">
        <f t="shared" si="47"/>
        <v>NOK</v>
      </c>
      <c r="AU198" t="str">
        <f t="shared" si="48"/>
        <v>OK</v>
      </c>
      <c r="AV198" t="str">
        <f t="shared" si="49"/>
        <v>OK</v>
      </c>
      <c r="AW198" t="str">
        <f t="shared" si="50"/>
        <v>OK</v>
      </c>
    </row>
    <row r="199" spans="1:49">
      <c r="A199">
        <f>Dbase_velden_versie4_2!A195</f>
        <v>195</v>
      </c>
      <c r="B199" t="str">
        <f>Dbase_velden_versie4_2!B195</f>
        <v>SD_BJERRUM_CC_TRAP7_8</v>
      </c>
      <c r="C199" t="str">
        <f>Dbase_velden_versie4_2!C195</f>
        <v>-</v>
      </c>
      <c r="D199" t="str">
        <f>Dbase_velden_versie4_2!D195</f>
        <v>Samendrukkingsparameter volgens Bjerrum, Cc waarde conform NEN5118, trap 7-8</v>
      </c>
      <c r="E199" t="str">
        <f>Dbase_velden_versie4_2!E195</f>
        <v>Double</v>
      </c>
      <c r="F199">
        <f>Dbase_velden_versie4_2!F195</f>
        <v>0</v>
      </c>
      <c r="G199" t="str">
        <f>Dbase_velden_versie4_2!G195</f>
        <v>SD BJERRUM CC TRAP7 8</v>
      </c>
      <c r="H199" t="str">
        <f>Dbase_velden_versie4_2!H195</f>
        <v>[-]</v>
      </c>
      <c r="I199" t="str">
        <f>Dbase_velden_versie4_2!I195</f>
        <v>SD</v>
      </c>
      <c r="J199" t="str">
        <f>Dbase_velden_versie4_2!J195</f>
        <v>Samendrukkingsproef</v>
      </c>
      <c r="K199">
        <v>195</v>
      </c>
      <c r="L199" t="str">
        <v>SD_BJERRUM_CC_TRAP7_8</v>
      </c>
      <c r="M199" t="str">
        <v>-</v>
      </c>
      <c r="N199" t="str">
        <v>Samendrukkingsparameter volgens Bjerrum, Cc waarde conform NEN5118, trap 7-8</v>
      </c>
      <c r="O199" t="str">
        <v>Double</v>
      </c>
      <c r="P199">
        <v>0</v>
      </c>
      <c r="Q199" t="str">
        <v>SD BJERRUM CC TRAP7 8</v>
      </c>
      <c r="R199" t="str">
        <v>[-]</v>
      </c>
      <c r="S199" t="str">
        <f t="shared" ref="S199:S262" si="57">IF(A199=K199,"OK","NOK")</f>
        <v>OK</v>
      </c>
      <c r="T199" t="str">
        <f t="shared" si="51"/>
        <v>OK</v>
      </c>
      <c r="U199" t="str">
        <f t="shared" si="52"/>
        <v>OK</v>
      </c>
      <c r="V199" t="str">
        <f t="shared" si="53"/>
        <v>OK</v>
      </c>
      <c r="W199" t="str">
        <f t="shared" si="54"/>
        <v>OK</v>
      </c>
      <c r="X199" t="str">
        <f t="shared" si="55"/>
        <v>OK</v>
      </c>
      <c r="Y199" t="str">
        <f t="shared" si="56"/>
        <v>OK</v>
      </c>
      <c r="Z199">
        <v>194</v>
      </c>
      <c r="AA199">
        <v>196</v>
      </c>
      <c r="AB199" t="s">
        <v>2462</v>
      </c>
      <c r="AC199" t="s">
        <v>195</v>
      </c>
      <c r="AD199" t="s">
        <v>463</v>
      </c>
      <c r="AE199" t="s">
        <v>662</v>
      </c>
      <c r="AG199" t="s">
        <v>897</v>
      </c>
      <c r="AI199" t="s">
        <v>2481</v>
      </c>
      <c r="AJ199" t="s">
        <v>1395</v>
      </c>
      <c r="AK199" t="s">
        <v>2462</v>
      </c>
      <c r="AL199" t="s">
        <v>2463</v>
      </c>
      <c r="AN199" t="str">
        <f t="shared" ref="AN199:AN262" si="58">IF(B199=AC199,"OK","NOK")</f>
        <v>OK</v>
      </c>
      <c r="AO199" t="str">
        <f t="shared" ref="AO199:AO262" si="59">IF(C199=AD199,"OK","NOK")</f>
        <v>OK</v>
      </c>
      <c r="AP199" t="str">
        <f t="shared" ref="AP199:AP262" si="60">IF(D199=AE199,"OK","NOK")</f>
        <v>OK</v>
      </c>
      <c r="AR199" t="str">
        <f t="shared" ref="AR199:AR262" si="61">IF(E199=AG199,"OK","NOK")</f>
        <v>OK</v>
      </c>
      <c r="AS199" t="str">
        <f t="shared" ref="AS199:AS262" si="62">IF(F199=AH199,"OK","NOK")</f>
        <v>OK</v>
      </c>
      <c r="AT199" t="str">
        <f t="shared" ref="AT199:AT262" si="63">IF(G199=AI199,"OK","NOK")</f>
        <v>NOK</v>
      </c>
      <c r="AU199" t="str">
        <f t="shared" ref="AU199:AU262" si="64">IF(H199=AJ199,"OK","NOK")</f>
        <v>OK</v>
      </c>
      <c r="AV199" t="str">
        <f t="shared" ref="AV199:AV262" si="65">IF(I199=AK199,"OK","NOK")</f>
        <v>OK</v>
      </c>
      <c r="AW199" t="str">
        <f t="shared" ref="AW199:AW262" si="66">IF(J199=AL199,"OK","NOK")</f>
        <v>OK</v>
      </c>
    </row>
    <row r="200" spans="1:49">
      <c r="A200">
        <f>Dbase_velden_versie4_2!A196</f>
        <v>196</v>
      </c>
      <c r="B200" t="str">
        <f>Dbase_velden_versie4_2!B196</f>
        <v>SD_BJERRUM_CC_TRAP8_9</v>
      </c>
      <c r="C200" t="str">
        <f>Dbase_velden_versie4_2!C196</f>
        <v>-</v>
      </c>
      <c r="D200" t="str">
        <f>Dbase_velden_versie4_2!D196</f>
        <v>Samendrukkingsparameter volgens Bjerrum, Cc waarde conform NEN5118, trap 8-9</v>
      </c>
      <c r="E200" t="str">
        <f>Dbase_velden_versie4_2!E196</f>
        <v>Double</v>
      </c>
      <c r="F200">
        <f>Dbase_velden_versie4_2!F196</f>
        <v>0</v>
      </c>
      <c r="G200" t="str">
        <f>Dbase_velden_versie4_2!G196</f>
        <v>SD BJERRUM CC TRAP8 9</v>
      </c>
      <c r="H200" t="str">
        <f>Dbase_velden_versie4_2!H196</f>
        <v>[-]</v>
      </c>
      <c r="I200" t="str">
        <f>Dbase_velden_versie4_2!I196</f>
        <v>SD</v>
      </c>
      <c r="J200" t="str">
        <f>Dbase_velden_versie4_2!J196</f>
        <v>Samendrukkingsproef</v>
      </c>
      <c r="K200">
        <v>196</v>
      </c>
      <c r="L200" t="str">
        <v>SD_BJERRUM_CC_TRAP8_9</v>
      </c>
      <c r="M200" t="str">
        <v>-</v>
      </c>
      <c r="N200" t="str">
        <v>Samendrukkingsparameter volgens Bjerrum, Cc waarde conform NEN5118, trap 8-9</v>
      </c>
      <c r="O200" t="str">
        <v>Double</v>
      </c>
      <c r="P200">
        <v>0</v>
      </c>
      <c r="Q200" t="str">
        <v>SD BJERRUM CC TRAP8 9</v>
      </c>
      <c r="R200" t="str">
        <v>[-]</v>
      </c>
      <c r="S200" t="str">
        <f t="shared" si="57"/>
        <v>OK</v>
      </c>
      <c r="T200" t="str">
        <f t="shared" si="51"/>
        <v>OK</v>
      </c>
      <c r="U200" t="str">
        <f t="shared" si="52"/>
        <v>OK</v>
      </c>
      <c r="V200" t="str">
        <f t="shared" si="53"/>
        <v>OK</v>
      </c>
      <c r="W200" t="str">
        <f t="shared" si="54"/>
        <v>OK</v>
      </c>
      <c r="X200" t="str">
        <f t="shared" si="55"/>
        <v>OK</v>
      </c>
      <c r="Y200" t="str">
        <f t="shared" si="56"/>
        <v>OK</v>
      </c>
      <c r="Z200">
        <v>195</v>
      </c>
      <c r="AA200">
        <v>197</v>
      </c>
      <c r="AB200" t="s">
        <v>2462</v>
      </c>
      <c r="AC200" t="s">
        <v>196</v>
      </c>
      <c r="AD200" t="s">
        <v>463</v>
      </c>
      <c r="AE200" t="s">
        <v>663</v>
      </c>
      <c r="AG200" t="s">
        <v>897</v>
      </c>
      <c r="AI200" t="s">
        <v>2482</v>
      </c>
      <c r="AJ200" t="s">
        <v>1395</v>
      </c>
      <c r="AK200" t="s">
        <v>2462</v>
      </c>
      <c r="AL200" t="s">
        <v>2463</v>
      </c>
      <c r="AN200" t="str">
        <f t="shared" si="58"/>
        <v>OK</v>
      </c>
      <c r="AO200" t="str">
        <f t="shared" si="59"/>
        <v>OK</v>
      </c>
      <c r="AP200" t="str">
        <f t="shared" si="60"/>
        <v>OK</v>
      </c>
      <c r="AR200" t="str">
        <f t="shared" si="61"/>
        <v>OK</v>
      </c>
      <c r="AS200" t="str">
        <f t="shared" si="62"/>
        <v>OK</v>
      </c>
      <c r="AT200" t="str">
        <f t="shared" si="63"/>
        <v>NOK</v>
      </c>
      <c r="AU200" t="str">
        <f t="shared" si="64"/>
        <v>OK</v>
      </c>
      <c r="AV200" t="str">
        <f t="shared" si="65"/>
        <v>OK</v>
      </c>
      <c r="AW200" t="str">
        <f t="shared" si="66"/>
        <v>OK</v>
      </c>
    </row>
    <row r="201" spans="1:49">
      <c r="A201">
        <f>Dbase_velden_versie4_2!A197</f>
        <v>197</v>
      </c>
      <c r="B201" t="str">
        <f>Dbase_velden_versie4_2!B197</f>
        <v>SD_BJERRUM_CC_TRAP9_10</v>
      </c>
      <c r="C201" t="str">
        <f>Dbase_velden_versie4_2!C197</f>
        <v>-</v>
      </c>
      <c r="D201" t="str">
        <f>Dbase_velden_versie4_2!D197</f>
        <v>Samendrukkingsparameter volgens Bjerrum, Cc waarde conform NEN5118, trap 9-10</v>
      </c>
      <c r="E201" t="str">
        <f>Dbase_velden_versie4_2!E197</f>
        <v>Double</v>
      </c>
      <c r="F201">
        <f>Dbase_velden_versie4_2!F197</f>
        <v>0</v>
      </c>
      <c r="G201" t="str">
        <f>Dbase_velden_versie4_2!G197</f>
        <v>SD BJERRUM CC TRAP9 10</v>
      </c>
      <c r="H201" t="str">
        <f>Dbase_velden_versie4_2!H197</f>
        <v>[-]</v>
      </c>
      <c r="I201" t="str">
        <f>Dbase_velden_versie4_2!I197</f>
        <v>SD</v>
      </c>
      <c r="J201" t="str">
        <f>Dbase_velden_versie4_2!J197</f>
        <v>Samendrukkingsproef</v>
      </c>
      <c r="K201">
        <v>197</v>
      </c>
      <c r="L201" t="str">
        <v>SD_BJERRUM_CC_TRAP9_10</v>
      </c>
      <c r="M201" t="str">
        <v>-</v>
      </c>
      <c r="N201" t="str">
        <v>Samendrukkingsparameter volgens Bjerrum, Cc waarde conform NEN5118, trap 9-10</v>
      </c>
      <c r="O201" t="str">
        <v>Double</v>
      </c>
      <c r="P201">
        <v>0</v>
      </c>
      <c r="Q201" t="str">
        <v>SD BJERRUM CC TRAP9 10</v>
      </c>
      <c r="R201" t="str">
        <v>[-]</v>
      </c>
      <c r="S201" t="str">
        <f t="shared" si="57"/>
        <v>OK</v>
      </c>
      <c r="T201" t="str">
        <f t="shared" si="51"/>
        <v>OK</v>
      </c>
      <c r="U201" t="str">
        <f t="shared" si="52"/>
        <v>OK</v>
      </c>
      <c r="V201" t="str">
        <f t="shared" si="53"/>
        <v>OK</v>
      </c>
      <c r="W201" t="str">
        <f t="shared" si="54"/>
        <v>OK</v>
      </c>
      <c r="X201" t="str">
        <f t="shared" si="55"/>
        <v>OK</v>
      </c>
      <c r="Y201" t="str">
        <f t="shared" si="56"/>
        <v>OK</v>
      </c>
      <c r="Z201">
        <v>196</v>
      </c>
      <c r="AA201">
        <v>198</v>
      </c>
      <c r="AB201" t="s">
        <v>2462</v>
      </c>
      <c r="AC201" t="s">
        <v>197</v>
      </c>
      <c r="AD201" t="s">
        <v>463</v>
      </c>
      <c r="AE201" t="s">
        <v>664</v>
      </c>
      <c r="AG201" t="s">
        <v>897</v>
      </c>
      <c r="AI201" t="s">
        <v>2483</v>
      </c>
      <c r="AJ201" t="s">
        <v>1395</v>
      </c>
      <c r="AK201" t="s">
        <v>2462</v>
      </c>
      <c r="AL201" t="s">
        <v>2463</v>
      </c>
      <c r="AN201" t="str">
        <f t="shared" si="58"/>
        <v>OK</v>
      </c>
      <c r="AO201" t="str">
        <f t="shared" si="59"/>
        <v>OK</v>
      </c>
      <c r="AP201" t="str">
        <f t="shared" si="60"/>
        <v>OK</v>
      </c>
      <c r="AR201" t="str">
        <f t="shared" si="61"/>
        <v>OK</v>
      </c>
      <c r="AS201" t="str">
        <f t="shared" si="62"/>
        <v>OK</v>
      </c>
      <c r="AT201" t="str">
        <f t="shared" si="63"/>
        <v>NOK</v>
      </c>
      <c r="AU201" t="str">
        <f t="shared" si="64"/>
        <v>OK</v>
      </c>
      <c r="AV201" t="str">
        <f t="shared" si="65"/>
        <v>OK</v>
      </c>
      <c r="AW201" t="str">
        <f t="shared" si="66"/>
        <v>OK</v>
      </c>
    </row>
    <row r="202" spans="1:49">
      <c r="A202">
        <f>Dbase_velden_versie4_2!A198</f>
        <v>198</v>
      </c>
      <c r="B202" t="str">
        <f>Dbase_velden_versie4_2!B198</f>
        <v>SD_BJERRUM_CR</v>
      </c>
      <c r="C202" t="str">
        <f>Dbase_velden_versie4_2!C198</f>
        <v>-</v>
      </c>
      <c r="D202" t="str">
        <f>Dbase_velden_versie4_2!D198</f>
        <v>NEN Bjerrum Cr</v>
      </c>
      <c r="E202" t="str">
        <f>Dbase_velden_versie4_2!E198</f>
        <v>Double</v>
      </c>
      <c r="F202">
        <f>Dbase_velden_versie4_2!F198</f>
        <v>0</v>
      </c>
      <c r="G202" t="str">
        <f>Dbase_velden_versie4_2!G198</f>
        <v>SD BJERRUM CR</v>
      </c>
      <c r="H202" t="str">
        <f>Dbase_velden_versie4_2!H198</f>
        <v>[-]</v>
      </c>
      <c r="I202" t="str">
        <f>Dbase_velden_versie4_2!I198</f>
        <v>SD</v>
      </c>
      <c r="J202" t="str">
        <f>Dbase_velden_versie4_2!J198</f>
        <v>Samendrukkingsproef</v>
      </c>
      <c r="K202">
        <v>198</v>
      </c>
      <c r="L202" t="str">
        <v>SD_BJERRUM_CR</v>
      </c>
      <c r="M202" t="str">
        <v>-</v>
      </c>
      <c r="N202" t="str">
        <v>NEN Bjerrum Cr</v>
      </c>
      <c r="O202" t="str">
        <v>Double</v>
      </c>
      <c r="P202">
        <v>0</v>
      </c>
      <c r="Q202" t="str">
        <v>SD BJERRUM CR</v>
      </c>
      <c r="R202" t="str">
        <v>[-]</v>
      </c>
      <c r="S202" t="str">
        <f t="shared" si="57"/>
        <v>OK</v>
      </c>
      <c r="T202" t="str">
        <f t="shared" si="51"/>
        <v>OK</v>
      </c>
      <c r="U202" t="str">
        <f t="shared" si="52"/>
        <v>OK</v>
      </c>
      <c r="V202" t="str">
        <f t="shared" si="53"/>
        <v>OK</v>
      </c>
      <c r="W202" t="str">
        <f t="shared" si="54"/>
        <v>OK</v>
      </c>
      <c r="X202" t="str">
        <f t="shared" si="55"/>
        <v>OK</v>
      </c>
      <c r="Y202" t="str">
        <f t="shared" si="56"/>
        <v>OK</v>
      </c>
      <c r="Z202">
        <v>197</v>
      </c>
      <c r="AA202">
        <v>199</v>
      </c>
      <c r="AB202" t="s">
        <v>2462</v>
      </c>
      <c r="AC202" t="s">
        <v>198</v>
      </c>
      <c r="AD202" t="s">
        <v>463</v>
      </c>
      <c r="AE202" t="s">
        <v>665</v>
      </c>
      <c r="AG202" t="s">
        <v>897</v>
      </c>
      <c r="AI202" t="s">
        <v>2484</v>
      </c>
      <c r="AJ202" t="s">
        <v>1395</v>
      </c>
      <c r="AK202" t="s">
        <v>2462</v>
      </c>
      <c r="AL202" t="s">
        <v>2463</v>
      </c>
      <c r="AN202" t="str">
        <f t="shared" si="58"/>
        <v>OK</v>
      </c>
      <c r="AO202" t="str">
        <f t="shared" si="59"/>
        <v>OK</v>
      </c>
      <c r="AP202" t="str">
        <f t="shared" si="60"/>
        <v>OK</v>
      </c>
      <c r="AR202" t="str">
        <f t="shared" si="61"/>
        <v>OK</v>
      </c>
      <c r="AS202" t="str">
        <f t="shared" si="62"/>
        <v>OK</v>
      </c>
      <c r="AT202" t="str">
        <f t="shared" si="63"/>
        <v>NOK</v>
      </c>
      <c r="AU202" t="str">
        <f t="shared" si="64"/>
        <v>OK</v>
      </c>
      <c r="AV202" t="str">
        <f t="shared" si="65"/>
        <v>OK</v>
      </c>
      <c r="AW202" t="str">
        <f t="shared" si="66"/>
        <v>OK</v>
      </c>
    </row>
    <row r="203" spans="1:49">
      <c r="A203">
        <f>Dbase_velden_versie4_2!A199</f>
        <v>199</v>
      </c>
      <c r="B203" t="str">
        <f>Dbase_velden_versie4_2!B199</f>
        <v>SD_BJERRUM_CR_TRAP1_2</v>
      </c>
      <c r="C203" t="str">
        <f>Dbase_velden_versie4_2!C199</f>
        <v>-</v>
      </c>
      <c r="D203" t="str">
        <f>Dbase_velden_versie4_2!D199</f>
        <v>Samendrukkingsparameter volgens Bjerrum, CR waarde conform NEN5118, trap 1-2</v>
      </c>
      <c r="E203" t="str">
        <f>Dbase_velden_versie4_2!E199</f>
        <v>Double</v>
      </c>
      <c r="F203">
        <f>Dbase_velden_versie4_2!F199</f>
        <v>0</v>
      </c>
      <c r="G203" t="str">
        <f>Dbase_velden_versie4_2!G199</f>
        <v>SD BJERRUM CR TRAP1 2</v>
      </c>
      <c r="H203" t="str">
        <f>Dbase_velden_versie4_2!H199</f>
        <v>[-]</v>
      </c>
      <c r="I203" t="str">
        <f>Dbase_velden_versie4_2!I199</f>
        <v>SD</v>
      </c>
      <c r="J203" t="str">
        <f>Dbase_velden_versie4_2!J199</f>
        <v>Samendrukkingsproef</v>
      </c>
      <c r="K203">
        <v>199</v>
      </c>
      <c r="L203" t="str">
        <v>SD_BJERRUM_CR_TRAP1_2</v>
      </c>
      <c r="M203" t="str">
        <v>-</v>
      </c>
      <c r="N203" t="str">
        <v>Samendrukkingsparameter volgens Bjerrum, CR waarde conform NEN5118, trap 1-2</v>
      </c>
      <c r="O203" t="str">
        <v>Double</v>
      </c>
      <c r="P203">
        <v>0</v>
      </c>
      <c r="Q203" t="str">
        <v>SD BJERRUM CR TRAP1 2</v>
      </c>
      <c r="R203" t="str">
        <v>[-]</v>
      </c>
      <c r="S203" t="str">
        <f t="shared" si="57"/>
        <v>OK</v>
      </c>
      <c r="T203" t="str">
        <f t="shared" si="51"/>
        <v>OK</v>
      </c>
      <c r="U203" t="str">
        <f t="shared" si="52"/>
        <v>OK</v>
      </c>
      <c r="V203" t="str">
        <f t="shared" si="53"/>
        <v>OK</v>
      </c>
      <c r="W203" t="str">
        <f t="shared" si="54"/>
        <v>OK</v>
      </c>
      <c r="X203" t="str">
        <f t="shared" si="55"/>
        <v>OK</v>
      </c>
      <c r="Y203" t="str">
        <f t="shared" si="56"/>
        <v>OK</v>
      </c>
      <c r="Z203">
        <v>198</v>
      </c>
      <c r="AA203">
        <v>200</v>
      </c>
      <c r="AB203" t="s">
        <v>2462</v>
      </c>
      <c r="AC203" t="s">
        <v>199</v>
      </c>
      <c r="AD203" t="s">
        <v>463</v>
      </c>
      <c r="AE203" t="s">
        <v>666</v>
      </c>
      <c r="AG203" t="s">
        <v>897</v>
      </c>
      <c r="AI203" t="s">
        <v>2485</v>
      </c>
      <c r="AJ203" t="s">
        <v>1395</v>
      </c>
      <c r="AK203" t="s">
        <v>2462</v>
      </c>
      <c r="AL203" t="s">
        <v>2463</v>
      </c>
      <c r="AN203" t="str">
        <f t="shared" si="58"/>
        <v>OK</v>
      </c>
      <c r="AO203" t="str">
        <f t="shared" si="59"/>
        <v>OK</v>
      </c>
      <c r="AP203" t="str">
        <f t="shared" si="60"/>
        <v>OK</v>
      </c>
      <c r="AR203" t="str">
        <f t="shared" si="61"/>
        <v>OK</v>
      </c>
      <c r="AS203" t="str">
        <f t="shared" si="62"/>
        <v>OK</v>
      </c>
      <c r="AT203" t="str">
        <f t="shared" si="63"/>
        <v>NOK</v>
      </c>
      <c r="AU203" t="str">
        <f t="shared" si="64"/>
        <v>OK</v>
      </c>
      <c r="AV203" t="str">
        <f t="shared" si="65"/>
        <v>OK</v>
      </c>
      <c r="AW203" t="str">
        <f t="shared" si="66"/>
        <v>OK</v>
      </c>
    </row>
    <row r="204" spans="1:49">
      <c r="A204">
        <f>Dbase_velden_versie4_2!A200</f>
        <v>200</v>
      </c>
      <c r="B204" t="str">
        <f>Dbase_velden_versie4_2!B200</f>
        <v>SD_BJERRUM_CR_TRAP2_3</v>
      </c>
      <c r="C204" t="str">
        <f>Dbase_velden_versie4_2!C200</f>
        <v>-</v>
      </c>
      <c r="D204" t="str">
        <f>Dbase_velden_versie4_2!D200</f>
        <v>Samendrukkingsparameter volgens Bjerrum, CR waarde conform NEN5118, trap 2-3</v>
      </c>
      <c r="E204" t="str">
        <f>Dbase_velden_versie4_2!E200</f>
        <v>Double</v>
      </c>
      <c r="F204">
        <f>Dbase_velden_versie4_2!F200</f>
        <v>0</v>
      </c>
      <c r="G204" t="str">
        <f>Dbase_velden_versie4_2!G200</f>
        <v>SD BJERRUM CR TRAP2 3</v>
      </c>
      <c r="H204" t="str">
        <f>Dbase_velden_versie4_2!H200</f>
        <v>[-]</v>
      </c>
      <c r="I204" t="str">
        <f>Dbase_velden_versie4_2!I200</f>
        <v>SD</v>
      </c>
      <c r="J204" t="str">
        <f>Dbase_velden_versie4_2!J200</f>
        <v>Samendrukkingsproef</v>
      </c>
      <c r="K204">
        <v>200</v>
      </c>
      <c r="L204" t="str">
        <v>SD_BJERRUM_CR_TRAP2_3</v>
      </c>
      <c r="M204" t="str">
        <v>-</v>
      </c>
      <c r="N204" t="str">
        <v>Samendrukkingsparameter volgens Bjerrum, CR waarde conform NEN5118, trap 2-3</v>
      </c>
      <c r="O204" t="str">
        <v>Double</v>
      </c>
      <c r="P204">
        <v>0</v>
      </c>
      <c r="Q204" t="str">
        <v>SD BJERRUM CR TRAP2 3</v>
      </c>
      <c r="R204" t="str">
        <v>[-]</v>
      </c>
      <c r="S204" t="str">
        <f t="shared" si="57"/>
        <v>OK</v>
      </c>
      <c r="T204" t="str">
        <f t="shared" si="51"/>
        <v>OK</v>
      </c>
      <c r="U204" t="str">
        <f t="shared" si="52"/>
        <v>OK</v>
      </c>
      <c r="V204" t="str">
        <f t="shared" si="53"/>
        <v>OK</v>
      </c>
      <c r="W204" t="str">
        <f t="shared" si="54"/>
        <v>OK</v>
      </c>
      <c r="X204" t="str">
        <f t="shared" si="55"/>
        <v>OK</v>
      </c>
      <c r="Y204" t="str">
        <f t="shared" si="56"/>
        <v>OK</v>
      </c>
      <c r="Z204">
        <v>199</v>
      </c>
      <c r="AA204">
        <v>201</v>
      </c>
      <c r="AB204" t="s">
        <v>2462</v>
      </c>
      <c r="AC204" t="s">
        <v>200</v>
      </c>
      <c r="AD204" t="s">
        <v>463</v>
      </c>
      <c r="AE204" t="s">
        <v>667</v>
      </c>
      <c r="AG204" t="s">
        <v>897</v>
      </c>
      <c r="AI204" t="s">
        <v>2486</v>
      </c>
      <c r="AJ204" t="s">
        <v>1395</v>
      </c>
      <c r="AK204" t="s">
        <v>2462</v>
      </c>
      <c r="AL204" t="s">
        <v>2463</v>
      </c>
      <c r="AN204" t="str">
        <f t="shared" si="58"/>
        <v>OK</v>
      </c>
      <c r="AO204" t="str">
        <f t="shared" si="59"/>
        <v>OK</v>
      </c>
      <c r="AP204" t="str">
        <f t="shared" si="60"/>
        <v>OK</v>
      </c>
      <c r="AR204" t="str">
        <f t="shared" si="61"/>
        <v>OK</v>
      </c>
      <c r="AS204" t="str">
        <f t="shared" si="62"/>
        <v>OK</v>
      </c>
      <c r="AT204" t="str">
        <f t="shared" si="63"/>
        <v>NOK</v>
      </c>
      <c r="AU204" t="str">
        <f t="shared" si="64"/>
        <v>OK</v>
      </c>
      <c r="AV204" t="str">
        <f t="shared" si="65"/>
        <v>OK</v>
      </c>
      <c r="AW204" t="str">
        <f t="shared" si="66"/>
        <v>OK</v>
      </c>
    </row>
    <row r="205" spans="1:49">
      <c r="A205">
        <f>Dbase_velden_versie4_2!A201</f>
        <v>201</v>
      </c>
      <c r="B205" t="str">
        <f>Dbase_velden_versie4_2!B201</f>
        <v>SD_BJERRUM_CR_TRAP3_4</v>
      </c>
      <c r="C205" t="str">
        <f>Dbase_velden_versie4_2!C201</f>
        <v>-</v>
      </c>
      <c r="D205" t="str">
        <f>Dbase_velden_versie4_2!D201</f>
        <v>Samendrukkingsparameter volgens Bjerrum, CR waarde conform NEN5118, trap 3-4</v>
      </c>
      <c r="E205" t="str">
        <f>Dbase_velden_versie4_2!E201</f>
        <v>Double</v>
      </c>
      <c r="F205">
        <f>Dbase_velden_versie4_2!F201</f>
        <v>0</v>
      </c>
      <c r="G205" t="str">
        <f>Dbase_velden_versie4_2!G201</f>
        <v>SD BJERRUM CR TRAP3 4</v>
      </c>
      <c r="H205" t="str">
        <f>Dbase_velden_versie4_2!H201</f>
        <v>[-]</v>
      </c>
      <c r="I205" t="str">
        <f>Dbase_velden_versie4_2!I201</f>
        <v>SD</v>
      </c>
      <c r="J205" t="str">
        <f>Dbase_velden_versie4_2!J201</f>
        <v>Samendrukkingsproef</v>
      </c>
      <c r="K205">
        <v>201</v>
      </c>
      <c r="L205" t="str">
        <v>SD_BJERRUM_CR_TRAP3_4</v>
      </c>
      <c r="M205" t="str">
        <v>-</v>
      </c>
      <c r="N205" t="str">
        <v>Samendrukkingsparameter volgens Bjerrum, CR waarde conform NEN5118, trap 3-4</v>
      </c>
      <c r="O205" t="str">
        <v>Double</v>
      </c>
      <c r="P205">
        <v>0</v>
      </c>
      <c r="Q205" t="str">
        <v>SD BJERRUM CR TRAP3 4</v>
      </c>
      <c r="R205" t="str">
        <v>[-]</v>
      </c>
      <c r="S205" t="str">
        <f t="shared" si="57"/>
        <v>OK</v>
      </c>
      <c r="T205" t="str">
        <f t="shared" si="51"/>
        <v>OK</v>
      </c>
      <c r="U205" t="str">
        <f t="shared" si="52"/>
        <v>OK</v>
      </c>
      <c r="V205" t="str">
        <f t="shared" si="53"/>
        <v>OK</v>
      </c>
      <c r="W205" t="str">
        <f t="shared" si="54"/>
        <v>OK</v>
      </c>
      <c r="X205" t="str">
        <f t="shared" si="55"/>
        <v>OK</v>
      </c>
      <c r="Y205" t="str">
        <f t="shared" si="56"/>
        <v>OK</v>
      </c>
      <c r="Z205">
        <v>200</v>
      </c>
      <c r="AA205">
        <v>202</v>
      </c>
      <c r="AB205" t="s">
        <v>2462</v>
      </c>
      <c r="AC205" t="s">
        <v>201</v>
      </c>
      <c r="AD205" t="s">
        <v>463</v>
      </c>
      <c r="AE205" t="s">
        <v>668</v>
      </c>
      <c r="AG205" t="s">
        <v>897</v>
      </c>
      <c r="AI205" t="s">
        <v>2487</v>
      </c>
      <c r="AJ205" t="s">
        <v>1395</v>
      </c>
      <c r="AK205" t="s">
        <v>2462</v>
      </c>
      <c r="AL205" t="s">
        <v>2463</v>
      </c>
      <c r="AN205" t="str">
        <f t="shared" si="58"/>
        <v>OK</v>
      </c>
      <c r="AO205" t="str">
        <f t="shared" si="59"/>
        <v>OK</v>
      </c>
      <c r="AP205" t="str">
        <f t="shared" si="60"/>
        <v>OK</v>
      </c>
      <c r="AR205" t="str">
        <f t="shared" si="61"/>
        <v>OK</v>
      </c>
      <c r="AS205" t="str">
        <f t="shared" si="62"/>
        <v>OK</v>
      </c>
      <c r="AT205" t="str">
        <f t="shared" si="63"/>
        <v>NOK</v>
      </c>
      <c r="AU205" t="str">
        <f t="shared" si="64"/>
        <v>OK</v>
      </c>
      <c r="AV205" t="str">
        <f t="shared" si="65"/>
        <v>OK</v>
      </c>
      <c r="AW205" t="str">
        <f t="shared" si="66"/>
        <v>OK</v>
      </c>
    </row>
    <row r="206" spans="1:49">
      <c r="A206">
        <f>Dbase_velden_versie4_2!A202</f>
        <v>202</v>
      </c>
      <c r="B206" t="str">
        <f>Dbase_velden_versie4_2!B202</f>
        <v>SD_BJERRUM_CR_TRAP4_5</v>
      </c>
      <c r="C206" t="str">
        <f>Dbase_velden_versie4_2!C202</f>
        <v>-</v>
      </c>
      <c r="D206" t="str">
        <f>Dbase_velden_versie4_2!D202</f>
        <v>Samendrukkingsparameter volgens Bjerrum, CR waarde conform NEN5118, trap 4-5</v>
      </c>
      <c r="E206" t="str">
        <f>Dbase_velden_versie4_2!E202</f>
        <v>Double</v>
      </c>
      <c r="F206">
        <f>Dbase_velden_versie4_2!F202</f>
        <v>0</v>
      </c>
      <c r="G206" t="str">
        <f>Dbase_velden_versie4_2!G202</f>
        <v>SD BJERRUM CR TRAP4 5</v>
      </c>
      <c r="H206" t="str">
        <f>Dbase_velden_versie4_2!H202</f>
        <v>[-]</v>
      </c>
      <c r="I206" t="str">
        <f>Dbase_velden_versie4_2!I202</f>
        <v>SD</v>
      </c>
      <c r="J206" t="str">
        <f>Dbase_velden_versie4_2!J202</f>
        <v>Samendrukkingsproef</v>
      </c>
      <c r="K206">
        <v>202</v>
      </c>
      <c r="L206" t="str">
        <v>SD_BJERRUM_CR_TRAP4_5</v>
      </c>
      <c r="M206" t="str">
        <v>-</v>
      </c>
      <c r="N206" t="str">
        <v>Samendrukkingsparameter volgens Bjerrum, CR waarde conform NEN5118, trap 4-5</v>
      </c>
      <c r="O206" t="str">
        <v>Double</v>
      </c>
      <c r="P206">
        <v>0</v>
      </c>
      <c r="Q206" t="str">
        <v>SD BJERRUM CR TRAP4 5</v>
      </c>
      <c r="R206" t="str">
        <v>[-]</v>
      </c>
      <c r="S206" t="str">
        <f t="shared" si="57"/>
        <v>OK</v>
      </c>
      <c r="T206" t="str">
        <f t="shared" si="51"/>
        <v>OK</v>
      </c>
      <c r="U206" t="str">
        <f t="shared" si="52"/>
        <v>OK</v>
      </c>
      <c r="V206" t="str">
        <f t="shared" si="53"/>
        <v>OK</v>
      </c>
      <c r="W206" t="str">
        <f t="shared" si="54"/>
        <v>OK</v>
      </c>
      <c r="X206" t="str">
        <f t="shared" si="55"/>
        <v>OK</v>
      </c>
      <c r="Y206" t="str">
        <f t="shared" si="56"/>
        <v>OK</v>
      </c>
      <c r="Z206">
        <v>201</v>
      </c>
      <c r="AA206">
        <v>203</v>
      </c>
      <c r="AB206" t="s">
        <v>2462</v>
      </c>
      <c r="AC206" t="s">
        <v>202</v>
      </c>
      <c r="AD206" t="s">
        <v>463</v>
      </c>
      <c r="AE206" t="s">
        <v>669</v>
      </c>
      <c r="AG206" t="s">
        <v>897</v>
      </c>
      <c r="AI206" t="s">
        <v>2488</v>
      </c>
      <c r="AJ206" t="s">
        <v>1395</v>
      </c>
      <c r="AK206" t="s">
        <v>2462</v>
      </c>
      <c r="AL206" t="s">
        <v>2463</v>
      </c>
      <c r="AN206" t="str">
        <f t="shared" si="58"/>
        <v>OK</v>
      </c>
      <c r="AO206" t="str">
        <f t="shared" si="59"/>
        <v>OK</v>
      </c>
      <c r="AP206" t="str">
        <f t="shared" si="60"/>
        <v>OK</v>
      </c>
      <c r="AR206" t="str">
        <f t="shared" si="61"/>
        <v>OK</v>
      </c>
      <c r="AS206" t="str">
        <f t="shared" si="62"/>
        <v>OK</v>
      </c>
      <c r="AT206" t="str">
        <f t="shared" si="63"/>
        <v>NOK</v>
      </c>
      <c r="AU206" t="str">
        <f t="shared" si="64"/>
        <v>OK</v>
      </c>
      <c r="AV206" t="str">
        <f t="shared" si="65"/>
        <v>OK</v>
      </c>
      <c r="AW206" t="str">
        <f t="shared" si="66"/>
        <v>OK</v>
      </c>
    </row>
    <row r="207" spans="1:49">
      <c r="A207">
        <f>Dbase_velden_versie4_2!A203</f>
        <v>203</v>
      </c>
      <c r="B207" t="str">
        <f>Dbase_velden_versie4_2!B203</f>
        <v>SD_BJERRUM_CR_TRAP5_6</v>
      </c>
      <c r="C207" t="str">
        <f>Dbase_velden_versie4_2!C203</f>
        <v>-</v>
      </c>
      <c r="D207" t="str">
        <f>Dbase_velden_versie4_2!D203</f>
        <v>Samendrukkingsparameter volgens Bjerrum, CR waarde conform NEN5118, trap 5-6</v>
      </c>
      <c r="E207" t="str">
        <f>Dbase_velden_versie4_2!E203</f>
        <v>Double</v>
      </c>
      <c r="F207">
        <f>Dbase_velden_versie4_2!F203</f>
        <v>0</v>
      </c>
      <c r="G207" t="str">
        <f>Dbase_velden_versie4_2!G203</f>
        <v>SD BJERRUM CR TRAP5 6</v>
      </c>
      <c r="H207" t="str">
        <f>Dbase_velden_versie4_2!H203</f>
        <v>[-]</v>
      </c>
      <c r="I207" t="str">
        <f>Dbase_velden_versie4_2!I203</f>
        <v>SD</v>
      </c>
      <c r="J207" t="str">
        <f>Dbase_velden_versie4_2!J203</f>
        <v>Samendrukkingsproef</v>
      </c>
      <c r="K207">
        <v>203</v>
      </c>
      <c r="L207" t="str">
        <v>SD_BJERRUM_CR_TRAP5_6</v>
      </c>
      <c r="M207" t="str">
        <v>-</v>
      </c>
      <c r="N207" t="str">
        <v>Samendrukkingsparameter volgens Bjerrum, CR waarde conform NEN5118, trap 5-6</v>
      </c>
      <c r="O207" t="str">
        <v>Double</v>
      </c>
      <c r="P207">
        <v>0</v>
      </c>
      <c r="Q207" t="str">
        <v>SD BJERRUM CR TRAP5 6</v>
      </c>
      <c r="R207" t="str">
        <v>[-]</v>
      </c>
      <c r="S207" t="str">
        <f t="shared" si="57"/>
        <v>OK</v>
      </c>
      <c r="T207" t="str">
        <f t="shared" si="51"/>
        <v>OK</v>
      </c>
      <c r="U207" t="str">
        <f t="shared" si="52"/>
        <v>OK</v>
      </c>
      <c r="V207" t="str">
        <f t="shared" si="53"/>
        <v>OK</v>
      </c>
      <c r="W207" t="str">
        <f t="shared" si="54"/>
        <v>OK</v>
      </c>
      <c r="X207" t="str">
        <f t="shared" si="55"/>
        <v>OK</v>
      </c>
      <c r="Y207" t="str">
        <f t="shared" si="56"/>
        <v>OK</v>
      </c>
      <c r="Z207">
        <v>202</v>
      </c>
      <c r="AA207">
        <v>204</v>
      </c>
      <c r="AB207" t="s">
        <v>2462</v>
      </c>
      <c r="AC207" t="s">
        <v>203</v>
      </c>
      <c r="AD207" t="s">
        <v>463</v>
      </c>
      <c r="AE207" t="s">
        <v>670</v>
      </c>
      <c r="AG207" t="s">
        <v>897</v>
      </c>
      <c r="AI207" t="s">
        <v>2489</v>
      </c>
      <c r="AJ207" t="s">
        <v>1395</v>
      </c>
      <c r="AK207" t="s">
        <v>2462</v>
      </c>
      <c r="AL207" t="s">
        <v>2463</v>
      </c>
      <c r="AN207" t="str">
        <f t="shared" si="58"/>
        <v>OK</v>
      </c>
      <c r="AO207" t="str">
        <f t="shared" si="59"/>
        <v>OK</v>
      </c>
      <c r="AP207" t="str">
        <f t="shared" si="60"/>
        <v>OK</v>
      </c>
      <c r="AR207" t="str">
        <f t="shared" si="61"/>
        <v>OK</v>
      </c>
      <c r="AS207" t="str">
        <f t="shared" si="62"/>
        <v>OK</v>
      </c>
      <c r="AT207" t="str">
        <f t="shared" si="63"/>
        <v>NOK</v>
      </c>
      <c r="AU207" t="str">
        <f t="shared" si="64"/>
        <v>OK</v>
      </c>
      <c r="AV207" t="str">
        <f t="shared" si="65"/>
        <v>OK</v>
      </c>
      <c r="AW207" t="str">
        <f t="shared" si="66"/>
        <v>OK</v>
      </c>
    </row>
    <row r="208" spans="1:49">
      <c r="A208">
        <f>Dbase_velden_versie4_2!A204</f>
        <v>204</v>
      </c>
      <c r="B208" t="str">
        <f>Dbase_velden_versie4_2!B204</f>
        <v>SD_BJERRUM_CR_TRAP6_7</v>
      </c>
      <c r="C208" t="str">
        <f>Dbase_velden_versie4_2!C204</f>
        <v>-</v>
      </c>
      <c r="D208" t="str">
        <f>Dbase_velden_versie4_2!D204</f>
        <v>Samendrukkingsparameter volgens Bjerrum, CR waarde conform NEN5118, trap 6-7</v>
      </c>
      <c r="E208" t="str">
        <f>Dbase_velden_versie4_2!E204</f>
        <v>Double</v>
      </c>
      <c r="F208">
        <f>Dbase_velden_versie4_2!F204</f>
        <v>0</v>
      </c>
      <c r="G208" t="str">
        <f>Dbase_velden_versie4_2!G204</f>
        <v>SD BJERRUM CR TRAP6 7</v>
      </c>
      <c r="H208" t="str">
        <f>Dbase_velden_versie4_2!H204</f>
        <v>[-]</v>
      </c>
      <c r="I208" t="str">
        <f>Dbase_velden_versie4_2!I204</f>
        <v>SD</v>
      </c>
      <c r="J208" t="str">
        <f>Dbase_velden_versie4_2!J204</f>
        <v>Samendrukkingsproef</v>
      </c>
      <c r="K208">
        <v>204</v>
      </c>
      <c r="L208" t="str">
        <v>SD_BJERRUM_CR_TRAP6_7</v>
      </c>
      <c r="M208" t="str">
        <v>-</v>
      </c>
      <c r="N208" t="str">
        <v>Samendrukkingsparameter volgens Bjerrum, CR waarde conform NEN5118, trap 6-7</v>
      </c>
      <c r="O208" t="str">
        <v>Double</v>
      </c>
      <c r="P208">
        <v>0</v>
      </c>
      <c r="Q208" t="str">
        <v>SD BJERRUM CR TRAP6 7</v>
      </c>
      <c r="R208" t="str">
        <v>[-]</v>
      </c>
      <c r="S208" t="str">
        <f t="shared" si="57"/>
        <v>OK</v>
      </c>
      <c r="T208" t="str">
        <f t="shared" si="51"/>
        <v>OK</v>
      </c>
      <c r="U208" t="str">
        <f t="shared" si="52"/>
        <v>OK</v>
      </c>
      <c r="V208" t="str">
        <f t="shared" si="53"/>
        <v>OK</v>
      </c>
      <c r="W208" t="str">
        <f t="shared" si="54"/>
        <v>OK</v>
      </c>
      <c r="X208" t="str">
        <f t="shared" si="55"/>
        <v>OK</v>
      </c>
      <c r="Y208" t="str">
        <f t="shared" si="56"/>
        <v>OK</v>
      </c>
      <c r="Z208">
        <v>203</v>
      </c>
      <c r="AA208">
        <v>205</v>
      </c>
      <c r="AB208" t="s">
        <v>2462</v>
      </c>
      <c r="AC208" t="s">
        <v>204</v>
      </c>
      <c r="AD208" t="s">
        <v>463</v>
      </c>
      <c r="AE208" t="s">
        <v>671</v>
      </c>
      <c r="AG208" t="s">
        <v>897</v>
      </c>
      <c r="AI208" t="s">
        <v>2490</v>
      </c>
      <c r="AJ208" t="s">
        <v>1395</v>
      </c>
      <c r="AK208" t="s">
        <v>2462</v>
      </c>
      <c r="AL208" t="s">
        <v>2463</v>
      </c>
      <c r="AN208" t="str">
        <f t="shared" si="58"/>
        <v>OK</v>
      </c>
      <c r="AO208" t="str">
        <f t="shared" si="59"/>
        <v>OK</v>
      </c>
      <c r="AP208" t="str">
        <f t="shared" si="60"/>
        <v>OK</v>
      </c>
      <c r="AR208" t="str">
        <f t="shared" si="61"/>
        <v>OK</v>
      </c>
      <c r="AS208" t="str">
        <f t="shared" si="62"/>
        <v>OK</v>
      </c>
      <c r="AT208" t="str">
        <f t="shared" si="63"/>
        <v>NOK</v>
      </c>
      <c r="AU208" t="str">
        <f t="shared" si="64"/>
        <v>OK</v>
      </c>
      <c r="AV208" t="str">
        <f t="shared" si="65"/>
        <v>OK</v>
      </c>
      <c r="AW208" t="str">
        <f t="shared" si="66"/>
        <v>OK</v>
      </c>
    </row>
    <row r="209" spans="1:49">
      <c r="A209">
        <f>Dbase_velden_versie4_2!A205</f>
        <v>205</v>
      </c>
      <c r="B209" t="str">
        <f>Dbase_velden_versie4_2!B205</f>
        <v>SD_BJERRUM_CR_TRAP7_8</v>
      </c>
      <c r="C209" t="str">
        <f>Dbase_velden_versie4_2!C205</f>
        <v>-</v>
      </c>
      <c r="D209" t="str">
        <f>Dbase_velden_versie4_2!D205</f>
        <v>Samendrukkingsparameter volgens Bjerrum, CR waarde conform NEN5118, trap 7-8</v>
      </c>
      <c r="E209" t="str">
        <f>Dbase_velden_versie4_2!E205</f>
        <v>Double</v>
      </c>
      <c r="F209">
        <f>Dbase_velden_versie4_2!F205</f>
        <v>0</v>
      </c>
      <c r="G209" t="str">
        <f>Dbase_velden_versie4_2!G205</f>
        <v>SD BJERRUM CR TRAP7 8</v>
      </c>
      <c r="H209" t="str">
        <f>Dbase_velden_versie4_2!H205</f>
        <v>[-]</v>
      </c>
      <c r="I209" t="str">
        <f>Dbase_velden_versie4_2!I205</f>
        <v>SD</v>
      </c>
      <c r="J209" t="str">
        <f>Dbase_velden_versie4_2!J205</f>
        <v>Samendrukkingsproef</v>
      </c>
      <c r="K209">
        <v>205</v>
      </c>
      <c r="L209" t="str">
        <v>SD_BJERRUM_CR_TRAP7_8</v>
      </c>
      <c r="M209" t="str">
        <v>-</v>
      </c>
      <c r="N209" t="str">
        <v>Samendrukkingsparameter volgens Bjerrum, CR waarde conform NEN5118, trap 7-8</v>
      </c>
      <c r="O209" t="str">
        <v>Double</v>
      </c>
      <c r="P209">
        <v>0</v>
      </c>
      <c r="Q209" t="str">
        <v>SD BJERRUM CR TRAP7 8</v>
      </c>
      <c r="R209" t="str">
        <v>[-]</v>
      </c>
      <c r="S209" t="str">
        <f t="shared" si="57"/>
        <v>OK</v>
      </c>
      <c r="T209" t="str">
        <f t="shared" si="51"/>
        <v>OK</v>
      </c>
      <c r="U209" t="str">
        <f t="shared" si="52"/>
        <v>OK</v>
      </c>
      <c r="V209" t="str">
        <f t="shared" si="53"/>
        <v>OK</v>
      </c>
      <c r="W209" t="str">
        <f t="shared" si="54"/>
        <v>OK</v>
      </c>
      <c r="X209" t="str">
        <f t="shared" si="55"/>
        <v>OK</v>
      </c>
      <c r="Y209" t="str">
        <f t="shared" si="56"/>
        <v>OK</v>
      </c>
      <c r="Z209">
        <v>204</v>
      </c>
      <c r="AA209">
        <v>206</v>
      </c>
      <c r="AB209" t="s">
        <v>2462</v>
      </c>
      <c r="AC209" t="s">
        <v>205</v>
      </c>
      <c r="AD209" t="s">
        <v>463</v>
      </c>
      <c r="AE209" t="s">
        <v>672</v>
      </c>
      <c r="AG209" t="s">
        <v>897</v>
      </c>
      <c r="AI209" t="s">
        <v>2491</v>
      </c>
      <c r="AJ209" t="s">
        <v>1395</v>
      </c>
      <c r="AK209" t="s">
        <v>2462</v>
      </c>
      <c r="AL209" t="s">
        <v>2463</v>
      </c>
      <c r="AN209" t="str">
        <f t="shared" si="58"/>
        <v>OK</v>
      </c>
      <c r="AO209" t="str">
        <f t="shared" si="59"/>
        <v>OK</v>
      </c>
      <c r="AP209" t="str">
        <f t="shared" si="60"/>
        <v>OK</v>
      </c>
      <c r="AR209" t="str">
        <f t="shared" si="61"/>
        <v>OK</v>
      </c>
      <c r="AS209" t="str">
        <f t="shared" si="62"/>
        <v>OK</v>
      </c>
      <c r="AT209" t="str">
        <f t="shared" si="63"/>
        <v>NOK</v>
      </c>
      <c r="AU209" t="str">
        <f t="shared" si="64"/>
        <v>OK</v>
      </c>
      <c r="AV209" t="str">
        <f t="shared" si="65"/>
        <v>OK</v>
      </c>
      <c r="AW209" t="str">
        <f t="shared" si="66"/>
        <v>OK</v>
      </c>
    </row>
    <row r="210" spans="1:49">
      <c r="A210">
        <f>Dbase_velden_versie4_2!A206</f>
        <v>206</v>
      </c>
      <c r="B210" t="str">
        <f>Dbase_velden_versie4_2!B206</f>
        <v>SD_BJERRUM_SR_TRAP8_9</v>
      </c>
      <c r="C210" t="str">
        <f>Dbase_velden_versie4_2!C206</f>
        <v>-</v>
      </c>
      <c r="D210" t="str">
        <f>Dbase_velden_versie4_2!D206</f>
        <v>Samendrukkingsparameter volgens Bjerrum, CR waarde conform NEN5118, trap 8-9</v>
      </c>
      <c r="E210" t="str">
        <f>Dbase_velden_versie4_2!E206</f>
        <v>Double</v>
      </c>
      <c r="F210">
        <f>Dbase_velden_versie4_2!F206</f>
        <v>0</v>
      </c>
      <c r="G210" t="str">
        <f>Dbase_velden_versie4_2!G206</f>
        <v>SD BJERRUM SR TRAP8 9</v>
      </c>
      <c r="H210" t="str">
        <f>Dbase_velden_versie4_2!H206</f>
        <v>[-]</v>
      </c>
      <c r="I210" t="str">
        <f>Dbase_velden_versie4_2!I206</f>
        <v>SD</v>
      </c>
      <c r="J210" t="str">
        <f>Dbase_velden_versie4_2!J206</f>
        <v>Samendrukkingsproef</v>
      </c>
      <c r="K210">
        <v>206</v>
      </c>
      <c r="L210" t="str">
        <v>SD_BJERRUM_SR_TRAP8_9</v>
      </c>
      <c r="M210" t="str">
        <v>-</v>
      </c>
      <c r="N210" t="str">
        <v>Samendrukkingsparameter volgens Bjerrum, CR waarde conform NEN5118, trap 8-9</v>
      </c>
      <c r="O210" t="str">
        <v>Double</v>
      </c>
      <c r="P210">
        <v>0</v>
      </c>
      <c r="Q210" t="str">
        <v>SD BJERRUM SR TRAP8 9</v>
      </c>
      <c r="R210" t="str">
        <v>[-]</v>
      </c>
      <c r="S210" t="str">
        <f t="shared" si="57"/>
        <v>OK</v>
      </c>
      <c r="T210" t="str">
        <f t="shared" si="51"/>
        <v>OK</v>
      </c>
      <c r="U210" t="str">
        <f t="shared" si="52"/>
        <v>OK</v>
      </c>
      <c r="V210" t="str">
        <f t="shared" si="53"/>
        <v>OK</v>
      </c>
      <c r="W210" t="str">
        <f t="shared" si="54"/>
        <v>OK</v>
      </c>
      <c r="X210" t="str">
        <f t="shared" si="55"/>
        <v>OK</v>
      </c>
      <c r="Y210" t="str">
        <f t="shared" si="56"/>
        <v>OK</v>
      </c>
      <c r="Z210">
        <v>205</v>
      </c>
      <c r="AA210">
        <v>207</v>
      </c>
      <c r="AB210" t="s">
        <v>2462</v>
      </c>
      <c r="AC210" t="s">
        <v>206</v>
      </c>
      <c r="AD210" t="s">
        <v>463</v>
      </c>
      <c r="AE210" t="s">
        <v>673</v>
      </c>
      <c r="AG210" t="s">
        <v>897</v>
      </c>
      <c r="AI210" t="s">
        <v>2492</v>
      </c>
      <c r="AJ210" t="s">
        <v>1395</v>
      </c>
      <c r="AK210" t="s">
        <v>2462</v>
      </c>
      <c r="AL210" t="s">
        <v>2463</v>
      </c>
      <c r="AN210" t="str">
        <f t="shared" si="58"/>
        <v>OK</v>
      </c>
      <c r="AO210" t="str">
        <f t="shared" si="59"/>
        <v>OK</v>
      </c>
      <c r="AP210" t="str">
        <f t="shared" si="60"/>
        <v>OK</v>
      </c>
      <c r="AR210" t="str">
        <f t="shared" si="61"/>
        <v>OK</v>
      </c>
      <c r="AS210" t="str">
        <f t="shared" si="62"/>
        <v>OK</v>
      </c>
      <c r="AT210" t="str">
        <f t="shared" si="63"/>
        <v>NOK</v>
      </c>
      <c r="AU210" t="str">
        <f t="shared" si="64"/>
        <v>OK</v>
      </c>
      <c r="AV210" t="str">
        <f t="shared" si="65"/>
        <v>OK</v>
      </c>
      <c r="AW210" t="str">
        <f t="shared" si="66"/>
        <v>OK</v>
      </c>
    </row>
    <row r="211" spans="1:49">
      <c r="A211">
        <f>Dbase_velden_versie4_2!A207</f>
        <v>207</v>
      </c>
      <c r="B211" t="str">
        <f>Dbase_velden_versie4_2!B207</f>
        <v>SD_BJERRUM_RR_TRAP9_10</v>
      </c>
      <c r="C211" t="str">
        <f>Dbase_velden_versie4_2!C207</f>
        <v>-</v>
      </c>
      <c r="D211" t="str">
        <f>Dbase_velden_versie4_2!D207</f>
        <v>Samendrukkingsparameter volgens Bjerrum, CR waarde conform NEN5118, trap 9-10</v>
      </c>
      <c r="E211" t="str">
        <f>Dbase_velden_versie4_2!E207</f>
        <v>Double</v>
      </c>
      <c r="F211">
        <f>Dbase_velden_versie4_2!F207</f>
        <v>0</v>
      </c>
      <c r="G211" t="str">
        <f>Dbase_velden_versie4_2!G207</f>
        <v>SD BJERRUM RR TRAP9 10</v>
      </c>
      <c r="H211" t="str">
        <f>Dbase_velden_versie4_2!H207</f>
        <v>[-]</v>
      </c>
      <c r="I211" t="str">
        <f>Dbase_velden_versie4_2!I207</f>
        <v>SD</v>
      </c>
      <c r="J211" t="str">
        <f>Dbase_velden_versie4_2!J207</f>
        <v>Samendrukkingsproef</v>
      </c>
      <c r="K211">
        <v>207</v>
      </c>
      <c r="L211" t="str">
        <v>SD_BJERRUM_RR_TRAP9_10</v>
      </c>
      <c r="M211" t="str">
        <v>-</v>
      </c>
      <c r="N211" t="str">
        <v>Samendrukkingsparameter volgens Bjerrum, CR waarde conform NEN5118, trap 9-10</v>
      </c>
      <c r="O211" t="str">
        <v>Double</v>
      </c>
      <c r="P211">
        <v>0</v>
      </c>
      <c r="Q211" t="str">
        <v>SD BJERRUM RR TRAP9 10</v>
      </c>
      <c r="R211" t="str">
        <v>[-]</v>
      </c>
      <c r="S211" t="str">
        <f t="shared" si="57"/>
        <v>OK</v>
      </c>
      <c r="T211" t="str">
        <f t="shared" si="51"/>
        <v>OK</v>
      </c>
      <c r="U211" t="str">
        <f t="shared" si="52"/>
        <v>OK</v>
      </c>
      <c r="V211" t="str">
        <f t="shared" si="53"/>
        <v>OK</v>
      </c>
      <c r="W211" t="str">
        <f t="shared" si="54"/>
        <v>OK</v>
      </c>
      <c r="X211" t="str">
        <f t="shared" si="55"/>
        <v>OK</v>
      </c>
      <c r="Y211" t="str">
        <f t="shared" si="56"/>
        <v>OK</v>
      </c>
      <c r="Z211">
        <v>206</v>
      </c>
      <c r="AA211">
        <v>208</v>
      </c>
      <c r="AB211" t="s">
        <v>2462</v>
      </c>
      <c r="AC211" t="s">
        <v>207</v>
      </c>
      <c r="AD211" t="s">
        <v>463</v>
      </c>
      <c r="AE211" t="s">
        <v>674</v>
      </c>
      <c r="AG211" t="s">
        <v>897</v>
      </c>
      <c r="AI211" t="s">
        <v>2493</v>
      </c>
      <c r="AJ211" t="s">
        <v>1395</v>
      </c>
      <c r="AK211" t="s">
        <v>2462</v>
      </c>
      <c r="AL211" t="s">
        <v>2463</v>
      </c>
      <c r="AN211" t="str">
        <f t="shared" si="58"/>
        <v>OK</v>
      </c>
      <c r="AO211" t="str">
        <f t="shared" si="59"/>
        <v>OK</v>
      </c>
      <c r="AP211" t="str">
        <f t="shared" si="60"/>
        <v>OK</v>
      </c>
      <c r="AR211" t="str">
        <f t="shared" si="61"/>
        <v>OK</v>
      </c>
      <c r="AS211" t="str">
        <f t="shared" si="62"/>
        <v>OK</v>
      </c>
      <c r="AT211" t="str">
        <f t="shared" si="63"/>
        <v>NOK</v>
      </c>
      <c r="AU211" t="str">
        <f t="shared" si="64"/>
        <v>OK</v>
      </c>
      <c r="AV211" t="str">
        <f t="shared" si="65"/>
        <v>OK</v>
      </c>
      <c r="AW211" t="str">
        <f t="shared" si="66"/>
        <v>OK</v>
      </c>
    </row>
    <row r="212" spans="1:49">
      <c r="A212">
        <f>Dbase_velden_versie4_2!A208</f>
        <v>208</v>
      </c>
      <c r="B212" t="str">
        <f>Dbase_velden_versie4_2!B208</f>
        <v>SD_BJERRUM_CALPHA</v>
      </c>
      <c r="C212" t="str">
        <f>Dbase_velden_versie4_2!C208</f>
        <v>-</v>
      </c>
      <c r="D212" t="str">
        <f>Dbase_velden_versie4_2!D208</f>
        <v>NEN Bjerrum Calpha</v>
      </c>
      <c r="E212" t="str">
        <f>Dbase_velden_versie4_2!E208</f>
        <v>Double</v>
      </c>
      <c r="F212">
        <f>Dbase_velden_versie4_2!F208</f>
        <v>0</v>
      </c>
      <c r="G212" t="str">
        <f>Dbase_velden_versie4_2!G208</f>
        <v>SD BJERRUM CALPHA</v>
      </c>
      <c r="H212" t="str">
        <f>Dbase_velden_versie4_2!H208</f>
        <v>[-]</v>
      </c>
      <c r="I212" t="str">
        <f>Dbase_velden_versie4_2!I208</f>
        <v>SD</v>
      </c>
      <c r="J212" t="str">
        <f>Dbase_velden_versie4_2!J208</f>
        <v>Samendrukkingsproef</v>
      </c>
      <c r="K212">
        <v>208</v>
      </c>
      <c r="L212" t="str">
        <v>SD_BJERRUM_CALPHA</v>
      </c>
      <c r="M212" t="str">
        <v>-</v>
      </c>
      <c r="N212" t="str">
        <v>NEN Bjerrum Calpha</v>
      </c>
      <c r="O212" t="str">
        <v>Double</v>
      </c>
      <c r="P212">
        <v>0</v>
      </c>
      <c r="Q212" t="str">
        <v>SD BJERRUM CALPHA</v>
      </c>
      <c r="R212" t="str">
        <v>[-]</v>
      </c>
      <c r="S212" t="str">
        <f t="shared" si="57"/>
        <v>OK</v>
      </c>
      <c r="T212" t="str">
        <f t="shared" si="51"/>
        <v>OK</v>
      </c>
      <c r="U212" t="str">
        <f t="shared" si="52"/>
        <v>OK</v>
      </c>
      <c r="V212" t="str">
        <f t="shared" si="53"/>
        <v>OK</v>
      </c>
      <c r="W212" t="str">
        <f t="shared" si="54"/>
        <v>OK</v>
      </c>
      <c r="X212" t="str">
        <f t="shared" si="55"/>
        <v>OK</v>
      </c>
      <c r="Y212" t="str">
        <f t="shared" si="56"/>
        <v>OK</v>
      </c>
      <c r="Z212">
        <v>207</v>
      </c>
      <c r="AA212">
        <v>209</v>
      </c>
      <c r="AB212" t="s">
        <v>2462</v>
      </c>
      <c r="AC212" t="s">
        <v>208</v>
      </c>
      <c r="AD212" t="s">
        <v>463</v>
      </c>
      <c r="AE212" t="s">
        <v>675</v>
      </c>
      <c r="AG212" t="s">
        <v>897</v>
      </c>
      <c r="AI212" t="s">
        <v>2494</v>
      </c>
      <c r="AJ212" t="s">
        <v>1395</v>
      </c>
      <c r="AK212" t="s">
        <v>2462</v>
      </c>
      <c r="AL212" t="s">
        <v>2463</v>
      </c>
      <c r="AN212" t="str">
        <f t="shared" si="58"/>
        <v>OK</v>
      </c>
      <c r="AO212" t="str">
        <f t="shared" si="59"/>
        <v>OK</v>
      </c>
      <c r="AP212" t="str">
        <f t="shared" si="60"/>
        <v>OK</v>
      </c>
      <c r="AR212" t="str">
        <f t="shared" si="61"/>
        <v>OK</v>
      </c>
      <c r="AS212" t="str">
        <f t="shared" si="62"/>
        <v>OK</v>
      </c>
      <c r="AT212" t="str">
        <f t="shared" si="63"/>
        <v>NOK</v>
      </c>
      <c r="AU212" t="str">
        <f t="shared" si="64"/>
        <v>OK</v>
      </c>
      <c r="AV212" t="str">
        <f t="shared" si="65"/>
        <v>OK</v>
      </c>
      <c r="AW212" t="str">
        <f t="shared" si="66"/>
        <v>OK</v>
      </c>
    </row>
    <row r="213" spans="1:49">
      <c r="A213">
        <f>Dbase_velden_versie4_2!A209</f>
        <v>209</v>
      </c>
      <c r="B213" t="str">
        <f>Dbase_velden_versie4_2!B209</f>
        <v>SD_BJERRUM_CALPHA_TRAP1</v>
      </c>
      <c r="C213" t="str">
        <f>Dbase_velden_versie4_2!C209</f>
        <v>-</v>
      </c>
      <c r="D213" t="str">
        <f>Dbase_velden_versie4_2!D209</f>
        <v>Samendrukkingsparameter volgens Bjerrum, Calpha trap 1</v>
      </c>
      <c r="E213" t="str">
        <f>Dbase_velden_versie4_2!E209</f>
        <v>Double</v>
      </c>
      <c r="F213">
        <f>Dbase_velden_versie4_2!F209</f>
        <v>0</v>
      </c>
      <c r="G213" t="str">
        <f>Dbase_velden_versie4_2!G209</f>
        <v>SD BJERRUM CALPHA TRAP1</v>
      </c>
      <c r="H213" t="str">
        <f>Dbase_velden_versie4_2!H209</f>
        <v>[-]</v>
      </c>
      <c r="I213" t="str">
        <f>Dbase_velden_versie4_2!I209</f>
        <v>SD</v>
      </c>
      <c r="J213" t="str">
        <f>Dbase_velden_versie4_2!J209</f>
        <v>Samendrukkingsproef</v>
      </c>
      <c r="K213">
        <v>209</v>
      </c>
      <c r="L213" t="str">
        <v>SD_BJERRUM_CALPHA_TRAP1</v>
      </c>
      <c r="M213" t="str">
        <v>-</v>
      </c>
      <c r="N213" t="str">
        <v>Samendrukkingsparameter volgens Bjerrum, Calpha trap 1</v>
      </c>
      <c r="O213" t="str">
        <v>Double</v>
      </c>
      <c r="P213">
        <v>0</v>
      </c>
      <c r="Q213" t="str">
        <v>SD BJERRUM CALPHA TRAP1</v>
      </c>
      <c r="R213" t="str">
        <v>[-]</v>
      </c>
      <c r="S213" t="str">
        <f t="shared" si="57"/>
        <v>OK</v>
      </c>
      <c r="T213" t="str">
        <f t="shared" si="51"/>
        <v>OK</v>
      </c>
      <c r="U213" t="str">
        <f t="shared" si="52"/>
        <v>OK</v>
      </c>
      <c r="V213" t="str">
        <f t="shared" si="53"/>
        <v>OK</v>
      </c>
      <c r="W213" t="str">
        <f t="shared" si="54"/>
        <v>OK</v>
      </c>
      <c r="X213" t="str">
        <f t="shared" si="55"/>
        <v>OK</v>
      </c>
      <c r="Y213" t="str">
        <f t="shared" si="56"/>
        <v>OK</v>
      </c>
      <c r="Z213">
        <v>208</v>
      </c>
      <c r="AA213">
        <v>210</v>
      </c>
      <c r="AB213" t="s">
        <v>2462</v>
      </c>
      <c r="AC213" t="s">
        <v>209</v>
      </c>
      <c r="AD213" t="s">
        <v>463</v>
      </c>
      <c r="AE213" t="s">
        <v>676</v>
      </c>
      <c r="AG213" t="s">
        <v>897</v>
      </c>
      <c r="AI213" t="s">
        <v>2495</v>
      </c>
      <c r="AJ213" t="s">
        <v>1395</v>
      </c>
      <c r="AK213" t="s">
        <v>2462</v>
      </c>
      <c r="AL213" t="s">
        <v>2463</v>
      </c>
      <c r="AN213" t="str">
        <f t="shared" si="58"/>
        <v>OK</v>
      </c>
      <c r="AO213" t="str">
        <f t="shared" si="59"/>
        <v>OK</v>
      </c>
      <c r="AP213" t="str">
        <f t="shared" si="60"/>
        <v>OK</v>
      </c>
      <c r="AR213" t="str">
        <f t="shared" si="61"/>
        <v>OK</v>
      </c>
      <c r="AS213" t="str">
        <f t="shared" si="62"/>
        <v>OK</v>
      </c>
      <c r="AT213" t="str">
        <f t="shared" si="63"/>
        <v>NOK</v>
      </c>
      <c r="AU213" t="str">
        <f t="shared" si="64"/>
        <v>OK</v>
      </c>
      <c r="AV213" t="str">
        <f t="shared" si="65"/>
        <v>OK</v>
      </c>
      <c r="AW213" t="str">
        <f t="shared" si="66"/>
        <v>OK</v>
      </c>
    </row>
    <row r="214" spans="1:49">
      <c r="A214">
        <f>Dbase_velden_versie4_2!A210</f>
        <v>210</v>
      </c>
      <c r="B214" t="str">
        <f>Dbase_velden_versie4_2!B210</f>
        <v>SD_BJERRUM_CALPHA_TRAP2</v>
      </c>
      <c r="C214" t="str">
        <f>Dbase_velden_versie4_2!C210</f>
        <v>-</v>
      </c>
      <c r="D214" t="str">
        <f>Dbase_velden_versie4_2!D210</f>
        <v>Samendrukkingsparameter volgens Bjerrum, Calpha trap 2</v>
      </c>
      <c r="E214" t="str">
        <f>Dbase_velden_versie4_2!E210</f>
        <v>Double</v>
      </c>
      <c r="F214">
        <f>Dbase_velden_versie4_2!F210</f>
        <v>0</v>
      </c>
      <c r="G214" t="str">
        <f>Dbase_velden_versie4_2!G210</f>
        <v>SD BJERRUM CALPHA TRAP2</v>
      </c>
      <c r="H214" t="str">
        <f>Dbase_velden_versie4_2!H210</f>
        <v>[-]</v>
      </c>
      <c r="I214" t="str">
        <f>Dbase_velden_versie4_2!I210</f>
        <v>SD</v>
      </c>
      <c r="J214" t="str">
        <f>Dbase_velden_versie4_2!J210</f>
        <v>Samendrukkingsproef</v>
      </c>
      <c r="K214">
        <v>210</v>
      </c>
      <c r="L214" t="str">
        <v>SD_BJERRUM_CALPHA_TRAP2</v>
      </c>
      <c r="M214" t="str">
        <v>-</v>
      </c>
      <c r="N214" t="str">
        <v>Samendrukkingsparameter volgens Bjerrum, Calpha trap 2</v>
      </c>
      <c r="O214" t="str">
        <v>Double</v>
      </c>
      <c r="P214">
        <v>0</v>
      </c>
      <c r="Q214" t="str">
        <v>SD BJERRUM CALPHA TRAP2</v>
      </c>
      <c r="R214" t="str">
        <v>[-]</v>
      </c>
      <c r="S214" t="str">
        <f t="shared" si="57"/>
        <v>OK</v>
      </c>
      <c r="T214" t="str">
        <f t="shared" si="51"/>
        <v>OK</v>
      </c>
      <c r="U214" t="str">
        <f t="shared" si="52"/>
        <v>OK</v>
      </c>
      <c r="V214" t="str">
        <f t="shared" si="53"/>
        <v>OK</v>
      </c>
      <c r="W214" t="str">
        <f t="shared" si="54"/>
        <v>OK</v>
      </c>
      <c r="X214" t="str">
        <f t="shared" si="55"/>
        <v>OK</v>
      </c>
      <c r="Y214" t="str">
        <f t="shared" si="56"/>
        <v>OK</v>
      </c>
      <c r="Z214">
        <v>209</v>
      </c>
      <c r="AA214">
        <v>211</v>
      </c>
      <c r="AB214" t="s">
        <v>2462</v>
      </c>
      <c r="AC214" t="s">
        <v>210</v>
      </c>
      <c r="AD214" t="s">
        <v>463</v>
      </c>
      <c r="AE214" t="s">
        <v>677</v>
      </c>
      <c r="AG214" t="s">
        <v>897</v>
      </c>
      <c r="AI214" t="s">
        <v>2496</v>
      </c>
      <c r="AJ214" t="s">
        <v>1395</v>
      </c>
      <c r="AK214" t="s">
        <v>2462</v>
      </c>
      <c r="AL214" t="s">
        <v>2463</v>
      </c>
      <c r="AN214" t="str">
        <f t="shared" si="58"/>
        <v>OK</v>
      </c>
      <c r="AO214" t="str">
        <f t="shared" si="59"/>
        <v>OK</v>
      </c>
      <c r="AP214" t="str">
        <f t="shared" si="60"/>
        <v>OK</v>
      </c>
      <c r="AR214" t="str">
        <f t="shared" si="61"/>
        <v>OK</v>
      </c>
      <c r="AS214" t="str">
        <f t="shared" si="62"/>
        <v>OK</v>
      </c>
      <c r="AT214" t="str">
        <f t="shared" si="63"/>
        <v>NOK</v>
      </c>
      <c r="AU214" t="str">
        <f t="shared" si="64"/>
        <v>OK</v>
      </c>
      <c r="AV214" t="str">
        <f t="shared" si="65"/>
        <v>OK</v>
      </c>
      <c r="AW214" t="str">
        <f t="shared" si="66"/>
        <v>OK</v>
      </c>
    </row>
    <row r="215" spans="1:49">
      <c r="A215">
        <f>Dbase_velden_versie4_2!A211</f>
        <v>211</v>
      </c>
      <c r="B215" t="str">
        <f>Dbase_velden_versie4_2!B211</f>
        <v>SD_BJERRUM_CALPHA_TRAP3</v>
      </c>
      <c r="C215" t="str">
        <f>Dbase_velden_versie4_2!C211</f>
        <v>-</v>
      </c>
      <c r="D215" t="str">
        <f>Dbase_velden_versie4_2!D211</f>
        <v>Samendrukkingsparameter volgens Bjerrum, Calpha trap 3</v>
      </c>
      <c r="E215" t="str">
        <f>Dbase_velden_versie4_2!E211</f>
        <v>Double</v>
      </c>
      <c r="F215">
        <f>Dbase_velden_versie4_2!F211</f>
        <v>0</v>
      </c>
      <c r="G215" t="str">
        <f>Dbase_velden_versie4_2!G211</f>
        <v>SD BJERRUM CALPHA TRAP3</v>
      </c>
      <c r="H215" t="str">
        <f>Dbase_velden_versie4_2!H211</f>
        <v>[-]</v>
      </c>
      <c r="I215" t="str">
        <f>Dbase_velden_versie4_2!I211</f>
        <v>SD</v>
      </c>
      <c r="J215" t="str">
        <f>Dbase_velden_versie4_2!J211</f>
        <v>Samendrukkingsproef</v>
      </c>
      <c r="K215">
        <v>211</v>
      </c>
      <c r="L215" t="str">
        <v>SD_BJERRUM_CALPHA_TRAP3</v>
      </c>
      <c r="M215" t="str">
        <v>-</v>
      </c>
      <c r="N215" t="str">
        <v>Samendrukkingsparameter volgens Bjerrum, Calpha trap 3</v>
      </c>
      <c r="O215" t="str">
        <v>Double</v>
      </c>
      <c r="P215">
        <v>0</v>
      </c>
      <c r="Q215" t="str">
        <v>SD BJERRUM CALPHA TRAP3</v>
      </c>
      <c r="R215" t="str">
        <v>[-]</v>
      </c>
      <c r="S215" t="str">
        <f t="shared" si="57"/>
        <v>OK</v>
      </c>
      <c r="T215" t="str">
        <f t="shared" si="51"/>
        <v>OK</v>
      </c>
      <c r="U215" t="str">
        <f t="shared" si="52"/>
        <v>OK</v>
      </c>
      <c r="V215" t="str">
        <f t="shared" si="53"/>
        <v>OK</v>
      </c>
      <c r="W215" t="str">
        <f t="shared" si="54"/>
        <v>OK</v>
      </c>
      <c r="X215" t="str">
        <f t="shared" si="55"/>
        <v>OK</v>
      </c>
      <c r="Y215" t="str">
        <f t="shared" si="56"/>
        <v>OK</v>
      </c>
      <c r="Z215">
        <v>210</v>
      </c>
      <c r="AA215">
        <v>212</v>
      </c>
      <c r="AB215" t="s">
        <v>2462</v>
      </c>
      <c r="AC215" t="s">
        <v>211</v>
      </c>
      <c r="AD215" t="s">
        <v>463</v>
      </c>
      <c r="AE215" t="s">
        <v>678</v>
      </c>
      <c r="AG215" t="s">
        <v>897</v>
      </c>
      <c r="AI215" t="s">
        <v>2497</v>
      </c>
      <c r="AJ215" t="s">
        <v>1395</v>
      </c>
      <c r="AK215" t="s">
        <v>2462</v>
      </c>
      <c r="AL215" t="s">
        <v>2463</v>
      </c>
      <c r="AN215" t="str">
        <f t="shared" si="58"/>
        <v>OK</v>
      </c>
      <c r="AO215" t="str">
        <f t="shared" si="59"/>
        <v>OK</v>
      </c>
      <c r="AP215" t="str">
        <f t="shared" si="60"/>
        <v>OK</v>
      </c>
      <c r="AR215" t="str">
        <f t="shared" si="61"/>
        <v>OK</v>
      </c>
      <c r="AS215" t="str">
        <f t="shared" si="62"/>
        <v>OK</v>
      </c>
      <c r="AT215" t="str">
        <f t="shared" si="63"/>
        <v>NOK</v>
      </c>
      <c r="AU215" t="str">
        <f t="shared" si="64"/>
        <v>OK</v>
      </c>
      <c r="AV215" t="str">
        <f t="shared" si="65"/>
        <v>OK</v>
      </c>
      <c r="AW215" t="str">
        <f t="shared" si="66"/>
        <v>OK</v>
      </c>
    </row>
    <row r="216" spans="1:49">
      <c r="A216">
        <f>Dbase_velden_versie4_2!A212</f>
        <v>212</v>
      </c>
      <c r="B216" t="str">
        <f>Dbase_velden_versie4_2!B212</f>
        <v>SD_BJERRUM_CALPHA_TRAP4</v>
      </c>
      <c r="C216" t="str">
        <f>Dbase_velden_versie4_2!C212</f>
        <v>-</v>
      </c>
      <c r="D216" t="str">
        <f>Dbase_velden_versie4_2!D212</f>
        <v>Samendrukkingsparameter volgens Bjerrum, Calpha trap 4</v>
      </c>
      <c r="E216" t="str">
        <f>Dbase_velden_versie4_2!E212</f>
        <v>Double</v>
      </c>
      <c r="F216">
        <f>Dbase_velden_versie4_2!F212</f>
        <v>0</v>
      </c>
      <c r="G216" t="str">
        <f>Dbase_velden_versie4_2!G212</f>
        <v>SD BJERRUM CALPHA TRAP4</v>
      </c>
      <c r="H216" t="str">
        <f>Dbase_velden_versie4_2!H212</f>
        <v>[-]</v>
      </c>
      <c r="I216" t="str">
        <f>Dbase_velden_versie4_2!I212</f>
        <v>SD</v>
      </c>
      <c r="J216" t="str">
        <f>Dbase_velden_versie4_2!J212</f>
        <v>Samendrukkingsproef</v>
      </c>
      <c r="K216">
        <v>212</v>
      </c>
      <c r="L216" t="str">
        <v>SD_BJERRUM_CALPHA_TRAP4</v>
      </c>
      <c r="M216" t="str">
        <v>-</v>
      </c>
      <c r="N216" t="str">
        <v>Samendrukkingsparameter volgens Bjerrum, Calpha trap 4</v>
      </c>
      <c r="O216" t="str">
        <v>Double</v>
      </c>
      <c r="P216">
        <v>0</v>
      </c>
      <c r="Q216" t="str">
        <v>SD BJERRUM CALPHA TRAP4</v>
      </c>
      <c r="R216" t="str">
        <v>[-]</v>
      </c>
      <c r="S216" t="str">
        <f t="shared" si="57"/>
        <v>OK</v>
      </c>
      <c r="T216" t="str">
        <f t="shared" si="51"/>
        <v>OK</v>
      </c>
      <c r="U216" t="str">
        <f t="shared" si="52"/>
        <v>OK</v>
      </c>
      <c r="V216" t="str">
        <f t="shared" si="53"/>
        <v>OK</v>
      </c>
      <c r="W216" t="str">
        <f t="shared" si="54"/>
        <v>OK</v>
      </c>
      <c r="X216" t="str">
        <f t="shared" si="55"/>
        <v>OK</v>
      </c>
      <c r="Y216" t="str">
        <f t="shared" si="56"/>
        <v>OK</v>
      </c>
      <c r="Z216">
        <v>211</v>
      </c>
      <c r="AA216">
        <v>213</v>
      </c>
      <c r="AB216" t="s">
        <v>2462</v>
      </c>
      <c r="AC216" t="s">
        <v>212</v>
      </c>
      <c r="AD216" t="s">
        <v>463</v>
      </c>
      <c r="AE216" t="s">
        <v>679</v>
      </c>
      <c r="AG216" t="s">
        <v>897</v>
      </c>
      <c r="AI216" t="s">
        <v>2498</v>
      </c>
      <c r="AJ216" t="s">
        <v>1395</v>
      </c>
      <c r="AK216" t="s">
        <v>2462</v>
      </c>
      <c r="AL216" t="s">
        <v>2463</v>
      </c>
      <c r="AN216" t="str">
        <f t="shared" si="58"/>
        <v>OK</v>
      </c>
      <c r="AO216" t="str">
        <f t="shared" si="59"/>
        <v>OK</v>
      </c>
      <c r="AP216" t="str">
        <f t="shared" si="60"/>
        <v>OK</v>
      </c>
      <c r="AR216" t="str">
        <f t="shared" si="61"/>
        <v>OK</v>
      </c>
      <c r="AS216" t="str">
        <f t="shared" si="62"/>
        <v>OK</v>
      </c>
      <c r="AT216" t="str">
        <f t="shared" si="63"/>
        <v>NOK</v>
      </c>
      <c r="AU216" t="str">
        <f t="shared" si="64"/>
        <v>OK</v>
      </c>
      <c r="AV216" t="str">
        <f t="shared" si="65"/>
        <v>OK</v>
      </c>
      <c r="AW216" t="str">
        <f t="shared" si="66"/>
        <v>OK</v>
      </c>
    </row>
    <row r="217" spans="1:49">
      <c r="A217">
        <f>Dbase_velden_versie4_2!A213</f>
        <v>213</v>
      </c>
      <c r="B217" t="str">
        <f>Dbase_velden_versie4_2!B213</f>
        <v>SD_BJERRUM_CALPHA_TRAP5</v>
      </c>
      <c r="C217" t="str">
        <f>Dbase_velden_versie4_2!C213</f>
        <v>-</v>
      </c>
      <c r="D217" t="str">
        <f>Dbase_velden_versie4_2!D213</f>
        <v>Samendrukkingsparameter volgens Bjerrum, Calpha trap 5</v>
      </c>
      <c r="E217" t="str">
        <f>Dbase_velden_versie4_2!E213</f>
        <v>Double</v>
      </c>
      <c r="F217">
        <f>Dbase_velden_versie4_2!F213</f>
        <v>0</v>
      </c>
      <c r="G217" t="str">
        <f>Dbase_velden_versie4_2!G213</f>
        <v>SD BJERRUM CALPHA TRAP5</v>
      </c>
      <c r="H217" t="str">
        <f>Dbase_velden_versie4_2!H213</f>
        <v>[-]</v>
      </c>
      <c r="I217" t="str">
        <f>Dbase_velden_versie4_2!I213</f>
        <v>SD</v>
      </c>
      <c r="J217" t="str">
        <f>Dbase_velden_versie4_2!J213</f>
        <v>Samendrukkingsproef</v>
      </c>
      <c r="K217">
        <v>213</v>
      </c>
      <c r="L217" t="str">
        <v>SD_BJERRUM_CALPHA_TRAP5</v>
      </c>
      <c r="M217" t="str">
        <v>-</v>
      </c>
      <c r="N217" t="str">
        <v>Samendrukkingsparameter volgens Bjerrum, Calpha trap 5</v>
      </c>
      <c r="O217" t="str">
        <v>Double</v>
      </c>
      <c r="P217">
        <v>0</v>
      </c>
      <c r="Q217" t="str">
        <v>SD BJERRUM CALPHA TRAP5</v>
      </c>
      <c r="R217" t="str">
        <v>[-]</v>
      </c>
      <c r="S217" t="str">
        <f t="shared" si="57"/>
        <v>OK</v>
      </c>
      <c r="T217" t="str">
        <f t="shared" si="51"/>
        <v>OK</v>
      </c>
      <c r="U217" t="str">
        <f t="shared" si="52"/>
        <v>OK</v>
      </c>
      <c r="V217" t="str">
        <f t="shared" si="53"/>
        <v>OK</v>
      </c>
      <c r="W217" t="str">
        <f t="shared" si="54"/>
        <v>OK</v>
      </c>
      <c r="X217" t="str">
        <f t="shared" si="55"/>
        <v>OK</v>
      </c>
      <c r="Y217" t="str">
        <f t="shared" si="56"/>
        <v>OK</v>
      </c>
      <c r="Z217">
        <v>212</v>
      </c>
      <c r="AA217">
        <v>214</v>
      </c>
      <c r="AB217" t="s">
        <v>2462</v>
      </c>
      <c r="AC217" t="s">
        <v>213</v>
      </c>
      <c r="AD217" t="s">
        <v>463</v>
      </c>
      <c r="AE217" t="s">
        <v>680</v>
      </c>
      <c r="AG217" t="s">
        <v>897</v>
      </c>
      <c r="AI217" t="s">
        <v>2499</v>
      </c>
      <c r="AJ217" t="s">
        <v>1395</v>
      </c>
      <c r="AK217" t="s">
        <v>2462</v>
      </c>
      <c r="AL217" t="s">
        <v>2463</v>
      </c>
      <c r="AN217" t="str">
        <f t="shared" si="58"/>
        <v>OK</v>
      </c>
      <c r="AO217" t="str">
        <f t="shared" si="59"/>
        <v>OK</v>
      </c>
      <c r="AP217" t="str">
        <f t="shared" si="60"/>
        <v>OK</v>
      </c>
      <c r="AR217" t="str">
        <f t="shared" si="61"/>
        <v>OK</v>
      </c>
      <c r="AS217" t="str">
        <f t="shared" si="62"/>
        <v>OK</v>
      </c>
      <c r="AT217" t="str">
        <f t="shared" si="63"/>
        <v>NOK</v>
      </c>
      <c r="AU217" t="str">
        <f t="shared" si="64"/>
        <v>OK</v>
      </c>
      <c r="AV217" t="str">
        <f t="shared" si="65"/>
        <v>OK</v>
      </c>
      <c r="AW217" t="str">
        <f t="shared" si="66"/>
        <v>OK</v>
      </c>
    </row>
    <row r="218" spans="1:49">
      <c r="A218">
        <f>Dbase_velden_versie4_2!A214</f>
        <v>214</v>
      </c>
      <c r="B218" t="str">
        <f>Dbase_velden_versie4_2!B214</f>
        <v>SD_BJERRUM_CALPHA_TRAP6</v>
      </c>
      <c r="C218" t="str">
        <f>Dbase_velden_versie4_2!C214</f>
        <v>-</v>
      </c>
      <c r="D218" t="str">
        <f>Dbase_velden_versie4_2!D214</f>
        <v>Samendrukkingsparameter volgens Bjerrum, Calpha trap 6</v>
      </c>
      <c r="E218" t="str">
        <f>Dbase_velden_versie4_2!E214</f>
        <v>Double</v>
      </c>
      <c r="F218">
        <f>Dbase_velden_versie4_2!F214</f>
        <v>0</v>
      </c>
      <c r="G218" t="str">
        <f>Dbase_velden_versie4_2!G214</f>
        <v>SD BJERRUM CALPHA TRAP6</v>
      </c>
      <c r="H218" t="str">
        <f>Dbase_velden_versie4_2!H214</f>
        <v>[-]</v>
      </c>
      <c r="I218" t="str">
        <f>Dbase_velden_versie4_2!I214</f>
        <v>SD</v>
      </c>
      <c r="J218" t="str">
        <f>Dbase_velden_versie4_2!J214</f>
        <v>Samendrukkingsproef</v>
      </c>
      <c r="K218">
        <v>214</v>
      </c>
      <c r="L218" t="str">
        <v>SD_BJERRUM_CALPHA_TRAP6</v>
      </c>
      <c r="M218" t="str">
        <v>-</v>
      </c>
      <c r="N218" t="str">
        <v>Samendrukkingsparameter volgens Bjerrum, Calpha trap 6</v>
      </c>
      <c r="O218" t="str">
        <v>Double</v>
      </c>
      <c r="P218">
        <v>0</v>
      </c>
      <c r="Q218" t="str">
        <v>SD BJERRUM CALPHA TRAP6</v>
      </c>
      <c r="R218" t="str">
        <v>[-]</v>
      </c>
      <c r="S218" t="str">
        <f t="shared" si="57"/>
        <v>OK</v>
      </c>
      <c r="T218" t="str">
        <f t="shared" si="51"/>
        <v>OK</v>
      </c>
      <c r="U218" t="str">
        <f t="shared" si="52"/>
        <v>OK</v>
      </c>
      <c r="V218" t="str">
        <f t="shared" si="53"/>
        <v>OK</v>
      </c>
      <c r="W218" t="str">
        <f t="shared" si="54"/>
        <v>OK</v>
      </c>
      <c r="X218" t="str">
        <f t="shared" si="55"/>
        <v>OK</v>
      </c>
      <c r="Y218" t="str">
        <f t="shared" si="56"/>
        <v>OK</v>
      </c>
      <c r="Z218">
        <v>213</v>
      </c>
      <c r="AA218">
        <v>215</v>
      </c>
      <c r="AB218" t="s">
        <v>2462</v>
      </c>
      <c r="AC218" t="s">
        <v>214</v>
      </c>
      <c r="AD218" t="s">
        <v>463</v>
      </c>
      <c r="AE218" t="s">
        <v>681</v>
      </c>
      <c r="AG218" t="s">
        <v>897</v>
      </c>
      <c r="AI218" t="s">
        <v>2500</v>
      </c>
      <c r="AJ218" t="s">
        <v>1395</v>
      </c>
      <c r="AK218" t="s">
        <v>2462</v>
      </c>
      <c r="AL218" t="s">
        <v>2463</v>
      </c>
      <c r="AN218" t="str">
        <f t="shared" si="58"/>
        <v>OK</v>
      </c>
      <c r="AO218" t="str">
        <f t="shared" si="59"/>
        <v>OK</v>
      </c>
      <c r="AP218" t="str">
        <f t="shared" si="60"/>
        <v>OK</v>
      </c>
      <c r="AR218" t="str">
        <f t="shared" si="61"/>
        <v>OK</v>
      </c>
      <c r="AS218" t="str">
        <f t="shared" si="62"/>
        <v>OK</v>
      </c>
      <c r="AT218" t="str">
        <f t="shared" si="63"/>
        <v>NOK</v>
      </c>
      <c r="AU218" t="str">
        <f t="shared" si="64"/>
        <v>OK</v>
      </c>
      <c r="AV218" t="str">
        <f t="shared" si="65"/>
        <v>OK</v>
      </c>
      <c r="AW218" t="str">
        <f t="shared" si="66"/>
        <v>OK</v>
      </c>
    </row>
    <row r="219" spans="1:49">
      <c r="A219">
        <f>Dbase_velden_versie4_2!A215</f>
        <v>215</v>
      </c>
      <c r="B219" t="str">
        <f>Dbase_velden_versie4_2!B215</f>
        <v>SD_BJERRUM_CALPHA_TRAP7</v>
      </c>
      <c r="C219" t="str">
        <f>Dbase_velden_versie4_2!C215</f>
        <v>-</v>
      </c>
      <c r="D219" t="str">
        <f>Dbase_velden_versie4_2!D215</f>
        <v>Samendrukkingsparameter volgens Bjerrum, Calpha trap 7</v>
      </c>
      <c r="E219" t="str">
        <f>Dbase_velden_versie4_2!E215</f>
        <v>Double</v>
      </c>
      <c r="F219">
        <f>Dbase_velden_versie4_2!F215</f>
        <v>0</v>
      </c>
      <c r="G219" t="str">
        <f>Dbase_velden_versie4_2!G215</f>
        <v>SD BJERRUM CALPHA TRAP7</v>
      </c>
      <c r="H219" t="str">
        <f>Dbase_velden_versie4_2!H215</f>
        <v>[-]</v>
      </c>
      <c r="I219" t="str">
        <f>Dbase_velden_versie4_2!I215</f>
        <v>SD</v>
      </c>
      <c r="J219" t="str">
        <f>Dbase_velden_versie4_2!J215</f>
        <v>Samendrukkingsproef</v>
      </c>
      <c r="K219">
        <v>215</v>
      </c>
      <c r="L219" t="str">
        <v>SD_BJERRUM_CALPHA_TRAP7</v>
      </c>
      <c r="M219" t="str">
        <v>-</v>
      </c>
      <c r="N219" t="str">
        <v>Samendrukkingsparameter volgens Bjerrum, Calpha trap 7</v>
      </c>
      <c r="O219" t="str">
        <v>Double</v>
      </c>
      <c r="P219">
        <v>0</v>
      </c>
      <c r="Q219" t="str">
        <v>SD BJERRUM CALPHA TRAP7</v>
      </c>
      <c r="R219" t="str">
        <v>[-]</v>
      </c>
      <c r="S219" t="str">
        <f t="shared" si="57"/>
        <v>OK</v>
      </c>
      <c r="T219" t="str">
        <f t="shared" si="51"/>
        <v>OK</v>
      </c>
      <c r="U219" t="str">
        <f t="shared" si="52"/>
        <v>OK</v>
      </c>
      <c r="V219" t="str">
        <f t="shared" si="53"/>
        <v>OK</v>
      </c>
      <c r="W219" t="str">
        <f t="shared" si="54"/>
        <v>OK</v>
      </c>
      <c r="X219" t="str">
        <f t="shared" si="55"/>
        <v>OK</v>
      </c>
      <c r="Y219" t="str">
        <f t="shared" si="56"/>
        <v>OK</v>
      </c>
      <c r="Z219">
        <v>214</v>
      </c>
      <c r="AA219">
        <v>216</v>
      </c>
      <c r="AB219" t="s">
        <v>2462</v>
      </c>
      <c r="AC219" t="s">
        <v>215</v>
      </c>
      <c r="AD219" t="s">
        <v>463</v>
      </c>
      <c r="AE219" t="s">
        <v>682</v>
      </c>
      <c r="AG219" t="s">
        <v>897</v>
      </c>
      <c r="AI219" t="s">
        <v>2501</v>
      </c>
      <c r="AJ219" t="s">
        <v>1395</v>
      </c>
      <c r="AK219" t="s">
        <v>2462</v>
      </c>
      <c r="AL219" t="s">
        <v>2463</v>
      </c>
      <c r="AN219" t="str">
        <f t="shared" si="58"/>
        <v>OK</v>
      </c>
      <c r="AO219" t="str">
        <f t="shared" si="59"/>
        <v>OK</v>
      </c>
      <c r="AP219" t="str">
        <f t="shared" si="60"/>
        <v>OK</v>
      </c>
      <c r="AR219" t="str">
        <f t="shared" si="61"/>
        <v>OK</v>
      </c>
      <c r="AS219" t="str">
        <f t="shared" si="62"/>
        <v>OK</v>
      </c>
      <c r="AT219" t="str">
        <f t="shared" si="63"/>
        <v>NOK</v>
      </c>
      <c r="AU219" t="str">
        <f t="shared" si="64"/>
        <v>OK</v>
      </c>
      <c r="AV219" t="str">
        <f t="shared" si="65"/>
        <v>OK</v>
      </c>
      <c r="AW219" t="str">
        <f t="shared" si="66"/>
        <v>OK</v>
      </c>
    </row>
    <row r="220" spans="1:49">
      <c r="A220">
        <f>Dbase_velden_versie4_2!A216</f>
        <v>216</v>
      </c>
      <c r="B220" t="str">
        <f>Dbase_velden_versie4_2!B216</f>
        <v>SD_BJERRUM_CALPHA_TRAP8</v>
      </c>
      <c r="C220" t="str">
        <f>Dbase_velden_versie4_2!C216</f>
        <v>-</v>
      </c>
      <c r="D220" t="str">
        <f>Dbase_velden_versie4_2!D216</f>
        <v>Samendrukkingsparameter volgens Bjerrum, Calpha trap 8</v>
      </c>
      <c r="E220" t="str">
        <f>Dbase_velden_versie4_2!E216</f>
        <v>Double</v>
      </c>
      <c r="F220">
        <f>Dbase_velden_versie4_2!F216</f>
        <v>0</v>
      </c>
      <c r="G220" t="str">
        <f>Dbase_velden_versie4_2!G216</f>
        <v>SD BJERRUM CALPHA TRAP8</v>
      </c>
      <c r="H220" t="str">
        <f>Dbase_velden_versie4_2!H216</f>
        <v>[-]</v>
      </c>
      <c r="I220" t="str">
        <f>Dbase_velden_versie4_2!I216</f>
        <v>SD</v>
      </c>
      <c r="J220" t="str">
        <f>Dbase_velden_versie4_2!J216</f>
        <v>Samendrukkingsproef</v>
      </c>
      <c r="K220">
        <v>216</v>
      </c>
      <c r="L220" t="str">
        <v>SD_BJERRUM_CALPHA_TRAP8</v>
      </c>
      <c r="M220" t="str">
        <v>-</v>
      </c>
      <c r="N220" t="str">
        <v>Samendrukkingsparameter volgens Bjerrum, Calpha trap 8</v>
      </c>
      <c r="O220" t="str">
        <v>Double</v>
      </c>
      <c r="P220">
        <v>0</v>
      </c>
      <c r="Q220" t="str">
        <v>SD BJERRUM CALPHA TRAP8</v>
      </c>
      <c r="R220" t="str">
        <v>[-]</v>
      </c>
      <c r="S220" t="str">
        <f t="shared" si="57"/>
        <v>OK</v>
      </c>
      <c r="T220" t="str">
        <f t="shared" si="51"/>
        <v>OK</v>
      </c>
      <c r="U220" t="str">
        <f t="shared" si="52"/>
        <v>OK</v>
      </c>
      <c r="V220" t="str">
        <f t="shared" si="53"/>
        <v>OK</v>
      </c>
      <c r="W220" t="str">
        <f t="shared" si="54"/>
        <v>OK</v>
      </c>
      <c r="X220" t="str">
        <f t="shared" si="55"/>
        <v>OK</v>
      </c>
      <c r="Y220" t="str">
        <f t="shared" si="56"/>
        <v>OK</v>
      </c>
      <c r="Z220">
        <v>215</v>
      </c>
      <c r="AA220">
        <v>217</v>
      </c>
      <c r="AB220" t="s">
        <v>2462</v>
      </c>
      <c r="AC220" t="s">
        <v>216</v>
      </c>
      <c r="AD220" t="s">
        <v>463</v>
      </c>
      <c r="AE220" t="s">
        <v>683</v>
      </c>
      <c r="AG220" t="s">
        <v>897</v>
      </c>
      <c r="AI220" t="s">
        <v>2502</v>
      </c>
      <c r="AJ220" t="s">
        <v>1395</v>
      </c>
      <c r="AK220" t="s">
        <v>2462</v>
      </c>
      <c r="AL220" t="s">
        <v>2463</v>
      </c>
      <c r="AN220" t="str">
        <f t="shared" si="58"/>
        <v>OK</v>
      </c>
      <c r="AO220" t="str">
        <f t="shared" si="59"/>
        <v>OK</v>
      </c>
      <c r="AP220" t="str">
        <f t="shared" si="60"/>
        <v>OK</v>
      </c>
      <c r="AR220" t="str">
        <f t="shared" si="61"/>
        <v>OK</v>
      </c>
      <c r="AS220" t="str">
        <f t="shared" si="62"/>
        <v>OK</v>
      </c>
      <c r="AT220" t="str">
        <f t="shared" si="63"/>
        <v>NOK</v>
      </c>
      <c r="AU220" t="str">
        <f t="shared" si="64"/>
        <v>OK</v>
      </c>
      <c r="AV220" t="str">
        <f t="shared" si="65"/>
        <v>OK</v>
      </c>
      <c r="AW220" t="str">
        <f t="shared" si="66"/>
        <v>OK</v>
      </c>
    </row>
    <row r="221" spans="1:49">
      <c r="A221">
        <f>Dbase_velden_versie4_2!A217</f>
        <v>217</v>
      </c>
      <c r="B221" t="str">
        <f>Dbase_velden_versie4_2!B217</f>
        <v>SD_BJERRUM_CALPHA_TRAP9</v>
      </c>
      <c r="C221" t="str">
        <f>Dbase_velden_versie4_2!C217</f>
        <v>-</v>
      </c>
      <c r="D221" t="str">
        <f>Dbase_velden_versie4_2!D217</f>
        <v>Samendrukkingsparameter volgens Bjerrum, Calpha trap 9</v>
      </c>
      <c r="E221" t="str">
        <f>Dbase_velden_versie4_2!E217</f>
        <v>Double</v>
      </c>
      <c r="F221">
        <f>Dbase_velden_versie4_2!F217</f>
        <v>0</v>
      </c>
      <c r="G221" t="str">
        <f>Dbase_velden_versie4_2!G217</f>
        <v>SD BJERRUM CALPHA TRAP9</v>
      </c>
      <c r="H221" t="str">
        <f>Dbase_velden_versie4_2!H217</f>
        <v>[-]</v>
      </c>
      <c r="I221" t="str">
        <f>Dbase_velden_versie4_2!I217</f>
        <v>SD</v>
      </c>
      <c r="J221" t="str">
        <f>Dbase_velden_versie4_2!J217</f>
        <v>Samendrukkingsproef</v>
      </c>
      <c r="K221">
        <v>217</v>
      </c>
      <c r="L221" t="str">
        <v>SD_BJERRUM_CALPHA_TRAP9</v>
      </c>
      <c r="M221" t="str">
        <v>-</v>
      </c>
      <c r="N221" t="str">
        <v>Samendrukkingsparameter volgens Bjerrum, Calpha trap 9</v>
      </c>
      <c r="O221" t="str">
        <v>Double</v>
      </c>
      <c r="P221">
        <v>0</v>
      </c>
      <c r="Q221" t="str">
        <v>SD BJERRUM CALPHA TRAP9</v>
      </c>
      <c r="R221" t="str">
        <v>[-]</v>
      </c>
      <c r="S221" t="str">
        <f t="shared" si="57"/>
        <v>OK</v>
      </c>
      <c r="T221" t="str">
        <f t="shared" si="51"/>
        <v>OK</v>
      </c>
      <c r="U221" t="str">
        <f t="shared" si="52"/>
        <v>OK</v>
      </c>
      <c r="V221" t="str">
        <f t="shared" si="53"/>
        <v>OK</v>
      </c>
      <c r="W221" t="str">
        <f t="shared" si="54"/>
        <v>OK</v>
      </c>
      <c r="X221" t="str">
        <f t="shared" si="55"/>
        <v>OK</v>
      </c>
      <c r="Y221" t="str">
        <f t="shared" si="56"/>
        <v>OK</v>
      </c>
      <c r="Z221">
        <v>216</v>
      </c>
      <c r="AA221">
        <v>218</v>
      </c>
      <c r="AB221" t="s">
        <v>2462</v>
      </c>
      <c r="AC221" t="s">
        <v>217</v>
      </c>
      <c r="AD221" t="s">
        <v>463</v>
      </c>
      <c r="AE221" t="s">
        <v>684</v>
      </c>
      <c r="AG221" t="s">
        <v>897</v>
      </c>
      <c r="AI221" t="s">
        <v>2503</v>
      </c>
      <c r="AJ221" t="s">
        <v>1395</v>
      </c>
      <c r="AK221" t="s">
        <v>2462</v>
      </c>
      <c r="AL221" t="s">
        <v>2463</v>
      </c>
      <c r="AN221" t="str">
        <f t="shared" si="58"/>
        <v>OK</v>
      </c>
      <c r="AO221" t="str">
        <f t="shared" si="59"/>
        <v>OK</v>
      </c>
      <c r="AP221" t="str">
        <f t="shared" si="60"/>
        <v>OK</v>
      </c>
      <c r="AR221" t="str">
        <f t="shared" si="61"/>
        <v>OK</v>
      </c>
      <c r="AS221" t="str">
        <f t="shared" si="62"/>
        <v>OK</v>
      </c>
      <c r="AT221" t="str">
        <f t="shared" si="63"/>
        <v>NOK</v>
      </c>
      <c r="AU221" t="str">
        <f t="shared" si="64"/>
        <v>OK</v>
      </c>
      <c r="AV221" t="str">
        <f t="shared" si="65"/>
        <v>OK</v>
      </c>
      <c r="AW221" t="str">
        <f t="shared" si="66"/>
        <v>OK</v>
      </c>
    </row>
    <row r="222" spans="1:49">
      <c r="A222">
        <f>Dbase_velden_versie4_2!A218</f>
        <v>218</v>
      </c>
      <c r="B222" t="str">
        <f>Dbase_velden_versie4_2!B218</f>
        <v>SD_BJERRUM_CALPHA_TRAP10</v>
      </c>
      <c r="C222" t="str">
        <f>Dbase_velden_versie4_2!C218</f>
        <v>-</v>
      </c>
      <c r="D222" t="str">
        <f>Dbase_velden_versie4_2!D218</f>
        <v>Samendrukkingsparameter volgens Bjerrum, Calpha trap 10</v>
      </c>
      <c r="E222" t="str">
        <f>Dbase_velden_versie4_2!E218</f>
        <v>Double</v>
      </c>
      <c r="F222">
        <f>Dbase_velden_versie4_2!F218</f>
        <v>0</v>
      </c>
      <c r="G222" t="str">
        <f>Dbase_velden_versie4_2!G218</f>
        <v>SD BJERRUM CALPHA TRAP10</v>
      </c>
      <c r="H222" t="str">
        <f>Dbase_velden_versie4_2!H218</f>
        <v>[-]</v>
      </c>
      <c r="I222" t="str">
        <f>Dbase_velden_versie4_2!I218</f>
        <v>SD</v>
      </c>
      <c r="J222" t="str">
        <f>Dbase_velden_versie4_2!J218</f>
        <v>Samendrukkingsproef</v>
      </c>
      <c r="K222">
        <v>218</v>
      </c>
      <c r="L222" t="str">
        <v>SD_BJERRUM_CALPHA_TRAP10</v>
      </c>
      <c r="M222" t="str">
        <v>-</v>
      </c>
      <c r="N222" t="str">
        <v>Samendrukkingsparameter volgens Bjerrum, Calpha trap 10</v>
      </c>
      <c r="O222" t="str">
        <v>Double</v>
      </c>
      <c r="P222">
        <v>0</v>
      </c>
      <c r="Q222" t="str">
        <v>SD BJERRUM CALPHA TRAP10</v>
      </c>
      <c r="R222" t="str">
        <v>[-]</v>
      </c>
      <c r="S222" t="str">
        <f t="shared" si="57"/>
        <v>OK</v>
      </c>
      <c r="T222" t="str">
        <f t="shared" si="51"/>
        <v>OK</v>
      </c>
      <c r="U222" t="str">
        <f t="shared" si="52"/>
        <v>OK</v>
      </c>
      <c r="V222" t="str">
        <f t="shared" si="53"/>
        <v>OK</v>
      </c>
      <c r="W222" t="str">
        <f t="shared" si="54"/>
        <v>OK</v>
      </c>
      <c r="X222" t="str">
        <f t="shared" si="55"/>
        <v>OK</v>
      </c>
      <c r="Y222" t="str">
        <f t="shared" si="56"/>
        <v>OK</v>
      </c>
      <c r="Z222">
        <v>217</v>
      </c>
      <c r="AA222">
        <v>219</v>
      </c>
      <c r="AB222" t="s">
        <v>2462</v>
      </c>
      <c r="AC222" t="s">
        <v>218</v>
      </c>
      <c r="AD222" t="s">
        <v>463</v>
      </c>
      <c r="AE222" t="s">
        <v>685</v>
      </c>
      <c r="AG222" t="s">
        <v>897</v>
      </c>
      <c r="AI222" t="s">
        <v>2504</v>
      </c>
      <c r="AJ222" t="s">
        <v>1395</v>
      </c>
      <c r="AK222" t="s">
        <v>2462</v>
      </c>
      <c r="AL222" t="s">
        <v>2463</v>
      </c>
      <c r="AN222" t="str">
        <f t="shared" si="58"/>
        <v>OK</v>
      </c>
      <c r="AO222" t="str">
        <f t="shared" si="59"/>
        <v>OK</v>
      </c>
      <c r="AP222" t="str">
        <f t="shared" si="60"/>
        <v>OK</v>
      </c>
      <c r="AR222" t="str">
        <f t="shared" si="61"/>
        <v>OK</v>
      </c>
      <c r="AS222" t="str">
        <f t="shared" si="62"/>
        <v>OK</v>
      </c>
      <c r="AT222" t="str">
        <f t="shared" si="63"/>
        <v>NOK</v>
      </c>
      <c r="AU222" t="str">
        <f t="shared" si="64"/>
        <v>OK</v>
      </c>
      <c r="AV222" t="str">
        <f t="shared" si="65"/>
        <v>OK</v>
      </c>
      <c r="AW222" t="str">
        <f t="shared" si="66"/>
        <v>OK</v>
      </c>
    </row>
    <row r="223" spans="1:49">
      <c r="A223">
        <f>Dbase_velden_versie4_2!A219</f>
        <v>219</v>
      </c>
      <c r="B223" t="str">
        <f>Dbase_velden_versie4_2!B219</f>
        <v>SD_BJERRUM_V0</v>
      </c>
      <c r="C223" t="str">
        <f>Dbase_velden_versie4_2!C219</f>
        <v>-</v>
      </c>
      <c r="D223" t="str">
        <f>Dbase_velden_versie4_2!D219</f>
        <v>NEN Bjerrum Vo</v>
      </c>
      <c r="E223" t="str">
        <f>Dbase_velden_versie4_2!E219</f>
        <v>Double</v>
      </c>
      <c r="F223">
        <f>Dbase_velden_versie4_2!F219</f>
        <v>0</v>
      </c>
      <c r="G223" t="str">
        <f>Dbase_velden_versie4_2!G219</f>
        <v>SD BJERRUM V0</v>
      </c>
      <c r="H223" t="str">
        <f>Dbase_velden_versie4_2!H219</f>
        <v>[-]</v>
      </c>
      <c r="I223" t="str">
        <f>Dbase_velden_versie4_2!I219</f>
        <v>SD</v>
      </c>
      <c r="J223" t="str">
        <f>Dbase_velden_versie4_2!J219</f>
        <v>Samendrukkingsproef</v>
      </c>
      <c r="K223">
        <v>219</v>
      </c>
      <c r="L223" t="str">
        <v>SD_BJERRUM_V0</v>
      </c>
      <c r="M223" t="str">
        <v>-</v>
      </c>
      <c r="N223" t="str">
        <v>NEN Bjerrum Vo</v>
      </c>
      <c r="O223" t="str">
        <v>Double</v>
      </c>
      <c r="P223">
        <v>0</v>
      </c>
      <c r="Q223" t="str">
        <v>SD BJERRUM V0</v>
      </c>
      <c r="R223" t="str">
        <v>[-]</v>
      </c>
      <c r="S223" t="str">
        <f t="shared" si="57"/>
        <v>OK</v>
      </c>
      <c r="T223" t="str">
        <f t="shared" si="51"/>
        <v>OK</v>
      </c>
      <c r="U223" t="str">
        <f t="shared" si="52"/>
        <v>OK</v>
      </c>
      <c r="V223" t="str">
        <f t="shared" si="53"/>
        <v>OK</v>
      </c>
      <c r="W223" t="str">
        <f t="shared" si="54"/>
        <v>OK</v>
      </c>
      <c r="X223" t="str">
        <f t="shared" si="55"/>
        <v>OK</v>
      </c>
      <c r="Y223" t="str">
        <f t="shared" si="56"/>
        <v>OK</v>
      </c>
      <c r="Z223">
        <v>218</v>
      </c>
      <c r="AA223">
        <v>220</v>
      </c>
      <c r="AB223" t="s">
        <v>2462</v>
      </c>
      <c r="AC223" t="s">
        <v>219</v>
      </c>
      <c r="AD223" t="s">
        <v>463</v>
      </c>
      <c r="AE223" t="s">
        <v>686</v>
      </c>
      <c r="AG223" t="s">
        <v>897</v>
      </c>
      <c r="AI223" t="s">
        <v>2505</v>
      </c>
      <c r="AJ223" t="s">
        <v>1395</v>
      </c>
      <c r="AK223" t="s">
        <v>2462</v>
      </c>
      <c r="AL223" t="s">
        <v>2463</v>
      </c>
      <c r="AN223" t="str">
        <f t="shared" si="58"/>
        <v>OK</v>
      </c>
      <c r="AO223" t="str">
        <f t="shared" si="59"/>
        <v>OK</v>
      </c>
      <c r="AP223" t="str">
        <f t="shared" si="60"/>
        <v>OK</v>
      </c>
      <c r="AR223" t="str">
        <f t="shared" si="61"/>
        <v>OK</v>
      </c>
      <c r="AS223" t="str">
        <f t="shared" si="62"/>
        <v>OK</v>
      </c>
      <c r="AT223" t="str">
        <f t="shared" si="63"/>
        <v>NOK</v>
      </c>
      <c r="AU223" t="str">
        <f t="shared" si="64"/>
        <v>OK</v>
      </c>
      <c r="AV223" t="str">
        <f t="shared" si="65"/>
        <v>OK</v>
      </c>
      <c r="AW223" t="str">
        <f t="shared" si="66"/>
        <v>OK</v>
      </c>
    </row>
    <row r="224" spans="1:49">
      <c r="A224">
        <f>Dbase_velden_versie4_2!A220</f>
        <v>220</v>
      </c>
      <c r="B224" t="str">
        <f>Dbase_velden_versie4_2!B220</f>
        <v>SD_KOPPEJAN_GRENSSPANNING</v>
      </c>
      <c r="C224" t="str">
        <f>Dbase_velden_versie4_2!C220</f>
        <v>kPa</v>
      </c>
      <c r="D224" t="str">
        <f>Dbase_velden_versie4_2!D220</f>
        <v>Samendrukkingsparameter volgens Koppejan, grensspanning</v>
      </c>
      <c r="E224" t="str">
        <f>Dbase_velden_versie4_2!E220</f>
        <v>Double</v>
      </c>
      <c r="F224">
        <f>Dbase_velden_versie4_2!F220</f>
        <v>0</v>
      </c>
      <c r="G224" t="str">
        <f>Dbase_velden_versie4_2!G220</f>
        <v>SD KOPPEJAN GRENSSPANNING</v>
      </c>
      <c r="H224" t="str">
        <f>Dbase_velden_versie4_2!H220</f>
        <v>[kPa]</v>
      </c>
      <c r="I224" t="str">
        <f>Dbase_velden_versie4_2!I220</f>
        <v>SD</v>
      </c>
      <c r="J224" t="str">
        <f>Dbase_velden_versie4_2!J220</f>
        <v>Samendrukkingsproef</v>
      </c>
      <c r="K224">
        <v>220</v>
      </c>
      <c r="L224" t="str">
        <v>SD_KOPPEJAN_GRENSSPANNING</v>
      </c>
      <c r="M224" t="str">
        <v>kPa</v>
      </c>
      <c r="N224" t="str">
        <v>Samendrukkingsparameter volgens Koppejan, grensspanning</v>
      </c>
      <c r="O224" t="str">
        <v>Double</v>
      </c>
      <c r="P224">
        <v>0</v>
      </c>
      <c r="Q224" t="str">
        <v>SD KOPPEJAN GRENSSPANNING</v>
      </c>
      <c r="R224" t="str">
        <v>[kPa]</v>
      </c>
      <c r="S224" t="str">
        <f t="shared" si="57"/>
        <v>OK</v>
      </c>
      <c r="T224" t="str">
        <f t="shared" si="51"/>
        <v>OK</v>
      </c>
      <c r="U224" t="str">
        <f t="shared" si="52"/>
        <v>OK</v>
      </c>
      <c r="V224" t="str">
        <f t="shared" si="53"/>
        <v>OK</v>
      </c>
      <c r="W224" t="str">
        <f t="shared" si="54"/>
        <v>OK</v>
      </c>
      <c r="X224" t="str">
        <f t="shared" si="55"/>
        <v>OK</v>
      </c>
      <c r="Y224" t="str">
        <f t="shared" si="56"/>
        <v>OK</v>
      </c>
      <c r="Z224">
        <v>219</v>
      </c>
      <c r="AA224">
        <v>221</v>
      </c>
      <c r="AB224" t="s">
        <v>2462</v>
      </c>
      <c r="AC224" t="s">
        <v>220</v>
      </c>
      <c r="AD224" t="s">
        <v>470</v>
      </c>
      <c r="AE224" t="s">
        <v>687</v>
      </c>
      <c r="AG224" t="s">
        <v>897</v>
      </c>
      <c r="AI224" t="s">
        <v>2506</v>
      </c>
      <c r="AJ224" t="s">
        <v>1402</v>
      </c>
      <c r="AK224" t="s">
        <v>2462</v>
      </c>
      <c r="AL224" t="s">
        <v>2463</v>
      </c>
      <c r="AN224" t="str">
        <f t="shared" si="58"/>
        <v>OK</v>
      </c>
      <c r="AO224" t="str">
        <f t="shared" si="59"/>
        <v>OK</v>
      </c>
      <c r="AP224" t="str">
        <f t="shared" si="60"/>
        <v>OK</v>
      </c>
      <c r="AR224" t="str">
        <f t="shared" si="61"/>
        <v>OK</v>
      </c>
      <c r="AS224" t="str">
        <f t="shared" si="62"/>
        <v>OK</v>
      </c>
      <c r="AT224" t="str">
        <f t="shared" si="63"/>
        <v>NOK</v>
      </c>
      <c r="AU224" t="str">
        <f t="shared" si="64"/>
        <v>OK</v>
      </c>
      <c r="AV224" t="str">
        <f t="shared" si="65"/>
        <v>OK</v>
      </c>
      <c r="AW224" t="str">
        <f t="shared" si="66"/>
        <v>OK</v>
      </c>
    </row>
    <row r="225" spans="1:49">
      <c r="A225">
        <f>Dbase_velden_versie4_2!A221</f>
        <v>221</v>
      </c>
      <c r="B225" t="str">
        <f>Dbase_velden_versie4_2!B221</f>
        <v>SD_KOPPEJAN_REK_BIJ_GRENSSPANNING</v>
      </c>
      <c r="C225" t="str">
        <f>Dbase_velden_versie4_2!C221</f>
        <v>%</v>
      </c>
      <c r="D225" t="str">
        <f>Dbase_velden_versie4_2!D221</f>
        <v>Samendrukkingsparameter volgens Koppejan, rek bij de grensspanning</v>
      </c>
      <c r="E225" t="str">
        <f>Dbase_velden_versie4_2!E221</f>
        <v>Double</v>
      </c>
      <c r="F225" t="str">
        <f>Dbase_velden_versie4_2!F221</f>
        <v>0% - 100%</v>
      </c>
      <c r="G225" t="str">
        <f>Dbase_velden_versie4_2!G221</f>
        <v>SD KOPPEJAN REK BIJ GRENSSPANNING</v>
      </c>
      <c r="H225" t="str">
        <f>Dbase_velden_versie4_2!H221</f>
        <v>[%]</v>
      </c>
      <c r="I225" t="str">
        <f>Dbase_velden_versie4_2!I221</f>
        <v>SD</v>
      </c>
      <c r="J225" t="str">
        <f>Dbase_velden_versie4_2!J221</f>
        <v>Samendrukkingsproef</v>
      </c>
      <c r="K225">
        <v>221</v>
      </c>
      <c r="L225" t="str">
        <v>SD_KOPPEJAN_REK_BIJ_GRENSSPANNING</v>
      </c>
      <c r="M225" t="str">
        <v>%</v>
      </c>
      <c r="N225" t="str">
        <v>Samendrukkingsparameter volgens Koppejan, rek bij de grensspanning</v>
      </c>
      <c r="O225" t="str">
        <v>Double</v>
      </c>
      <c r="P225" t="str">
        <v>0% - 100%</v>
      </c>
      <c r="Q225" t="str">
        <v>SD KOPPEJAN REK BIJ GRENSSPANNING</v>
      </c>
      <c r="R225" t="str">
        <v>[%]</v>
      </c>
      <c r="S225" t="str">
        <f t="shared" si="57"/>
        <v>OK</v>
      </c>
      <c r="T225" t="str">
        <f t="shared" si="51"/>
        <v>OK</v>
      </c>
      <c r="U225" t="str">
        <f t="shared" si="52"/>
        <v>OK</v>
      </c>
      <c r="V225" t="str">
        <f t="shared" si="53"/>
        <v>OK</v>
      </c>
      <c r="W225" t="str">
        <f t="shared" si="54"/>
        <v>OK</v>
      </c>
      <c r="X225" t="str">
        <f t="shared" si="55"/>
        <v>OK</v>
      </c>
      <c r="Y225" t="str">
        <f t="shared" si="56"/>
        <v>OK</v>
      </c>
      <c r="Z225">
        <v>220</v>
      </c>
      <c r="AA225">
        <v>222</v>
      </c>
      <c r="AB225" t="s">
        <v>2462</v>
      </c>
      <c r="AC225" t="s">
        <v>221</v>
      </c>
      <c r="AD225" t="s">
        <v>468</v>
      </c>
      <c r="AE225" t="s">
        <v>688</v>
      </c>
      <c r="AG225" t="s">
        <v>897</v>
      </c>
      <c r="AH225" t="s">
        <v>911</v>
      </c>
      <c r="AI225" t="s">
        <v>2507</v>
      </c>
      <c r="AJ225" t="s">
        <v>1400</v>
      </c>
      <c r="AK225" t="s">
        <v>2462</v>
      </c>
      <c r="AL225" t="s">
        <v>2463</v>
      </c>
      <c r="AN225" t="str">
        <f t="shared" si="58"/>
        <v>OK</v>
      </c>
      <c r="AO225" t="str">
        <f t="shared" si="59"/>
        <v>OK</v>
      </c>
      <c r="AP225" t="str">
        <f t="shared" si="60"/>
        <v>OK</v>
      </c>
      <c r="AR225" t="str">
        <f t="shared" si="61"/>
        <v>OK</v>
      </c>
      <c r="AS225" t="str">
        <f t="shared" si="62"/>
        <v>OK</v>
      </c>
      <c r="AT225" t="str">
        <f t="shared" si="63"/>
        <v>NOK</v>
      </c>
      <c r="AU225" t="str">
        <f t="shared" si="64"/>
        <v>OK</v>
      </c>
      <c r="AV225" t="str">
        <f t="shared" si="65"/>
        <v>OK</v>
      </c>
      <c r="AW225" t="str">
        <f t="shared" si="66"/>
        <v>OK</v>
      </c>
    </row>
    <row r="226" spans="1:49">
      <c r="A226">
        <f>Dbase_velden_versie4_2!A222</f>
        <v>222</v>
      </c>
      <c r="B226" t="str">
        <f>Dbase_velden_versie4_2!B222</f>
        <v>SD_KOPPEJAN_C</v>
      </c>
      <c r="C226" t="str">
        <f>Dbase_velden_versie4_2!C222</f>
        <v>-</v>
      </c>
      <c r="D226" t="str">
        <f>Dbase_velden_versie4_2!D222</f>
        <v>Samendrukkingsparameter volgens Koppejan, C waarde conform NEN5118</v>
      </c>
      <c r="E226" t="str">
        <f>Dbase_velden_versie4_2!E222</f>
        <v>Double</v>
      </c>
      <c r="F226">
        <f>Dbase_velden_versie4_2!F222</f>
        <v>0</v>
      </c>
      <c r="G226" t="str">
        <f>Dbase_velden_versie4_2!G222</f>
        <v>SD KOPPEJAN C</v>
      </c>
      <c r="H226" t="str">
        <f>Dbase_velden_versie4_2!H222</f>
        <v>[-]</v>
      </c>
      <c r="I226" t="str">
        <f>Dbase_velden_versie4_2!I222</f>
        <v>SD</v>
      </c>
      <c r="J226" t="str">
        <f>Dbase_velden_versie4_2!J222</f>
        <v>Samendrukkingsproef</v>
      </c>
      <c r="K226">
        <v>222</v>
      </c>
      <c r="L226" t="str">
        <v>SD_KOPPEJAN_C</v>
      </c>
      <c r="M226" t="str">
        <v>-</v>
      </c>
      <c r="N226" t="str">
        <v>Samendrukkingsparameter volgens Koppejan, C waarde conform NEN5118</v>
      </c>
      <c r="O226" t="str">
        <v>Double</v>
      </c>
      <c r="P226">
        <v>0</v>
      </c>
      <c r="Q226" t="str">
        <v>SD KOPPEJAN C</v>
      </c>
      <c r="R226" t="str">
        <v>[-]</v>
      </c>
      <c r="S226" t="str">
        <f t="shared" si="57"/>
        <v>OK</v>
      </c>
      <c r="T226" t="str">
        <f t="shared" si="51"/>
        <v>OK</v>
      </c>
      <c r="U226" t="str">
        <f t="shared" si="52"/>
        <v>OK</v>
      </c>
      <c r="V226" t="str">
        <f t="shared" si="53"/>
        <v>OK</v>
      </c>
      <c r="W226" t="str">
        <f t="shared" si="54"/>
        <v>OK</v>
      </c>
      <c r="X226" t="str">
        <f t="shared" si="55"/>
        <v>OK</v>
      </c>
      <c r="Y226" t="str">
        <f t="shared" si="56"/>
        <v>OK</v>
      </c>
      <c r="Z226">
        <v>221</v>
      </c>
      <c r="AA226">
        <v>223</v>
      </c>
      <c r="AB226" t="s">
        <v>2462</v>
      </c>
      <c r="AC226" t="s">
        <v>222</v>
      </c>
      <c r="AD226" t="s">
        <v>463</v>
      </c>
      <c r="AE226" t="s">
        <v>689</v>
      </c>
      <c r="AG226" t="s">
        <v>897</v>
      </c>
      <c r="AI226" t="s">
        <v>2508</v>
      </c>
      <c r="AJ226" t="s">
        <v>1395</v>
      </c>
      <c r="AK226" t="s">
        <v>2462</v>
      </c>
      <c r="AL226" t="s">
        <v>2463</v>
      </c>
      <c r="AN226" t="str">
        <f t="shared" si="58"/>
        <v>OK</v>
      </c>
      <c r="AO226" t="str">
        <f t="shared" si="59"/>
        <v>OK</v>
      </c>
      <c r="AP226" t="str">
        <f t="shared" si="60"/>
        <v>OK</v>
      </c>
      <c r="AR226" t="str">
        <f t="shared" si="61"/>
        <v>OK</v>
      </c>
      <c r="AS226" t="str">
        <f t="shared" si="62"/>
        <v>OK</v>
      </c>
      <c r="AT226" t="str">
        <f t="shared" si="63"/>
        <v>NOK</v>
      </c>
      <c r="AU226" t="str">
        <f t="shared" si="64"/>
        <v>OK</v>
      </c>
      <c r="AV226" t="str">
        <f t="shared" si="65"/>
        <v>OK</v>
      </c>
      <c r="AW226" t="str">
        <f t="shared" si="66"/>
        <v>OK</v>
      </c>
    </row>
    <row r="227" spans="1:49">
      <c r="A227">
        <f>Dbase_velden_versie4_2!A223</f>
        <v>223</v>
      </c>
      <c r="B227" t="str">
        <f>Dbase_velden_versie4_2!B223</f>
        <v>SD_KOPPEJAN_C'</v>
      </c>
      <c r="C227" t="str">
        <f>Dbase_velden_versie4_2!C223</f>
        <v>-</v>
      </c>
      <c r="D227" t="str">
        <f>Dbase_velden_versie4_2!D223</f>
        <v>Samendrukkingsparameter volgens Koppejan, C' waarde conform NEN5118</v>
      </c>
      <c r="E227" t="str">
        <f>Dbase_velden_versie4_2!E223</f>
        <v>Double</v>
      </c>
      <c r="F227">
        <f>Dbase_velden_versie4_2!F223</f>
        <v>0</v>
      </c>
      <c r="G227" t="str">
        <f>Dbase_velden_versie4_2!G223</f>
        <v>SD KOPPEJAN C'</v>
      </c>
      <c r="H227" t="str">
        <f>Dbase_velden_versie4_2!H223</f>
        <v>[-]</v>
      </c>
      <c r="I227" t="str">
        <f>Dbase_velden_versie4_2!I223</f>
        <v>SD</v>
      </c>
      <c r="J227" t="str">
        <f>Dbase_velden_versie4_2!J223</f>
        <v>Samendrukkingsproef</v>
      </c>
      <c r="K227">
        <v>223</v>
      </c>
      <c r="L227" t="str">
        <v>SD_KOPPEJAN_C'</v>
      </c>
      <c r="M227" t="str">
        <v>-</v>
      </c>
      <c r="N227" t="str">
        <v>Samendrukkingsparameter volgens Koppejan, C' waarde conform NEN5118</v>
      </c>
      <c r="O227" t="str">
        <v>Double</v>
      </c>
      <c r="P227">
        <v>0</v>
      </c>
      <c r="Q227" t="str">
        <v>SD KOPPEJAN C'</v>
      </c>
      <c r="R227" t="str">
        <v>[-]</v>
      </c>
      <c r="S227" t="str">
        <f t="shared" si="57"/>
        <v>OK</v>
      </c>
      <c r="T227" t="str">
        <f t="shared" si="51"/>
        <v>OK</v>
      </c>
      <c r="U227" t="str">
        <f t="shared" si="52"/>
        <v>OK</v>
      </c>
      <c r="V227" t="str">
        <f t="shared" si="53"/>
        <v>OK</v>
      </c>
      <c r="W227" t="str">
        <f t="shared" si="54"/>
        <v>OK</v>
      </c>
      <c r="X227" t="str">
        <f t="shared" si="55"/>
        <v>OK</v>
      </c>
      <c r="Y227" t="str">
        <f t="shared" si="56"/>
        <v>OK</v>
      </c>
      <c r="Z227">
        <v>222</v>
      </c>
      <c r="AA227">
        <v>224</v>
      </c>
      <c r="AB227" t="s">
        <v>2462</v>
      </c>
      <c r="AC227" t="s">
        <v>223</v>
      </c>
      <c r="AD227" t="s">
        <v>463</v>
      </c>
      <c r="AE227" t="s">
        <v>690</v>
      </c>
      <c r="AG227" t="s">
        <v>897</v>
      </c>
      <c r="AI227" t="s">
        <v>2509</v>
      </c>
      <c r="AJ227" t="s">
        <v>1395</v>
      </c>
      <c r="AK227" t="s">
        <v>2462</v>
      </c>
      <c r="AL227" t="s">
        <v>2463</v>
      </c>
      <c r="AN227" t="str">
        <f t="shared" si="58"/>
        <v>OK</v>
      </c>
      <c r="AO227" t="str">
        <f t="shared" si="59"/>
        <v>OK</v>
      </c>
      <c r="AP227" t="str">
        <f t="shared" si="60"/>
        <v>OK</v>
      </c>
      <c r="AR227" t="str">
        <f t="shared" si="61"/>
        <v>OK</v>
      </c>
      <c r="AS227" t="str">
        <f t="shared" si="62"/>
        <v>OK</v>
      </c>
      <c r="AT227" t="str">
        <f t="shared" si="63"/>
        <v>NOK</v>
      </c>
      <c r="AU227" t="str">
        <f t="shared" si="64"/>
        <v>OK</v>
      </c>
      <c r="AV227" t="str">
        <f t="shared" si="65"/>
        <v>OK</v>
      </c>
      <c r="AW227" t="str">
        <f t="shared" si="66"/>
        <v>OK</v>
      </c>
    </row>
    <row r="228" spans="1:49">
      <c r="A228">
        <f>Dbase_velden_versie4_2!A224</f>
        <v>224</v>
      </c>
      <c r="B228" t="str">
        <f>Dbase_velden_versie4_2!B224</f>
        <v>SD_KOPPEJAN_C_TRAP2_3</v>
      </c>
      <c r="C228" t="str">
        <f>Dbase_velden_versie4_2!C224</f>
        <v>-</v>
      </c>
      <c r="D228" t="str">
        <f>Dbase_velden_versie4_2!D224</f>
        <v>Samendrukkingsparameter volgens Koppejan, C' waarde conform NEN5118, trap 2-3</v>
      </c>
      <c r="E228" t="str">
        <f>Dbase_velden_versie4_2!E224</f>
        <v>Double</v>
      </c>
      <c r="F228">
        <f>Dbase_velden_versie4_2!F224</f>
        <v>0</v>
      </c>
      <c r="G228" t="str">
        <f>Dbase_velden_versie4_2!G224</f>
        <v>SD KOPPEJAN C TRAP2 3</v>
      </c>
      <c r="H228" t="str">
        <f>Dbase_velden_versie4_2!H224</f>
        <v>[-]</v>
      </c>
      <c r="I228" t="str">
        <f>Dbase_velden_versie4_2!I224</f>
        <v>SD</v>
      </c>
      <c r="J228" t="str">
        <f>Dbase_velden_versie4_2!J224</f>
        <v>Samendrukkingsproef</v>
      </c>
      <c r="K228">
        <v>224</v>
      </c>
      <c r="L228" t="str">
        <v>SD_KOPPEJAN_C_TRAP2_3</v>
      </c>
      <c r="M228" t="str">
        <v>-</v>
      </c>
      <c r="N228" t="str">
        <v>Samendrukkingsparameter volgens Koppejan, C' waarde conform NEN5118, trap 2-3</v>
      </c>
      <c r="O228" t="str">
        <v>Double</v>
      </c>
      <c r="P228">
        <v>0</v>
      </c>
      <c r="Q228" t="str">
        <v>SD KOPPEJAN C TRAP2 3</v>
      </c>
      <c r="R228" t="str">
        <v>[-]</v>
      </c>
      <c r="S228" t="str">
        <f t="shared" si="57"/>
        <v>OK</v>
      </c>
      <c r="T228" t="str">
        <f t="shared" si="51"/>
        <v>OK</v>
      </c>
      <c r="U228" t="str">
        <f t="shared" si="52"/>
        <v>OK</v>
      </c>
      <c r="V228" t="str">
        <f t="shared" si="53"/>
        <v>OK</v>
      </c>
      <c r="W228" t="str">
        <f t="shared" si="54"/>
        <v>OK</v>
      </c>
      <c r="X228" t="str">
        <f t="shared" si="55"/>
        <v>OK</v>
      </c>
      <c r="Y228" t="str">
        <f t="shared" si="56"/>
        <v>OK</v>
      </c>
      <c r="Z228">
        <v>223</v>
      </c>
      <c r="AA228">
        <v>225</v>
      </c>
      <c r="AB228" t="s">
        <v>2462</v>
      </c>
      <c r="AC228" t="s">
        <v>224</v>
      </c>
      <c r="AD228" t="s">
        <v>463</v>
      </c>
      <c r="AE228" t="s">
        <v>691</v>
      </c>
      <c r="AG228" t="s">
        <v>897</v>
      </c>
      <c r="AI228" t="s">
        <v>2510</v>
      </c>
      <c r="AJ228" t="s">
        <v>1395</v>
      </c>
      <c r="AK228" t="s">
        <v>2462</v>
      </c>
      <c r="AL228" t="s">
        <v>2463</v>
      </c>
      <c r="AN228" t="str">
        <f t="shared" si="58"/>
        <v>OK</v>
      </c>
      <c r="AO228" t="str">
        <f t="shared" si="59"/>
        <v>OK</v>
      </c>
      <c r="AP228" t="str">
        <f t="shared" si="60"/>
        <v>OK</v>
      </c>
      <c r="AR228" t="str">
        <f t="shared" si="61"/>
        <v>OK</v>
      </c>
      <c r="AS228" t="str">
        <f t="shared" si="62"/>
        <v>OK</v>
      </c>
      <c r="AT228" t="str">
        <f t="shared" si="63"/>
        <v>NOK</v>
      </c>
      <c r="AU228" t="str">
        <f t="shared" si="64"/>
        <v>OK</v>
      </c>
      <c r="AV228" t="str">
        <f t="shared" si="65"/>
        <v>OK</v>
      </c>
      <c r="AW228" t="str">
        <f t="shared" si="66"/>
        <v>OK</v>
      </c>
    </row>
    <row r="229" spans="1:49">
      <c r="A229">
        <f>Dbase_velden_versie4_2!A225</f>
        <v>225</v>
      </c>
      <c r="B229" t="str">
        <f>Dbase_velden_versie4_2!B225</f>
        <v>SD_KOPPEJAN_C_TRAP3_4</v>
      </c>
      <c r="C229" t="str">
        <f>Dbase_velden_versie4_2!C225</f>
        <v>-</v>
      </c>
      <c r="D229" t="str">
        <f>Dbase_velden_versie4_2!D225</f>
        <v>Samendrukkingsparameter volgens Koppejan, C' waarde conform NEN5118, trap 3-4</v>
      </c>
      <c r="E229" t="str">
        <f>Dbase_velden_versie4_2!E225</f>
        <v>Double</v>
      </c>
      <c r="F229">
        <f>Dbase_velden_versie4_2!F225</f>
        <v>0</v>
      </c>
      <c r="G229" t="str">
        <f>Dbase_velden_versie4_2!G225</f>
        <v>SD KOPPEJAN C TRAP3 4</v>
      </c>
      <c r="H229" t="str">
        <f>Dbase_velden_versie4_2!H225</f>
        <v>[-]</v>
      </c>
      <c r="I229" t="str">
        <f>Dbase_velden_versie4_2!I225</f>
        <v>SD</v>
      </c>
      <c r="J229" t="str">
        <f>Dbase_velden_versie4_2!J225</f>
        <v>Samendrukkingsproef</v>
      </c>
      <c r="K229">
        <v>225</v>
      </c>
      <c r="L229" t="str">
        <v>SD_KOPPEJAN_C_TRAP3_4</v>
      </c>
      <c r="M229" t="str">
        <v>-</v>
      </c>
      <c r="N229" t="str">
        <v>Samendrukkingsparameter volgens Koppejan, C' waarde conform NEN5118, trap 3-4</v>
      </c>
      <c r="O229" t="str">
        <v>Double</v>
      </c>
      <c r="P229">
        <v>0</v>
      </c>
      <c r="Q229" t="str">
        <v>SD KOPPEJAN C TRAP3 4</v>
      </c>
      <c r="R229" t="str">
        <v>[-]</v>
      </c>
      <c r="S229" t="str">
        <f t="shared" si="57"/>
        <v>OK</v>
      </c>
      <c r="T229" t="str">
        <f t="shared" si="51"/>
        <v>OK</v>
      </c>
      <c r="U229" t="str">
        <f t="shared" si="52"/>
        <v>OK</v>
      </c>
      <c r="V229" t="str">
        <f t="shared" si="53"/>
        <v>OK</v>
      </c>
      <c r="W229" t="str">
        <f t="shared" si="54"/>
        <v>OK</v>
      </c>
      <c r="X229" t="str">
        <f t="shared" si="55"/>
        <v>OK</v>
      </c>
      <c r="Y229" t="str">
        <f t="shared" si="56"/>
        <v>OK</v>
      </c>
      <c r="Z229">
        <v>224</v>
      </c>
      <c r="AA229">
        <v>226</v>
      </c>
      <c r="AB229" t="s">
        <v>2462</v>
      </c>
      <c r="AC229" t="s">
        <v>225</v>
      </c>
      <c r="AD229" t="s">
        <v>463</v>
      </c>
      <c r="AE229" t="s">
        <v>692</v>
      </c>
      <c r="AG229" t="s">
        <v>897</v>
      </c>
      <c r="AI229" t="s">
        <v>2511</v>
      </c>
      <c r="AJ229" t="s">
        <v>1395</v>
      </c>
      <c r="AK229" t="s">
        <v>2462</v>
      </c>
      <c r="AL229" t="s">
        <v>2463</v>
      </c>
      <c r="AN229" t="str">
        <f t="shared" si="58"/>
        <v>OK</v>
      </c>
      <c r="AO229" t="str">
        <f t="shared" si="59"/>
        <v>OK</v>
      </c>
      <c r="AP229" t="str">
        <f t="shared" si="60"/>
        <v>OK</v>
      </c>
      <c r="AR229" t="str">
        <f t="shared" si="61"/>
        <v>OK</v>
      </c>
      <c r="AS229" t="str">
        <f t="shared" si="62"/>
        <v>OK</v>
      </c>
      <c r="AT229" t="str">
        <f t="shared" si="63"/>
        <v>NOK</v>
      </c>
      <c r="AU229" t="str">
        <f t="shared" si="64"/>
        <v>OK</v>
      </c>
      <c r="AV229" t="str">
        <f t="shared" si="65"/>
        <v>OK</v>
      </c>
      <c r="AW229" t="str">
        <f t="shared" si="66"/>
        <v>OK</v>
      </c>
    </row>
    <row r="230" spans="1:49">
      <c r="A230">
        <f>Dbase_velden_versie4_2!A226</f>
        <v>226</v>
      </c>
      <c r="B230" t="str">
        <f>Dbase_velden_versie4_2!B226</f>
        <v>SD_KOPPEJAN_C_TRAP4_5</v>
      </c>
      <c r="C230" t="str">
        <f>Dbase_velden_versie4_2!C226</f>
        <v>-</v>
      </c>
      <c r="D230" t="str">
        <f>Dbase_velden_versie4_2!D226</f>
        <v>Samendrukkingsparameter volgens Koppejan, C' waarde conform NEN5118, trap 4-5</v>
      </c>
      <c r="E230" t="str">
        <f>Dbase_velden_versie4_2!E226</f>
        <v>Double</v>
      </c>
      <c r="F230">
        <f>Dbase_velden_versie4_2!F226</f>
        <v>0</v>
      </c>
      <c r="G230" t="str">
        <f>Dbase_velden_versie4_2!G226</f>
        <v>SD KOPPEJAN C TRAP4 5</v>
      </c>
      <c r="H230" t="str">
        <f>Dbase_velden_versie4_2!H226</f>
        <v>[-]</v>
      </c>
      <c r="I230" t="str">
        <f>Dbase_velden_versie4_2!I226</f>
        <v>SD</v>
      </c>
      <c r="J230" t="str">
        <f>Dbase_velden_versie4_2!J226</f>
        <v>Samendrukkingsproef</v>
      </c>
      <c r="K230">
        <v>226</v>
      </c>
      <c r="L230" t="str">
        <v>SD_KOPPEJAN_C_TRAP4_5</v>
      </c>
      <c r="M230" t="str">
        <v>-</v>
      </c>
      <c r="N230" t="str">
        <v>Samendrukkingsparameter volgens Koppejan, C' waarde conform NEN5118, trap 4-5</v>
      </c>
      <c r="O230" t="str">
        <v>Double</v>
      </c>
      <c r="P230">
        <v>0</v>
      </c>
      <c r="Q230" t="str">
        <v>SD KOPPEJAN C TRAP4 5</v>
      </c>
      <c r="R230" t="str">
        <v>[-]</v>
      </c>
      <c r="S230" t="str">
        <f t="shared" si="57"/>
        <v>OK</v>
      </c>
      <c r="T230" t="str">
        <f t="shared" si="51"/>
        <v>OK</v>
      </c>
      <c r="U230" t="str">
        <f t="shared" si="52"/>
        <v>OK</v>
      </c>
      <c r="V230" t="str">
        <f t="shared" si="53"/>
        <v>OK</v>
      </c>
      <c r="W230" t="str">
        <f t="shared" si="54"/>
        <v>OK</v>
      </c>
      <c r="X230" t="str">
        <f t="shared" si="55"/>
        <v>OK</v>
      </c>
      <c r="Y230" t="str">
        <f t="shared" si="56"/>
        <v>OK</v>
      </c>
      <c r="Z230">
        <v>225</v>
      </c>
      <c r="AA230">
        <v>227</v>
      </c>
      <c r="AB230" t="s">
        <v>2462</v>
      </c>
      <c r="AC230" t="s">
        <v>226</v>
      </c>
      <c r="AD230" t="s">
        <v>463</v>
      </c>
      <c r="AE230" t="s">
        <v>693</v>
      </c>
      <c r="AG230" t="s">
        <v>897</v>
      </c>
      <c r="AI230" t="s">
        <v>2512</v>
      </c>
      <c r="AJ230" t="s">
        <v>1395</v>
      </c>
      <c r="AK230" t="s">
        <v>2462</v>
      </c>
      <c r="AL230" t="s">
        <v>2463</v>
      </c>
      <c r="AN230" t="str">
        <f t="shared" si="58"/>
        <v>OK</v>
      </c>
      <c r="AO230" t="str">
        <f t="shared" si="59"/>
        <v>OK</v>
      </c>
      <c r="AP230" t="str">
        <f t="shared" si="60"/>
        <v>OK</v>
      </c>
      <c r="AR230" t="str">
        <f t="shared" si="61"/>
        <v>OK</v>
      </c>
      <c r="AS230" t="str">
        <f t="shared" si="62"/>
        <v>OK</v>
      </c>
      <c r="AT230" t="str">
        <f t="shared" si="63"/>
        <v>NOK</v>
      </c>
      <c r="AU230" t="str">
        <f t="shared" si="64"/>
        <v>OK</v>
      </c>
      <c r="AV230" t="str">
        <f t="shared" si="65"/>
        <v>OK</v>
      </c>
      <c r="AW230" t="str">
        <f t="shared" si="66"/>
        <v>OK</v>
      </c>
    </row>
    <row r="231" spans="1:49">
      <c r="A231">
        <f>Dbase_velden_versie4_2!A227</f>
        <v>227</v>
      </c>
      <c r="B231" t="str">
        <f>Dbase_velden_versie4_2!B227</f>
        <v>SD_KOPPEJAN_C_TRAP5_6</v>
      </c>
      <c r="C231" t="str">
        <f>Dbase_velden_versie4_2!C227</f>
        <v>-</v>
      </c>
      <c r="D231" t="str">
        <f>Dbase_velden_versie4_2!D227</f>
        <v>Samendrukkingsparameter volgens Koppejan, C' waarde conform NEN5118, trap 5-6</v>
      </c>
      <c r="E231" t="str">
        <f>Dbase_velden_versie4_2!E227</f>
        <v>Double</v>
      </c>
      <c r="F231">
        <f>Dbase_velden_versie4_2!F227</f>
        <v>0</v>
      </c>
      <c r="G231" t="str">
        <f>Dbase_velden_versie4_2!G227</f>
        <v>SD KOPPEJAN C TRAP5 6</v>
      </c>
      <c r="H231" t="str">
        <f>Dbase_velden_versie4_2!H227</f>
        <v>[-]</v>
      </c>
      <c r="I231" t="str">
        <f>Dbase_velden_versie4_2!I227</f>
        <v>SD</v>
      </c>
      <c r="J231" t="str">
        <f>Dbase_velden_versie4_2!J227</f>
        <v>Samendrukkingsproef</v>
      </c>
      <c r="K231">
        <v>227</v>
      </c>
      <c r="L231" t="str">
        <v>SD_KOPPEJAN_C_TRAP5_6</v>
      </c>
      <c r="M231" t="str">
        <v>-</v>
      </c>
      <c r="N231" t="str">
        <v>Samendrukkingsparameter volgens Koppejan, C' waarde conform NEN5118, trap 5-6</v>
      </c>
      <c r="O231" t="str">
        <v>Double</v>
      </c>
      <c r="P231">
        <v>0</v>
      </c>
      <c r="Q231" t="str">
        <v>SD KOPPEJAN C TRAP5 6</v>
      </c>
      <c r="R231" t="str">
        <v>[-]</v>
      </c>
      <c r="S231" t="str">
        <f t="shared" si="57"/>
        <v>OK</v>
      </c>
      <c r="T231" t="str">
        <f t="shared" si="51"/>
        <v>OK</v>
      </c>
      <c r="U231" t="str">
        <f t="shared" si="52"/>
        <v>OK</v>
      </c>
      <c r="V231" t="str">
        <f t="shared" si="53"/>
        <v>OK</v>
      </c>
      <c r="W231" t="str">
        <f t="shared" si="54"/>
        <v>OK</v>
      </c>
      <c r="X231" t="str">
        <f t="shared" si="55"/>
        <v>OK</v>
      </c>
      <c r="Y231" t="str">
        <f t="shared" si="56"/>
        <v>OK</v>
      </c>
      <c r="Z231">
        <v>226</v>
      </c>
      <c r="AA231">
        <v>228</v>
      </c>
      <c r="AB231" t="s">
        <v>2462</v>
      </c>
      <c r="AC231" t="s">
        <v>227</v>
      </c>
      <c r="AD231" t="s">
        <v>463</v>
      </c>
      <c r="AE231" t="s">
        <v>694</v>
      </c>
      <c r="AG231" t="s">
        <v>897</v>
      </c>
      <c r="AI231" t="s">
        <v>2513</v>
      </c>
      <c r="AJ231" t="s">
        <v>1395</v>
      </c>
      <c r="AK231" t="s">
        <v>2462</v>
      </c>
      <c r="AL231" t="s">
        <v>2463</v>
      </c>
      <c r="AN231" t="str">
        <f t="shared" si="58"/>
        <v>OK</v>
      </c>
      <c r="AO231" t="str">
        <f t="shared" si="59"/>
        <v>OK</v>
      </c>
      <c r="AP231" t="str">
        <f t="shared" si="60"/>
        <v>OK</v>
      </c>
      <c r="AR231" t="str">
        <f t="shared" si="61"/>
        <v>OK</v>
      </c>
      <c r="AS231" t="str">
        <f t="shared" si="62"/>
        <v>OK</v>
      </c>
      <c r="AT231" t="str">
        <f t="shared" si="63"/>
        <v>NOK</v>
      </c>
      <c r="AU231" t="str">
        <f t="shared" si="64"/>
        <v>OK</v>
      </c>
      <c r="AV231" t="str">
        <f t="shared" si="65"/>
        <v>OK</v>
      </c>
      <c r="AW231" t="str">
        <f t="shared" si="66"/>
        <v>OK</v>
      </c>
    </row>
    <row r="232" spans="1:49">
      <c r="A232">
        <f>Dbase_velden_versie4_2!A228</f>
        <v>228</v>
      </c>
      <c r="B232" t="str">
        <f>Dbase_velden_versie4_2!B228</f>
        <v>SD_KOPPEJAN_C_TRAP6_7</v>
      </c>
      <c r="C232" t="str">
        <f>Dbase_velden_versie4_2!C228</f>
        <v>-</v>
      </c>
      <c r="D232" t="str">
        <f>Dbase_velden_versie4_2!D228</f>
        <v>Samendrukkingsparameter volgens Koppejan, C' waarde conform NEN5118, trap 6-7</v>
      </c>
      <c r="E232" t="str">
        <f>Dbase_velden_versie4_2!E228</f>
        <v>Double</v>
      </c>
      <c r="F232">
        <f>Dbase_velden_versie4_2!F228</f>
        <v>0</v>
      </c>
      <c r="G232" t="str">
        <f>Dbase_velden_versie4_2!G228</f>
        <v>SD KOPPEJAN C TRAP6 7</v>
      </c>
      <c r="H232" t="str">
        <f>Dbase_velden_versie4_2!H228</f>
        <v>[-]</v>
      </c>
      <c r="I232" t="str">
        <f>Dbase_velden_versie4_2!I228</f>
        <v>SD</v>
      </c>
      <c r="J232" t="str">
        <f>Dbase_velden_versie4_2!J228</f>
        <v>Samendrukkingsproef</v>
      </c>
      <c r="K232">
        <v>228</v>
      </c>
      <c r="L232" t="str">
        <v>SD_KOPPEJAN_C_TRAP6_7</v>
      </c>
      <c r="M232" t="str">
        <v>-</v>
      </c>
      <c r="N232" t="str">
        <v>Samendrukkingsparameter volgens Koppejan, C' waarde conform NEN5118, trap 6-7</v>
      </c>
      <c r="O232" t="str">
        <v>Double</v>
      </c>
      <c r="P232">
        <v>0</v>
      </c>
      <c r="Q232" t="str">
        <v>SD KOPPEJAN C TRAP6 7</v>
      </c>
      <c r="R232" t="str">
        <v>[-]</v>
      </c>
      <c r="S232" t="str">
        <f t="shared" si="57"/>
        <v>OK</v>
      </c>
      <c r="T232" t="str">
        <f t="shared" si="51"/>
        <v>OK</v>
      </c>
      <c r="U232" t="str">
        <f t="shared" si="52"/>
        <v>OK</v>
      </c>
      <c r="V232" t="str">
        <f t="shared" si="53"/>
        <v>OK</v>
      </c>
      <c r="W232" t="str">
        <f t="shared" si="54"/>
        <v>OK</v>
      </c>
      <c r="X232" t="str">
        <f t="shared" si="55"/>
        <v>OK</v>
      </c>
      <c r="Y232" t="str">
        <f t="shared" si="56"/>
        <v>OK</v>
      </c>
      <c r="Z232">
        <v>227</v>
      </c>
      <c r="AA232">
        <v>229</v>
      </c>
      <c r="AB232" t="s">
        <v>2462</v>
      </c>
      <c r="AC232" t="s">
        <v>228</v>
      </c>
      <c r="AD232" t="s">
        <v>463</v>
      </c>
      <c r="AE232" t="s">
        <v>695</v>
      </c>
      <c r="AG232" t="s">
        <v>897</v>
      </c>
      <c r="AI232" t="s">
        <v>2514</v>
      </c>
      <c r="AJ232" t="s">
        <v>1395</v>
      </c>
      <c r="AK232" t="s">
        <v>2462</v>
      </c>
      <c r="AL232" t="s">
        <v>2463</v>
      </c>
      <c r="AN232" t="str">
        <f t="shared" si="58"/>
        <v>OK</v>
      </c>
      <c r="AO232" t="str">
        <f t="shared" si="59"/>
        <v>OK</v>
      </c>
      <c r="AP232" t="str">
        <f t="shared" si="60"/>
        <v>OK</v>
      </c>
      <c r="AR232" t="str">
        <f t="shared" si="61"/>
        <v>OK</v>
      </c>
      <c r="AS232" t="str">
        <f t="shared" si="62"/>
        <v>OK</v>
      </c>
      <c r="AT232" t="str">
        <f t="shared" si="63"/>
        <v>NOK</v>
      </c>
      <c r="AU232" t="str">
        <f t="shared" si="64"/>
        <v>OK</v>
      </c>
      <c r="AV232" t="str">
        <f t="shared" si="65"/>
        <v>OK</v>
      </c>
      <c r="AW232" t="str">
        <f t="shared" si="66"/>
        <v>OK</v>
      </c>
    </row>
    <row r="233" spans="1:49">
      <c r="A233">
        <f>Dbase_velden_versie4_2!A229</f>
        <v>229</v>
      </c>
      <c r="B233" t="str">
        <f>Dbase_velden_versie4_2!B229</f>
        <v>SD_KOPPEJAN_C_TRAP7_8</v>
      </c>
      <c r="C233" t="str">
        <f>Dbase_velden_versie4_2!C229</f>
        <v>-</v>
      </c>
      <c r="D233" t="str">
        <f>Dbase_velden_versie4_2!D229</f>
        <v>Samendrukkingsparameter volgens Koppejan, C' waarde conform NEN5118, trap 7-8</v>
      </c>
      <c r="E233" t="str">
        <f>Dbase_velden_versie4_2!E229</f>
        <v>Double</v>
      </c>
      <c r="F233">
        <f>Dbase_velden_versie4_2!F229</f>
        <v>0</v>
      </c>
      <c r="G233" t="str">
        <f>Dbase_velden_versie4_2!G229</f>
        <v>SD KOPPEJAN C TRAP7 8</v>
      </c>
      <c r="H233" t="str">
        <f>Dbase_velden_versie4_2!H229</f>
        <v>[-]</v>
      </c>
      <c r="I233" t="str">
        <f>Dbase_velden_versie4_2!I229</f>
        <v>SD</v>
      </c>
      <c r="J233" t="str">
        <f>Dbase_velden_versie4_2!J229</f>
        <v>Samendrukkingsproef</v>
      </c>
      <c r="K233">
        <v>229</v>
      </c>
      <c r="L233" t="str">
        <v>SD_KOPPEJAN_C_TRAP7_8</v>
      </c>
      <c r="M233" t="str">
        <v>-</v>
      </c>
      <c r="N233" t="str">
        <v>Samendrukkingsparameter volgens Koppejan, C' waarde conform NEN5118, trap 7-8</v>
      </c>
      <c r="O233" t="str">
        <v>Double</v>
      </c>
      <c r="P233">
        <v>0</v>
      </c>
      <c r="Q233" t="str">
        <v>SD KOPPEJAN C TRAP7 8</v>
      </c>
      <c r="R233" t="str">
        <v>[-]</v>
      </c>
      <c r="S233" t="str">
        <f t="shared" si="57"/>
        <v>OK</v>
      </c>
      <c r="T233" t="str">
        <f t="shared" si="51"/>
        <v>OK</v>
      </c>
      <c r="U233" t="str">
        <f t="shared" si="52"/>
        <v>OK</v>
      </c>
      <c r="V233" t="str">
        <f t="shared" si="53"/>
        <v>OK</v>
      </c>
      <c r="W233" t="str">
        <f t="shared" si="54"/>
        <v>OK</v>
      </c>
      <c r="X233" t="str">
        <f t="shared" si="55"/>
        <v>OK</v>
      </c>
      <c r="Y233" t="str">
        <f t="shared" si="56"/>
        <v>OK</v>
      </c>
      <c r="Z233">
        <v>228</v>
      </c>
      <c r="AA233">
        <v>230</v>
      </c>
      <c r="AB233" t="s">
        <v>2462</v>
      </c>
      <c r="AC233" t="s">
        <v>229</v>
      </c>
      <c r="AD233" t="s">
        <v>463</v>
      </c>
      <c r="AE233" t="s">
        <v>696</v>
      </c>
      <c r="AG233" t="s">
        <v>897</v>
      </c>
      <c r="AI233" t="s">
        <v>2515</v>
      </c>
      <c r="AJ233" t="s">
        <v>1395</v>
      </c>
      <c r="AK233" t="s">
        <v>2462</v>
      </c>
      <c r="AL233" t="s">
        <v>2463</v>
      </c>
      <c r="AN233" t="str">
        <f t="shared" si="58"/>
        <v>OK</v>
      </c>
      <c r="AO233" t="str">
        <f t="shared" si="59"/>
        <v>OK</v>
      </c>
      <c r="AP233" t="str">
        <f t="shared" si="60"/>
        <v>OK</v>
      </c>
      <c r="AR233" t="str">
        <f t="shared" si="61"/>
        <v>OK</v>
      </c>
      <c r="AS233" t="str">
        <f t="shared" si="62"/>
        <v>OK</v>
      </c>
      <c r="AT233" t="str">
        <f t="shared" si="63"/>
        <v>NOK</v>
      </c>
      <c r="AU233" t="str">
        <f t="shared" si="64"/>
        <v>OK</v>
      </c>
      <c r="AV233" t="str">
        <f t="shared" si="65"/>
        <v>OK</v>
      </c>
      <c r="AW233" t="str">
        <f t="shared" si="66"/>
        <v>OK</v>
      </c>
    </row>
    <row r="234" spans="1:49">
      <c r="A234">
        <f>Dbase_velden_versie4_2!A230</f>
        <v>230</v>
      </c>
      <c r="B234" t="str">
        <f>Dbase_velden_versie4_2!B230</f>
        <v>SD_KOPPEJAN_C_TRAP8_9</v>
      </c>
      <c r="C234" t="str">
        <f>Dbase_velden_versie4_2!C230</f>
        <v>-</v>
      </c>
      <c r="D234" t="str">
        <f>Dbase_velden_versie4_2!D230</f>
        <v>Samendrukkingsparameter volgens Koppejan, C' waarde conform NEN5118, trap 8-9</v>
      </c>
      <c r="E234" t="str">
        <f>Dbase_velden_versie4_2!E230</f>
        <v>Double</v>
      </c>
      <c r="F234">
        <f>Dbase_velden_versie4_2!F230</f>
        <v>0</v>
      </c>
      <c r="G234" t="str">
        <f>Dbase_velden_versie4_2!G230</f>
        <v>SD KOPPEJAN C TRAP8 9</v>
      </c>
      <c r="H234" t="str">
        <f>Dbase_velden_versie4_2!H230</f>
        <v>[-]</v>
      </c>
      <c r="I234" t="str">
        <f>Dbase_velden_versie4_2!I230</f>
        <v>SD</v>
      </c>
      <c r="J234" t="str">
        <f>Dbase_velden_versie4_2!J230</f>
        <v>Samendrukkingsproef</v>
      </c>
      <c r="K234">
        <v>230</v>
      </c>
      <c r="L234" t="str">
        <v>SD_KOPPEJAN_C_TRAP8_9</v>
      </c>
      <c r="M234" t="str">
        <v>-</v>
      </c>
      <c r="N234" t="str">
        <v>Samendrukkingsparameter volgens Koppejan, C' waarde conform NEN5118, trap 8-9</v>
      </c>
      <c r="O234" t="str">
        <v>Double</v>
      </c>
      <c r="P234">
        <v>0</v>
      </c>
      <c r="Q234" t="str">
        <v>SD KOPPEJAN C TRAP8 9</v>
      </c>
      <c r="R234" t="str">
        <v>[-]</v>
      </c>
      <c r="S234" t="str">
        <f t="shared" si="57"/>
        <v>OK</v>
      </c>
      <c r="T234" t="str">
        <f t="shared" si="51"/>
        <v>OK</v>
      </c>
      <c r="U234" t="str">
        <f t="shared" si="52"/>
        <v>OK</v>
      </c>
      <c r="V234" t="str">
        <f t="shared" si="53"/>
        <v>OK</v>
      </c>
      <c r="W234" t="str">
        <f t="shared" si="54"/>
        <v>OK</v>
      </c>
      <c r="X234" t="str">
        <f t="shared" si="55"/>
        <v>OK</v>
      </c>
      <c r="Y234" t="str">
        <f t="shared" si="56"/>
        <v>OK</v>
      </c>
      <c r="Z234">
        <v>229</v>
      </c>
      <c r="AA234">
        <v>231</v>
      </c>
      <c r="AB234" t="s">
        <v>2462</v>
      </c>
      <c r="AC234" t="s">
        <v>230</v>
      </c>
      <c r="AD234" t="s">
        <v>463</v>
      </c>
      <c r="AE234" t="s">
        <v>697</v>
      </c>
      <c r="AG234" t="s">
        <v>897</v>
      </c>
      <c r="AI234" t="s">
        <v>2516</v>
      </c>
      <c r="AJ234" t="s">
        <v>1395</v>
      </c>
      <c r="AK234" t="s">
        <v>2462</v>
      </c>
      <c r="AL234" t="s">
        <v>2463</v>
      </c>
      <c r="AN234" t="str">
        <f t="shared" si="58"/>
        <v>OK</v>
      </c>
      <c r="AO234" t="str">
        <f t="shared" si="59"/>
        <v>OK</v>
      </c>
      <c r="AP234" t="str">
        <f t="shared" si="60"/>
        <v>OK</v>
      </c>
      <c r="AR234" t="str">
        <f t="shared" si="61"/>
        <v>OK</v>
      </c>
      <c r="AS234" t="str">
        <f t="shared" si="62"/>
        <v>OK</v>
      </c>
      <c r="AT234" t="str">
        <f t="shared" si="63"/>
        <v>NOK</v>
      </c>
      <c r="AU234" t="str">
        <f t="shared" si="64"/>
        <v>OK</v>
      </c>
      <c r="AV234" t="str">
        <f t="shared" si="65"/>
        <v>OK</v>
      </c>
      <c r="AW234" t="str">
        <f t="shared" si="66"/>
        <v>OK</v>
      </c>
    </row>
    <row r="235" spans="1:49">
      <c r="A235">
        <f>Dbase_velden_versie4_2!A231</f>
        <v>231</v>
      </c>
      <c r="B235" t="str">
        <f>Dbase_velden_versie4_2!B231</f>
        <v>SD_KOPPEJAN_CP</v>
      </c>
      <c r="C235" t="str">
        <f>Dbase_velden_versie4_2!C231</f>
        <v>-</v>
      </c>
      <c r="D235" t="str">
        <f>Dbase_velden_versie4_2!D231</f>
        <v>Samendrukkingsparameter volgens Koppejan, Cp waarde conform NEN5118</v>
      </c>
      <c r="E235" t="str">
        <f>Dbase_velden_versie4_2!E231</f>
        <v>Double</v>
      </c>
      <c r="F235">
        <f>Dbase_velden_versie4_2!F231</f>
        <v>0</v>
      </c>
      <c r="G235" t="str">
        <f>Dbase_velden_versie4_2!G231</f>
        <v>SD KOPPEJAN CP</v>
      </c>
      <c r="H235" t="str">
        <f>Dbase_velden_versie4_2!H231</f>
        <v>[-]</v>
      </c>
      <c r="I235" t="str">
        <f>Dbase_velden_versie4_2!I231</f>
        <v>SD</v>
      </c>
      <c r="J235" t="str">
        <f>Dbase_velden_versie4_2!J231</f>
        <v>Samendrukkingsproef</v>
      </c>
      <c r="K235">
        <v>231</v>
      </c>
      <c r="L235" t="str">
        <v>SD_KOPPEJAN_CP</v>
      </c>
      <c r="M235" t="str">
        <v>-</v>
      </c>
      <c r="N235" t="str">
        <v>Samendrukkingsparameter volgens Koppejan, Cp waarde conform NEN5118</v>
      </c>
      <c r="O235" t="str">
        <v>Double</v>
      </c>
      <c r="P235">
        <v>0</v>
      </c>
      <c r="Q235" t="str">
        <v>SD KOPPEJAN CP</v>
      </c>
      <c r="R235" t="str">
        <v>[-]</v>
      </c>
      <c r="S235" t="str">
        <f t="shared" si="57"/>
        <v>OK</v>
      </c>
      <c r="T235" t="str">
        <f t="shared" si="51"/>
        <v>OK</v>
      </c>
      <c r="U235" t="str">
        <f t="shared" si="52"/>
        <v>OK</v>
      </c>
      <c r="V235" t="str">
        <f t="shared" si="53"/>
        <v>OK</v>
      </c>
      <c r="W235" t="str">
        <f t="shared" si="54"/>
        <v>OK</v>
      </c>
      <c r="X235" t="str">
        <f t="shared" si="55"/>
        <v>OK</v>
      </c>
      <c r="Y235" t="str">
        <f t="shared" si="56"/>
        <v>OK</v>
      </c>
      <c r="Z235">
        <v>230</v>
      </c>
      <c r="AA235">
        <v>232</v>
      </c>
      <c r="AB235" t="s">
        <v>2462</v>
      </c>
      <c r="AC235" t="s">
        <v>231</v>
      </c>
      <c r="AD235" t="s">
        <v>463</v>
      </c>
      <c r="AE235" t="s">
        <v>698</v>
      </c>
      <c r="AG235" t="s">
        <v>897</v>
      </c>
      <c r="AI235" t="s">
        <v>2517</v>
      </c>
      <c r="AJ235" t="s">
        <v>1395</v>
      </c>
      <c r="AK235" t="s">
        <v>2462</v>
      </c>
      <c r="AL235" t="s">
        <v>2463</v>
      </c>
      <c r="AN235" t="str">
        <f t="shared" si="58"/>
        <v>OK</v>
      </c>
      <c r="AO235" t="str">
        <f t="shared" si="59"/>
        <v>OK</v>
      </c>
      <c r="AP235" t="str">
        <f t="shared" si="60"/>
        <v>OK</v>
      </c>
      <c r="AR235" t="str">
        <f t="shared" si="61"/>
        <v>OK</v>
      </c>
      <c r="AS235" t="str">
        <f t="shared" si="62"/>
        <v>OK</v>
      </c>
      <c r="AT235" t="str">
        <f t="shared" si="63"/>
        <v>NOK</v>
      </c>
      <c r="AU235" t="str">
        <f t="shared" si="64"/>
        <v>OK</v>
      </c>
      <c r="AV235" t="str">
        <f t="shared" si="65"/>
        <v>OK</v>
      </c>
      <c r="AW235" t="str">
        <f t="shared" si="66"/>
        <v>OK</v>
      </c>
    </row>
    <row r="236" spans="1:49">
      <c r="A236">
        <f>Dbase_velden_versie4_2!A232</f>
        <v>232</v>
      </c>
      <c r="B236" t="str">
        <f>Dbase_velden_versie4_2!B232</f>
        <v>SD_KOPPEJAN_C'P</v>
      </c>
      <c r="C236" t="str">
        <f>Dbase_velden_versie4_2!C232</f>
        <v>-</v>
      </c>
      <c r="D236" t="str">
        <f>Dbase_velden_versie4_2!D232</f>
        <v>Samendrukkingsparameter volgens Koppejan, C'p waarde conform NEN5118</v>
      </c>
      <c r="E236" t="str">
        <f>Dbase_velden_versie4_2!E232</f>
        <v>Double</v>
      </c>
      <c r="F236">
        <f>Dbase_velden_versie4_2!F232</f>
        <v>0</v>
      </c>
      <c r="G236" t="str">
        <f>Dbase_velden_versie4_2!G232</f>
        <v>SD KOPPEJAN C'P</v>
      </c>
      <c r="H236" t="str">
        <f>Dbase_velden_versie4_2!H232</f>
        <v>[-]</v>
      </c>
      <c r="I236" t="str">
        <f>Dbase_velden_versie4_2!I232</f>
        <v>SD</v>
      </c>
      <c r="J236" t="str">
        <f>Dbase_velden_versie4_2!J232</f>
        <v>Samendrukkingsproef</v>
      </c>
      <c r="K236">
        <v>232</v>
      </c>
      <c r="L236" t="str">
        <v>SD_KOPPEJAN_C'P</v>
      </c>
      <c r="M236" t="str">
        <v>-</v>
      </c>
      <c r="N236" t="str">
        <v>Samendrukkingsparameter volgens Koppejan, C'p waarde conform NEN5118</v>
      </c>
      <c r="O236" t="str">
        <v>Double</v>
      </c>
      <c r="P236">
        <v>0</v>
      </c>
      <c r="Q236" t="str">
        <v>SD KOPPEJAN C'P</v>
      </c>
      <c r="R236" t="str">
        <v>[-]</v>
      </c>
      <c r="S236" t="str">
        <f t="shared" si="57"/>
        <v>OK</v>
      </c>
      <c r="T236" t="str">
        <f t="shared" si="51"/>
        <v>OK</v>
      </c>
      <c r="U236" t="str">
        <f t="shared" si="52"/>
        <v>OK</v>
      </c>
      <c r="V236" t="str">
        <f t="shared" si="53"/>
        <v>OK</v>
      </c>
      <c r="W236" t="str">
        <f t="shared" si="54"/>
        <v>OK</v>
      </c>
      <c r="X236" t="str">
        <f t="shared" si="55"/>
        <v>OK</v>
      </c>
      <c r="Y236" t="str">
        <f t="shared" si="56"/>
        <v>OK</v>
      </c>
      <c r="Z236">
        <v>231</v>
      </c>
      <c r="AA236">
        <v>233</v>
      </c>
      <c r="AB236" t="s">
        <v>2462</v>
      </c>
      <c r="AC236" t="s">
        <v>232</v>
      </c>
      <c r="AD236" t="s">
        <v>463</v>
      </c>
      <c r="AE236" t="s">
        <v>699</v>
      </c>
      <c r="AG236" t="s">
        <v>897</v>
      </c>
      <c r="AI236" s="25" t="s">
        <v>2518</v>
      </c>
      <c r="AJ236" t="s">
        <v>1395</v>
      </c>
      <c r="AK236" t="s">
        <v>2462</v>
      </c>
      <c r="AL236" t="s">
        <v>2463</v>
      </c>
      <c r="AN236" t="str">
        <f t="shared" si="58"/>
        <v>OK</v>
      </c>
      <c r="AO236" t="str">
        <f t="shared" si="59"/>
        <v>OK</v>
      </c>
      <c r="AP236" t="str">
        <f t="shared" si="60"/>
        <v>OK</v>
      </c>
      <c r="AR236" t="str">
        <f t="shared" si="61"/>
        <v>OK</v>
      </c>
      <c r="AS236" t="str">
        <f t="shared" si="62"/>
        <v>OK</v>
      </c>
      <c r="AT236" t="str">
        <f t="shared" si="63"/>
        <v>NOK</v>
      </c>
      <c r="AU236" t="str">
        <f t="shared" si="64"/>
        <v>OK</v>
      </c>
      <c r="AV236" t="str">
        <f t="shared" si="65"/>
        <v>OK</v>
      </c>
      <c r="AW236" t="str">
        <f t="shared" si="66"/>
        <v>OK</v>
      </c>
    </row>
    <row r="237" spans="1:49">
      <c r="A237">
        <f>Dbase_velden_versie4_2!A233</f>
        <v>233</v>
      </c>
      <c r="B237" t="str">
        <f>Dbase_velden_versie4_2!B233</f>
        <v>SD_KOPPEJAN_CP_TRAP2_3</v>
      </c>
      <c r="C237" t="str">
        <f>Dbase_velden_versie4_2!C233</f>
        <v>-</v>
      </c>
      <c r="D237" t="str">
        <f>Dbase_velden_versie4_2!D233</f>
        <v>Samendrukkingsparameter volgens Koppejan, Cp' waarde conform NEN5118, trap 2-3</v>
      </c>
      <c r="E237" t="str">
        <f>Dbase_velden_versie4_2!E233</f>
        <v>Double</v>
      </c>
      <c r="F237">
        <f>Dbase_velden_versie4_2!F233</f>
        <v>0</v>
      </c>
      <c r="G237" t="str">
        <f>Dbase_velden_versie4_2!G233</f>
        <v>SD KOPPEJAN CP TRAP2 3</v>
      </c>
      <c r="H237" t="str">
        <f>Dbase_velden_versie4_2!H233</f>
        <v>[-]</v>
      </c>
      <c r="I237" t="str">
        <f>Dbase_velden_versie4_2!I233</f>
        <v>SD</v>
      </c>
      <c r="J237" t="str">
        <f>Dbase_velden_versie4_2!J233</f>
        <v>Samendrukkingsproef</v>
      </c>
      <c r="K237">
        <v>233</v>
      </c>
      <c r="L237" t="str">
        <v>SD_KOPPEJAN_CP_TRAP2_3</v>
      </c>
      <c r="M237" t="str">
        <v>-</v>
      </c>
      <c r="N237" t="str">
        <v>Samendrukkingsparameter volgens Koppejan, Cp' waarde conform NEN5118, trap 2-3</v>
      </c>
      <c r="O237" t="str">
        <v>Double</v>
      </c>
      <c r="P237">
        <v>0</v>
      </c>
      <c r="Q237" t="str">
        <v>SD KOPPEJAN CP TRAP2 3</v>
      </c>
      <c r="R237" t="str">
        <v>[-]</v>
      </c>
      <c r="S237" t="str">
        <f t="shared" si="57"/>
        <v>OK</v>
      </c>
      <c r="T237" t="str">
        <f t="shared" si="51"/>
        <v>OK</v>
      </c>
      <c r="U237" t="str">
        <f t="shared" si="52"/>
        <v>OK</v>
      </c>
      <c r="V237" t="str">
        <f t="shared" si="53"/>
        <v>OK</v>
      </c>
      <c r="W237" t="str">
        <f t="shared" si="54"/>
        <v>OK</v>
      </c>
      <c r="X237" t="str">
        <f t="shared" si="55"/>
        <v>OK</v>
      </c>
      <c r="Y237" t="str">
        <f t="shared" si="56"/>
        <v>OK</v>
      </c>
      <c r="Z237">
        <v>232</v>
      </c>
      <c r="AA237">
        <v>234</v>
      </c>
      <c r="AB237" t="s">
        <v>2462</v>
      </c>
      <c r="AC237" t="s">
        <v>233</v>
      </c>
      <c r="AD237" t="s">
        <v>463</v>
      </c>
      <c r="AE237" t="s">
        <v>700</v>
      </c>
      <c r="AG237" t="s">
        <v>897</v>
      </c>
      <c r="AI237" t="s">
        <v>2519</v>
      </c>
      <c r="AJ237" t="s">
        <v>1395</v>
      </c>
      <c r="AK237" t="s">
        <v>2462</v>
      </c>
      <c r="AL237" t="s">
        <v>2463</v>
      </c>
      <c r="AN237" t="str">
        <f t="shared" si="58"/>
        <v>OK</v>
      </c>
      <c r="AO237" t="str">
        <f t="shared" si="59"/>
        <v>OK</v>
      </c>
      <c r="AP237" t="str">
        <f t="shared" si="60"/>
        <v>OK</v>
      </c>
      <c r="AR237" t="str">
        <f t="shared" si="61"/>
        <v>OK</v>
      </c>
      <c r="AS237" t="str">
        <f t="shared" si="62"/>
        <v>OK</v>
      </c>
      <c r="AT237" t="str">
        <f t="shared" si="63"/>
        <v>NOK</v>
      </c>
      <c r="AU237" t="str">
        <f t="shared" si="64"/>
        <v>OK</v>
      </c>
      <c r="AV237" t="str">
        <f t="shared" si="65"/>
        <v>OK</v>
      </c>
      <c r="AW237" t="str">
        <f t="shared" si="66"/>
        <v>OK</v>
      </c>
    </row>
    <row r="238" spans="1:49">
      <c r="A238">
        <f>Dbase_velden_versie4_2!A234</f>
        <v>234</v>
      </c>
      <c r="B238" t="str">
        <f>Dbase_velden_versie4_2!B234</f>
        <v>SD_KOPPEJAN_CP_TRAP3_4</v>
      </c>
      <c r="C238" t="str">
        <f>Dbase_velden_versie4_2!C234</f>
        <v>-</v>
      </c>
      <c r="D238" t="str">
        <f>Dbase_velden_versie4_2!D234</f>
        <v>Samendrukkingsparameter volgens Koppejan, Cp' waarde conform NEN5118, trap 3-4</v>
      </c>
      <c r="E238" t="str">
        <f>Dbase_velden_versie4_2!E234</f>
        <v>Double</v>
      </c>
      <c r="F238">
        <f>Dbase_velden_versie4_2!F234</f>
        <v>0</v>
      </c>
      <c r="G238" t="str">
        <f>Dbase_velden_versie4_2!G234</f>
        <v>SD KOPPEJAN CP TRAP3 4</v>
      </c>
      <c r="H238" t="str">
        <f>Dbase_velden_versie4_2!H234</f>
        <v>[-]</v>
      </c>
      <c r="I238" t="str">
        <f>Dbase_velden_versie4_2!I234</f>
        <v>SD</v>
      </c>
      <c r="J238" t="str">
        <f>Dbase_velden_versie4_2!J234</f>
        <v>Samendrukkingsproef</v>
      </c>
      <c r="K238">
        <v>234</v>
      </c>
      <c r="L238" t="str">
        <v>SD_KOPPEJAN_CP_TRAP3_4</v>
      </c>
      <c r="M238" t="str">
        <v>-</v>
      </c>
      <c r="N238" t="str">
        <v>Samendrukkingsparameter volgens Koppejan, Cp' waarde conform NEN5118, trap 3-4</v>
      </c>
      <c r="O238" t="str">
        <v>Double</v>
      </c>
      <c r="P238">
        <v>0</v>
      </c>
      <c r="Q238" t="str">
        <v>SD KOPPEJAN CP TRAP3 4</v>
      </c>
      <c r="R238" t="str">
        <v>[-]</v>
      </c>
      <c r="S238" t="str">
        <f t="shared" si="57"/>
        <v>OK</v>
      </c>
      <c r="T238" t="str">
        <f t="shared" si="51"/>
        <v>OK</v>
      </c>
      <c r="U238" t="str">
        <f t="shared" si="52"/>
        <v>OK</v>
      </c>
      <c r="V238" t="str">
        <f t="shared" si="53"/>
        <v>OK</v>
      </c>
      <c r="W238" t="str">
        <f t="shared" si="54"/>
        <v>OK</v>
      </c>
      <c r="X238" t="str">
        <f t="shared" si="55"/>
        <v>OK</v>
      </c>
      <c r="Y238" t="str">
        <f t="shared" si="56"/>
        <v>OK</v>
      </c>
      <c r="Z238">
        <v>233</v>
      </c>
      <c r="AA238">
        <v>235</v>
      </c>
      <c r="AB238" t="s">
        <v>2462</v>
      </c>
      <c r="AC238" t="s">
        <v>234</v>
      </c>
      <c r="AD238" t="s">
        <v>463</v>
      </c>
      <c r="AE238" t="s">
        <v>701</v>
      </c>
      <c r="AG238" t="s">
        <v>897</v>
      </c>
      <c r="AI238" t="s">
        <v>2520</v>
      </c>
      <c r="AJ238" t="s">
        <v>1395</v>
      </c>
      <c r="AK238" t="s">
        <v>2462</v>
      </c>
      <c r="AL238" t="s">
        <v>2463</v>
      </c>
      <c r="AN238" t="str">
        <f t="shared" si="58"/>
        <v>OK</v>
      </c>
      <c r="AO238" t="str">
        <f t="shared" si="59"/>
        <v>OK</v>
      </c>
      <c r="AP238" t="str">
        <f t="shared" si="60"/>
        <v>OK</v>
      </c>
      <c r="AR238" t="str">
        <f t="shared" si="61"/>
        <v>OK</v>
      </c>
      <c r="AS238" t="str">
        <f t="shared" si="62"/>
        <v>OK</v>
      </c>
      <c r="AT238" t="str">
        <f t="shared" si="63"/>
        <v>NOK</v>
      </c>
      <c r="AU238" t="str">
        <f t="shared" si="64"/>
        <v>OK</v>
      </c>
      <c r="AV238" t="str">
        <f t="shared" si="65"/>
        <v>OK</v>
      </c>
      <c r="AW238" t="str">
        <f t="shared" si="66"/>
        <v>OK</v>
      </c>
    </row>
    <row r="239" spans="1:49">
      <c r="A239">
        <f>Dbase_velden_versie4_2!A235</f>
        <v>235</v>
      </c>
      <c r="B239" t="str">
        <f>Dbase_velden_versie4_2!B235</f>
        <v>SD_KOPPEJAN_CP_TRAP4_5</v>
      </c>
      <c r="C239" t="str">
        <f>Dbase_velden_versie4_2!C235</f>
        <v>-</v>
      </c>
      <c r="D239" t="str">
        <f>Dbase_velden_versie4_2!D235</f>
        <v>Samendrukkingsparameter volgens Koppejan, Cp' waarde conform NEN5118, trap 4-5</v>
      </c>
      <c r="E239" t="str">
        <f>Dbase_velden_versie4_2!E235</f>
        <v>Double</v>
      </c>
      <c r="F239">
        <f>Dbase_velden_versie4_2!F235</f>
        <v>0</v>
      </c>
      <c r="G239" t="str">
        <f>Dbase_velden_versie4_2!G235</f>
        <v>SD KOPPEJAN CP TRAP4 5</v>
      </c>
      <c r="H239" t="str">
        <f>Dbase_velden_versie4_2!H235</f>
        <v>[-]</v>
      </c>
      <c r="I239" t="str">
        <f>Dbase_velden_versie4_2!I235</f>
        <v>SD</v>
      </c>
      <c r="J239" t="str">
        <f>Dbase_velden_versie4_2!J235</f>
        <v>Samendrukkingsproef</v>
      </c>
      <c r="K239">
        <v>235</v>
      </c>
      <c r="L239" t="str">
        <v>SD_KOPPEJAN_CP_TRAP4_5</v>
      </c>
      <c r="M239" t="str">
        <v>-</v>
      </c>
      <c r="N239" t="str">
        <v>Samendrukkingsparameter volgens Koppejan, Cp' waarde conform NEN5118, trap 4-5</v>
      </c>
      <c r="O239" t="str">
        <v>Double</v>
      </c>
      <c r="P239">
        <v>0</v>
      </c>
      <c r="Q239" t="str">
        <v>SD KOPPEJAN CP TRAP4 5</v>
      </c>
      <c r="R239" t="str">
        <v>[-]</v>
      </c>
      <c r="S239" t="str">
        <f t="shared" si="57"/>
        <v>OK</v>
      </c>
      <c r="T239" t="str">
        <f t="shared" si="51"/>
        <v>OK</v>
      </c>
      <c r="U239" t="str">
        <f t="shared" si="52"/>
        <v>OK</v>
      </c>
      <c r="V239" t="str">
        <f t="shared" si="53"/>
        <v>OK</v>
      </c>
      <c r="W239" t="str">
        <f t="shared" si="54"/>
        <v>OK</v>
      </c>
      <c r="X239" t="str">
        <f t="shared" si="55"/>
        <v>OK</v>
      </c>
      <c r="Y239" t="str">
        <f t="shared" si="56"/>
        <v>OK</v>
      </c>
      <c r="Z239">
        <v>234</v>
      </c>
      <c r="AA239">
        <v>236</v>
      </c>
      <c r="AB239" t="s">
        <v>2462</v>
      </c>
      <c r="AC239" t="s">
        <v>235</v>
      </c>
      <c r="AD239" t="s">
        <v>463</v>
      </c>
      <c r="AE239" t="s">
        <v>702</v>
      </c>
      <c r="AG239" t="s">
        <v>897</v>
      </c>
      <c r="AI239" t="s">
        <v>2521</v>
      </c>
      <c r="AJ239" t="s">
        <v>1395</v>
      </c>
      <c r="AK239" t="s">
        <v>2462</v>
      </c>
      <c r="AL239" t="s">
        <v>2463</v>
      </c>
      <c r="AN239" t="str">
        <f t="shared" si="58"/>
        <v>OK</v>
      </c>
      <c r="AO239" t="str">
        <f t="shared" si="59"/>
        <v>OK</v>
      </c>
      <c r="AP239" t="str">
        <f t="shared" si="60"/>
        <v>OK</v>
      </c>
      <c r="AR239" t="str">
        <f t="shared" si="61"/>
        <v>OK</v>
      </c>
      <c r="AS239" t="str">
        <f t="shared" si="62"/>
        <v>OK</v>
      </c>
      <c r="AT239" t="str">
        <f t="shared" si="63"/>
        <v>NOK</v>
      </c>
      <c r="AU239" t="str">
        <f t="shared" si="64"/>
        <v>OK</v>
      </c>
      <c r="AV239" t="str">
        <f t="shared" si="65"/>
        <v>OK</v>
      </c>
      <c r="AW239" t="str">
        <f t="shared" si="66"/>
        <v>OK</v>
      </c>
    </row>
    <row r="240" spans="1:49">
      <c r="A240">
        <f>Dbase_velden_versie4_2!A236</f>
        <v>236</v>
      </c>
      <c r="B240" t="str">
        <f>Dbase_velden_versie4_2!B236</f>
        <v>SD_KOPPEJAN_CP_TRAP5_6</v>
      </c>
      <c r="C240" t="str">
        <f>Dbase_velden_versie4_2!C236</f>
        <v>-</v>
      </c>
      <c r="D240" t="str">
        <f>Dbase_velden_versie4_2!D236</f>
        <v>Samendrukkingsparameter volgens Koppejan, Cp' waarde conform NEN5118, trap 5-6</v>
      </c>
      <c r="E240" t="str">
        <f>Dbase_velden_versie4_2!E236</f>
        <v>Double</v>
      </c>
      <c r="F240">
        <f>Dbase_velden_versie4_2!F236</f>
        <v>0</v>
      </c>
      <c r="G240" t="str">
        <f>Dbase_velden_versie4_2!G236</f>
        <v>SD KOPPEJAN CP TRAP5 6</v>
      </c>
      <c r="H240" t="str">
        <f>Dbase_velden_versie4_2!H236</f>
        <v>[-]</v>
      </c>
      <c r="I240" t="str">
        <f>Dbase_velden_versie4_2!I236</f>
        <v>SD</v>
      </c>
      <c r="J240" t="str">
        <f>Dbase_velden_versie4_2!J236</f>
        <v>Samendrukkingsproef</v>
      </c>
      <c r="K240">
        <v>236</v>
      </c>
      <c r="L240" t="str">
        <v>SD_KOPPEJAN_CP_TRAP5_6</v>
      </c>
      <c r="M240" t="str">
        <v>-</v>
      </c>
      <c r="N240" t="str">
        <v>Samendrukkingsparameter volgens Koppejan, Cp' waarde conform NEN5118, trap 5-6</v>
      </c>
      <c r="O240" t="str">
        <v>Double</v>
      </c>
      <c r="P240">
        <v>0</v>
      </c>
      <c r="Q240" t="str">
        <v>SD KOPPEJAN CP TRAP5 6</v>
      </c>
      <c r="R240" t="str">
        <v>[-]</v>
      </c>
      <c r="S240" t="str">
        <f t="shared" si="57"/>
        <v>OK</v>
      </c>
      <c r="T240" t="str">
        <f t="shared" si="51"/>
        <v>OK</v>
      </c>
      <c r="U240" t="str">
        <f t="shared" si="52"/>
        <v>OK</v>
      </c>
      <c r="V240" t="str">
        <f t="shared" si="53"/>
        <v>OK</v>
      </c>
      <c r="W240" t="str">
        <f t="shared" si="54"/>
        <v>OK</v>
      </c>
      <c r="X240" t="str">
        <f t="shared" si="55"/>
        <v>OK</v>
      </c>
      <c r="Y240" t="str">
        <f t="shared" si="56"/>
        <v>OK</v>
      </c>
      <c r="Z240">
        <v>235</v>
      </c>
      <c r="AA240">
        <v>237</v>
      </c>
      <c r="AB240" t="s">
        <v>2462</v>
      </c>
      <c r="AC240" t="s">
        <v>236</v>
      </c>
      <c r="AD240" t="s">
        <v>463</v>
      </c>
      <c r="AE240" t="s">
        <v>703</v>
      </c>
      <c r="AG240" t="s">
        <v>897</v>
      </c>
      <c r="AI240" t="s">
        <v>2522</v>
      </c>
      <c r="AJ240" t="s">
        <v>1395</v>
      </c>
      <c r="AK240" t="s">
        <v>2462</v>
      </c>
      <c r="AL240" t="s">
        <v>2463</v>
      </c>
      <c r="AN240" t="str">
        <f t="shared" si="58"/>
        <v>OK</v>
      </c>
      <c r="AO240" t="str">
        <f t="shared" si="59"/>
        <v>OK</v>
      </c>
      <c r="AP240" t="str">
        <f t="shared" si="60"/>
        <v>OK</v>
      </c>
      <c r="AR240" t="str">
        <f t="shared" si="61"/>
        <v>OK</v>
      </c>
      <c r="AS240" t="str">
        <f t="shared" si="62"/>
        <v>OK</v>
      </c>
      <c r="AT240" t="str">
        <f t="shared" si="63"/>
        <v>NOK</v>
      </c>
      <c r="AU240" t="str">
        <f t="shared" si="64"/>
        <v>OK</v>
      </c>
      <c r="AV240" t="str">
        <f t="shared" si="65"/>
        <v>OK</v>
      </c>
      <c r="AW240" t="str">
        <f t="shared" si="66"/>
        <v>OK</v>
      </c>
    </row>
    <row r="241" spans="1:49">
      <c r="A241">
        <f>Dbase_velden_versie4_2!A237</f>
        <v>237</v>
      </c>
      <c r="B241" t="str">
        <f>Dbase_velden_versie4_2!B237</f>
        <v>SD_KOPPEJAN_CP_TRAP6_7</v>
      </c>
      <c r="C241" t="str">
        <f>Dbase_velden_versie4_2!C237</f>
        <v>-</v>
      </c>
      <c r="D241" t="str">
        <f>Dbase_velden_versie4_2!D237</f>
        <v>Samendrukkingsparameter volgens Koppejan, Cp' waarde conform NEN5118, trap 6-7</v>
      </c>
      <c r="E241" t="str">
        <f>Dbase_velden_versie4_2!E237</f>
        <v>Double</v>
      </c>
      <c r="F241">
        <f>Dbase_velden_versie4_2!F237</f>
        <v>0</v>
      </c>
      <c r="G241" t="str">
        <f>Dbase_velden_versie4_2!G237</f>
        <v>SD KOPPEJAN CP TRAP6 7</v>
      </c>
      <c r="H241" t="str">
        <f>Dbase_velden_versie4_2!H237</f>
        <v>[-]</v>
      </c>
      <c r="I241" t="str">
        <f>Dbase_velden_versie4_2!I237</f>
        <v>SD</v>
      </c>
      <c r="J241" t="str">
        <f>Dbase_velden_versie4_2!J237</f>
        <v>Samendrukkingsproef</v>
      </c>
      <c r="K241">
        <v>237</v>
      </c>
      <c r="L241" t="str">
        <v>SD_KOPPEJAN_CP_TRAP6_7</v>
      </c>
      <c r="M241" t="str">
        <v>-</v>
      </c>
      <c r="N241" t="str">
        <v>Samendrukkingsparameter volgens Koppejan, Cp' waarde conform NEN5118, trap 6-7</v>
      </c>
      <c r="O241" t="str">
        <v>Double</v>
      </c>
      <c r="P241">
        <v>0</v>
      </c>
      <c r="Q241" t="str">
        <v>SD KOPPEJAN CP TRAP6 7</v>
      </c>
      <c r="R241" t="str">
        <v>[-]</v>
      </c>
      <c r="S241" t="str">
        <f t="shared" si="57"/>
        <v>OK</v>
      </c>
      <c r="T241" t="str">
        <f t="shared" si="51"/>
        <v>OK</v>
      </c>
      <c r="U241" t="str">
        <f t="shared" si="52"/>
        <v>OK</v>
      </c>
      <c r="V241" t="str">
        <f t="shared" si="53"/>
        <v>OK</v>
      </c>
      <c r="W241" t="str">
        <f t="shared" si="54"/>
        <v>OK</v>
      </c>
      <c r="X241" t="str">
        <f t="shared" si="55"/>
        <v>OK</v>
      </c>
      <c r="Y241" t="str">
        <f t="shared" si="56"/>
        <v>OK</v>
      </c>
      <c r="Z241">
        <v>236</v>
      </c>
      <c r="AA241">
        <v>238</v>
      </c>
      <c r="AB241" t="s">
        <v>2462</v>
      </c>
      <c r="AC241" t="s">
        <v>237</v>
      </c>
      <c r="AD241" t="s">
        <v>463</v>
      </c>
      <c r="AE241" t="s">
        <v>704</v>
      </c>
      <c r="AG241" t="s">
        <v>897</v>
      </c>
      <c r="AI241" t="s">
        <v>2523</v>
      </c>
      <c r="AJ241" t="s">
        <v>1395</v>
      </c>
      <c r="AK241" t="s">
        <v>2462</v>
      </c>
      <c r="AL241" t="s">
        <v>2463</v>
      </c>
      <c r="AN241" t="str">
        <f t="shared" si="58"/>
        <v>OK</v>
      </c>
      <c r="AO241" t="str">
        <f t="shared" si="59"/>
        <v>OK</v>
      </c>
      <c r="AP241" t="str">
        <f t="shared" si="60"/>
        <v>OK</v>
      </c>
      <c r="AR241" t="str">
        <f t="shared" si="61"/>
        <v>OK</v>
      </c>
      <c r="AS241" t="str">
        <f t="shared" si="62"/>
        <v>OK</v>
      </c>
      <c r="AT241" t="str">
        <f t="shared" si="63"/>
        <v>NOK</v>
      </c>
      <c r="AU241" t="str">
        <f t="shared" si="64"/>
        <v>OK</v>
      </c>
      <c r="AV241" t="str">
        <f t="shared" si="65"/>
        <v>OK</v>
      </c>
      <c r="AW241" t="str">
        <f t="shared" si="66"/>
        <v>OK</v>
      </c>
    </row>
    <row r="242" spans="1:49">
      <c r="A242">
        <f>Dbase_velden_versie4_2!A238</f>
        <v>238</v>
      </c>
      <c r="B242" t="str">
        <f>Dbase_velden_versie4_2!B238</f>
        <v>SD_KOPPEJAN_CP_TRAP7_8</v>
      </c>
      <c r="C242" t="str">
        <f>Dbase_velden_versie4_2!C238</f>
        <v>-</v>
      </c>
      <c r="D242" t="str">
        <f>Dbase_velden_versie4_2!D238</f>
        <v>Samendrukkingsparameter volgens Koppejan, Cp' waarde conform NEN5118, trap 7-8</v>
      </c>
      <c r="E242" t="str">
        <f>Dbase_velden_versie4_2!E238</f>
        <v>Double</v>
      </c>
      <c r="F242">
        <f>Dbase_velden_versie4_2!F238</f>
        <v>0</v>
      </c>
      <c r="G242" t="str">
        <f>Dbase_velden_versie4_2!G238</f>
        <v>SD KOPPEJAN CP TRAP7 8</v>
      </c>
      <c r="H242" t="str">
        <f>Dbase_velden_versie4_2!H238</f>
        <v>[-]</v>
      </c>
      <c r="I242" t="str">
        <f>Dbase_velden_versie4_2!I238</f>
        <v>SD</v>
      </c>
      <c r="J242" t="str">
        <f>Dbase_velden_versie4_2!J238</f>
        <v>Samendrukkingsproef</v>
      </c>
      <c r="K242">
        <v>238</v>
      </c>
      <c r="L242" t="str">
        <v>SD_KOPPEJAN_CP_TRAP7_8</v>
      </c>
      <c r="M242" t="str">
        <v>-</v>
      </c>
      <c r="N242" t="str">
        <v>Samendrukkingsparameter volgens Koppejan, Cp' waarde conform NEN5118, trap 7-8</v>
      </c>
      <c r="O242" t="str">
        <v>Double</v>
      </c>
      <c r="P242">
        <v>0</v>
      </c>
      <c r="Q242" t="str">
        <v>SD KOPPEJAN CP TRAP7 8</v>
      </c>
      <c r="R242" t="str">
        <v>[-]</v>
      </c>
      <c r="S242" t="str">
        <f t="shared" si="57"/>
        <v>OK</v>
      </c>
      <c r="T242" t="str">
        <f t="shared" si="51"/>
        <v>OK</v>
      </c>
      <c r="U242" t="str">
        <f t="shared" si="52"/>
        <v>OK</v>
      </c>
      <c r="V242" t="str">
        <f t="shared" si="53"/>
        <v>OK</v>
      </c>
      <c r="W242" t="str">
        <f t="shared" si="54"/>
        <v>OK</v>
      </c>
      <c r="X242" t="str">
        <f t="shared" si="55"/>
        <v>OK</v>
      </c>
      <c r="Y242" t="str">
        <f t="shared" si="56"/>
        <v>OK</v>
      </c>
      <c r="Z242">
        <v>237</v>
      </c>
      <c r="AA242">
        <v>239</v>
      </c>
      <c r="AB242" t="s">
        <v>2462</v>
      </c>
      <c r="AC242" t="s">
        <v>238</v>
      </c>
      <c r="AD242" t="s">
        <v>463</v>
      </c>
      <c r="AE242" t="s">
        <v>705</v>
      </c>
      <c r="AG242" t="s">
        <v>897</v>
      </c>
      <c r="AI242" t="s">
        <v>2524</v>
      </c>
      <c r="AJ242" t="s">
        <v>1395</v>
      </c>
      <c r="AK242" t="s">
        <v>2462</v>
      </c>
      <c r="AL242" t="s">
        <v>2463</v>
      </c>
      <c r="AN242" t="str">
        <f t="shared" si="58"/>
        <v>OK</v>
      </c>
      <c r="AO242" t="str">
        <f t="shared" si="59"/>
        <v>OK</v>
      </c>
      <c r="AP242" t="str">
        <f t="shared" si="60"/>
        <v>OK</v>
      </c>
      <c r="AR242" t="str">
        <f t="shared" si="61"/>
        <v>OK</v>
      </c>
      <c r="AS242" t="str">
        <f t="shared" si="62"/>
        <v>OK</v>
      </c>
      <c r="AT242" t="str">
        <f t="shared" si="63"/>
        <v>NOK</v>
      </c>
      <c r="AU242" t="str">
        <f t="shared" si="64"/>
        <v>OK</v>
      </c>
      <c r="AV242" t="str">
        <f t="shared" si="65"/>
        <v>OK</v>
      </c>
      <c r="AW242" t="str">
        <f t="shared" si="66"/>
        <v>OK</v>
      </c>
    </row>
    <row r="243" spans="1:49">
      <c r="A243">
        <f>Dbase_velden_versie4_2!A239</f>
        <v>239</v>
      </c>
      <c r="B243" t="str">
        <f>Dbase_velden_versie4_2!B239</f>
        <v>SD_KOPPEJAN_CP_TRAP8_9</v>
      </c>
      <c r="C243" t="str">
        <f>Dbase_velden_versie4_2!C239</f>
        <v>-</v>
      </c>
      <c r="D243" t="str">
        <f>Dbase_velden_versie4_2!D239</f>
        <v>Samendrukkingsparameter volgens Koppejan, Cp' waarde conform NEN5118, trap 8-9</v>
      </c>
      <c r="E243" t="str">
        <f>Dbase_velden_versie4_2!E239</f>
        <v>Double</v>
      </c>
      <c r="F243">
        <f>Dbase_velden_versie4_2!F239</f>
        <v>0</v>
      </c>
      <c r="G243" t="str">
        <f>Dbase_velden_versie4_2!G239</f>
        <v>SD KOPPEJAN CP TRAP8 9</v>
      </c>
      <c r="H243" t="str">
        <f>Dbase_velden_versie4_2!H239</f>
        <v>[-]</v>
      </c>
      <c r="I243" t="str">
        <f>Dbase_velden_versie4_2!I239</f>
        <v>SD</v>
      </c>
      <c r="J243" t="str">
        <f>Dbase_velden_versie4_2!J239</f>
        <v>Samendrukkingsproef</v>
      </c>
      <c r="K243">
        <v>239</v>
      </c>
      <c r="L243" t="str">
        <v>SD_KOPPEJAN_CP_TRAP8_9</v>
      </c>
      <c r="M243" t="str">
        <v>-</v>
      </c>
      <c r="N243" t="str">
        <v>Samendrukkingsparameter volgens Koppejan, Cp' waarde conform NEN5118, trap 8-9</v>
      </c>
      <c r="O243" t="str">
        <v>Double</v>
      </c>
      <c r="P243">
        <v>0</v>
      </c>
      <c r="Q243" t="str">
        <v>SD KOPPEJAN CP TRAP8 9</v>
      </c>
      <c r="R243" t="str">
        <v>[-]</v>
      </c>
      <c r="S243" t="str">
        <f t="shared" si="57"/>
        <v>OK</v>
      </c>
      <c r="T243" t="str">
        <f t="shared" si="51"/>
        <v>OK</v>
      </c>
      <c r="U243" t="str">
        <f t="shared" si="52"/>
        <v>OK</v>
      </c>
      <c r="V243" t="str">
        <f t="shared" si="53"/>
        <v>OK</v>
      </c>
      <c r="W243" t="str">
        <f t="shared" si="54"/>
        <v>OK</v>
      </c>
      <c r="X243" t="str">
        <f t="shared" si="55"/>
        <v>OK</v>
      </c>
      <c r="Y243" t="str">
        <f t="shared" si="56"/>
        <v>OK</v>
      </c>
      <c r="Z243">
        <v>238</v>
      </c>
      <c r="AA243">
        <v>240</v>
      </c>
      <c r="AB243" t="s">
        <v>2462</v>
      </c>
      <c r="AC243" t="s">
        <v>239</v>
      </c>
      <c r="AD243" t="s">
        <v>463</v>
      </c>
      <c r="AE243" t="s">
        <v>706</v>
      </c>
      <c r="AG243" t="s">
        <v>897</v>
      </c>
      <c r="AI243" t="s">
        <v>2525</v>
      </c>
      <c r="AJ243" t="s">
        <v>1395</v>
      </c>
      <c r="AK243" t="s">
        <v>2462</v>
      </c>
      <c r="AL243" t="s">
        <v>2463</v>
      </c>
      <c r="AN243" t="str">
        <f t="shared" si="58"/>
        <v>OK</v>
      </c>
      <c r="AO243" t="str">
        <f t="shared" si="59"/>
        <v>OK</v>
      </c>
      <c r="AP243" t="str">
        <f t="shared" si="60"/>
        <v>OK</v>
      </c>
      <c r="AR243" t="str">
        <f t="shared" si="61"/>
        <v>OK</v>
      </c>
      <c r="AS243" t="str">
        <f t="shared" si="62"/>
        <v>OK</v>
      </c>
      <c r="AT243" t="str">
        <f t="shared" si="63"/>
        <v>NOK</v>
      </c>
      <c r="AU243" t="str">
        <f t="shared" si="64"/>
        <v>OK</v>
      </c>
      <c r="AV243" t="str">
        <f t="shared" si="65"/>
        <v>OK</v>
      </c>
      <c r="AW243" t="str">
        <f t="shared" si="66"/>
        <v>OK</v>
      </c>
    </row>
    <row r="244" spans="1:49">
      <c r="A244">
        <f>Dbase_velden_versie4_2!A240</f>
        <v>240</v>
      </c>
      <c r="B244" t="str">
        <f>Dbase_velden_versie4_2!B240</f>
        <v>SD_KOPPEJAN_CS</v>
      </c>
      <c r="C244" t="str">
        <f>Dbase_velden_versie4_2!C240</f>
        <v>-</v>
      </c>
      <c r="D244" t="str">
        <f>Dbase_velden_versie4_2!D240</f>
        <v>Samendrukkingsparameter volgens Koppejan, Cs waarde conform NEN5118</v>
      </c>
      <c r="E244" t="str">
        <f>Dbase_velden_versie4_2!E240</f>
        <v>Double</v>
      </c>
      <c r="F244">
        <f>Dbase_velden_versie4_2!F240</f>
        <v>0</v>
      </c>
      <c r="G244" t="str">
        <f>Dbase_velden_versie4_2!G240</f>
        <v>SD KOPPEJAN CS</v>
      </c>
      <c r="H244" t="str">
        <f>Dbase_velden_versie4_2!H240</f>
        <v>[-]</v>
      </c>
      <c r="I244" t="str">
        <f>Dbase_velden_versie4_2!I240</f>
        <v>SD</v>
      </c>
      <c r="J244" t="str">
        <f>Dbase_velden_versie4_2!J240</f>
        <v>Samendrukkingsproef</v>
      </c>
      <c r="K244">
        <v>240</v>
      </c>
      <c r="L244" t="str">
        <v>SD_KOPPEJAN_CS</v>
      </c>
      <c r="M244" t="str">
        <v>-</v>
      </c>
      <c r="N244" t="str">
        <v>Samendrukkingsparameter volgens Koppejan, Cs waarde conform NEN5118</v>
      </c>
      <c r="O244" t="str">
        <v>Double</v>
      </c>
      <c r="P244">
        <v>0</v>
      </c>
      <c r="Q244" t="str">
        <v>SD KOPPEJAN CS</v>
      </c>
      <c r="R244" t="str">
        <v>[-]</v>
      </c>
      <c r="S244" t="str">
        <f t="shared" si="57"/>
        <v>OK</v>
      </c>
      <c r="T244" t="str">
        <f t="shared" si="51"/>
        <v>OK</v>
      </c>
      <c r="U244" t="str">
        <f t="shared" si="52"/>
        <v>OK</v>
      </c>
      <c r="V244" t="str">
        <f t="shared" si="53"/>
        <v>OK</v>
      </c>
      <c r="W244" t="str">
        <f t="shared" si="54"/>
        <v>OK</v>
      </c>
      <c r="X244" t="str">
        <f t="shared" si="55"/>
        <v>OK</v>
      </c>
      <c r="Y244" t="str">
        <f t="shared" si="56"/>
        <v>OK</v>
      </c>
      <c r="Z244">
        <v>239</v>
      </c>
      <c r="AA244">
        <v>241</v>
      </c>
      <c r="AB244" t="s">
        <v>2462</v>
      </c>
      <c r="AC244" t="s">
        <v>240</v>
      </c>
      <c r="AD244" t="s">
        <v>463</v>
      </c>
      <c r="AE244" t="s">
        <v>707</v>
      </c>
      <c r="AG244" t="s">
        <v>897</v>
      </c>
      <c r="AI244" t="s">
        <v>2526</v>
      </c>
      <c r="AJ244" t="s">
        <v>1395</v>
      </c>
      <c r="AK244" t="s">
        <v>2462</v>
      </c>
      <c r="AL244" t="s">
        <v>2463</v>
      </c>
      <c r="AN244" t="str">
        <f t="shared" si="58"/>
        <v>OK</v>
      </c>
      <c r="AO244" t="str">
        <f t="shared" si="59"/>
        <v>OK</v>
      </c>
      <c r="AP244" t="str">
        <f t="shared" si="60"/>
        <v>OK</v>
      </c>
      <c r="AR244" t="str">
        <f t="shared" si="61"/>
        <v>OK</v>
      </c>
      <c r="AS244" t="str">
        <f t="shared" si="62"/>
        <v>OK</v>
      </c>
      <c r="AT244" t="str">
        <f t="shared" si="63"/>
        <v>NOK</v>
      </c>
      <c r="AU244" t="str">
        <f t="shared" si="64"/>
        <v>OK</v>
      </c>
      <c r="AV244" t="str">
        <f t="shared" si="65"/>
        <v>OK</v>
      </c>
      <c r="AW244" t="str">
        <f t="shared" si="66"/>
        <v>OK</v>
      </c>
    </row>
    <row r="245" spans="1:49">
      <c r="A245">
        <f>Dbase_velden_versie4_2!A241</f>
        <v>241</v>
      </c>
      <c r="B245" t="str">
        <f>Dbase_velden_versie4_2!B241</f>
        <v>SD_KOPPEJAN_C'S</v>
      </c>
      <c r="C245" t="str">
        <f>Dbase_velden_versie4_2!C241</f>
        <v>-</v>
      </c>
      <c r="D245" t="str">
        <f>Dbase_velden_versie4_2!D241</f>
        <v>Samendrukkingsparameter volgens Koppejan, C's waarde conform NEN5118</v>
      </c>
      <c r="E245" t="str">
        <f>Dbase_velden_versie4_2!E241</f>
        <v>Double</v>
      </c>
      <c r="F245">
        <f>Dbase_velden_versie4_2!F241</f>
        <v>0</v>
      </c>
      <c r="G245" t="str">
        <f>Dbase_velden_versie4_2!G241</f>
        <v>SD KOPPEJAN C'S</v>
      </c>
      <c r="H245" t="str">
        <f>Dbase_velden_versie4_2!H241</f>
        <v>[-]</v>
      </c>
      <c r="I245" t="str">
        <f>Dbase_velden_versie4_2!I241</f>
        <v>SD</v>
      </c>
      <c r="J245" t="str">
        <f>Dbase_velden_versie4_2!J241</f>
        <v>Samendrukkingsproef</v>
      </c>
      <c r="K245">
        <v>241</v>
      </c>
      <c r="L245" t="str">
        <v>SD_KOPPEJAN_C'S</v>
      </c>
      <c r="M245" t="str">
        <v>-</v>
      </c>
      <c r="N245" t="str">
        <v>Samendrukkingsparameter volgens Koppejan, C's waarde conform NEN5118</v>
      </c>
      <c r="O245" t="str">
        <v>Double</v>
      </c>
      <c r="P245">
        <v>0</v>
      </c>
      <c r="Q245" t="str">
        <v>SD KOPPEJAN C'S</v>
      </c>
      <c r="R245" t="str">
        <v>[-]</v>
      </c>
      <c r="S245" t="str">
        <f t="shared" si="57"/>
        <v>OK</v>
      </c>
      <c r="T245" t="str">
        <f t="shared" si="51"/>
        <v>OK</v>
      </c>
      <c r="U245" t="str">
        <f t="shared" si="52"/>
        <v>OK</v>
      </c>
      <c r="V245" t="str">
        <f t="shared" si="53"/>
        <v>OK</v>
      </c>
      <c r="W245" t="str">
        <f t="shared" si="54"/>
        <v>OK</v>
      </c>
      <c r="X245" t="str">
        <f t="shared" si="55"/>
        <v>OK</v>
      </c>
      <c r="Y245" t="str">
        <f t="shared" si="56"/>
        <v>OK</v>
      </c>
      <c r="Z245">
        <v>240</v>
      </c>
      <c r="AA245">
        <v>242</v>
      </c>
      <c r="AB245" t="s">
        <v>2462</v>
      </c>
      <c r="AC245" t="s">
        <v>241</v>
      </c>
      <c r="AD245" t="s">
        <v>463</v>
      </c>
      <c r="AE245" t="s">
        <v>708</v>
      </c>
      <c r="AG245" t="s">
        <v>897</v>
      </c>
      <c r="AI245" s="25" t="s">
        <v>2527</v>
      </c>
      <c r="AJ245" t="s">
        <v>1395</v>
      </c>
      <c r="AK245" t="s">
        <v>2462</v>
      </c>
      <c r="AL245" t="s">
        <v>2463</v>
      </c>
      <c r="AN245" t="str">
        <f t="shared" si="58"/>
        <v>OK</v>
      </c>
      <c r="AO245" t="str">
        <f t="shared" si="59"/>
        <v>OK</v>
      </c>
      <c r="AP245" t="str">
        <f t="shared" si="60"/>
        <v>OK</v>
      </c>
      <c r="AR245" t="str">
        <f t="shared" si="61"/>
        <v>OK</v>
      </c>
      <c r="AS245" t="str">
        <f t="shared" si="62"/>
        <v>OK</v>
      </c>
      <c r="AT245" t="str">
        <f t="shared" si="63"/>
        <v>NOK</v>
      </c>
      <c r="AU245" t="str">
        <f t="shared" si="64"/>
        <v>OK</v>
      </c>
      <c r="AV245" t="str">
        <f t="shared" si="65"/>
        <v>OK</v>
      </c>
      <c r="AW245" t="str">
        <f t="shared" si="66"/>
        <v>OK</v>
      </c>
    </row>
    <row r="246" spans="1:49">
      <c r="A246">
        <f>Dbase_velden_versie4_2!A242</f>
        <v>242</v>
      </c>
      <c r="B246" t="str">
        <f>Dbase_velden_versie4_2!B242</f>
        <v>SD_KOPPEJAN_CS_TRAP2_3</v>
      </c>
      <c r="C246" t="str">
        <f>Dbase_velden_versie4_2!C242</f>
        <v>-</v>
      </c>
      <c r="D246" t="str">
        <f>Dbase_velden_versie4_2!D242</f>
        <v>Samendrukkingsparameter volgens Koppejan, Cs' waarde conform NEN5118, trap 2-3</v>
      </c>
      <c r="E246" t="str">
        <f>Dbase_velden_versie4_2!E242</f>
        <v>Double</v>
      </c>
      <c r="F246">
        <f>Dbase_velden_versie4_2!F242</f>
        <v>0</v>
      </c>
      <c r="G246" t="str">
        <f>Dbase_velden_versie4_2!G242</f>
        <v>SD KOPPEJAN CS TRAP2 3</v>
      </c>
      <c r="H246" t="str">
        <f>Dbase_velden_versie4_2!H242</f>
        <v>[-]</v>
      </c>
      <c r="I246" t="str">
        <f>Dbase_velden_versie4_2!I242</f>
        <v>SD</v>
      </c>
      <c r="J246" t="str">
        <f>Dbase_velden_versie4_2!J242</f>
        <v>Samendrukkingsproef</v>
      </c>
      <c r="K246">
        <v>242</v>
      </c>
      <c r="L246" t="str">
        <v>SD_KOPPEJAN_CS_TRAP2_3</v>
      </c>
      <c r="M246" t="str">
        <v>-</v>
      </c>
      <c r="N246" t="str">
        <v>Samendrukkingsparameter volgens Koppejan, Cs' waarde conform NEN5118, trap 2-3</v>
      </c>
      <c r="O246" t="str">
        <v>Double</v>
      </c>
      <c r="P246">
        <v>0</v>
      </c>
      <c r="Q246" t="str">
        <v>SD KOPPEJAN CS TRAP2 3</v>
      </c>
      <c r="R246" t="str">
        <v>[-]</v>
      </c>
      <c r="S246" t="str">
        <f t="shared" si="57"/>
        <v>OK</v>
      </c>
      <c r="T246" t="str">
        <f t="shared" si="51"/>
        <v>OK</v>
      </c>
      <c r="U246" t="str">
        <f t="shared" si="52"/>
        <v>OK</v>
      </c>
      <c r="V246" t="str">
        <f t="shared" si="53"/>
        <v>OK</v>
      </c>
      <c r="W246" t="str">
        <f t="shared" si="54"/>
        <v>OK</v>
      </c>
      <c r="X246" t="str">
        <f t="shared" si="55"/>
        <v>OK</v>
      </c>
      <c r="Y246" t="str">
        <f t="shared" si="56"/>
        <v>OK</v>
      </c>
      <c r="Z246">
        <v>241</v>
      </c>
      <c r="AA246">
        <v>243</v>
      </c>
      <c r="AB246" t="s">
        <v>2462</v>
      </c>
      <c r="AC246" t="s">
        <v>242</v>
      </c>
      <c r="AD246" t="s">
        <v>463</v>
      </c>
      <c r="AE246" t="s">
        <v>709</v>
      </c>
      <c r="AG246" t="s">
        <v>897</v>
      </c>
      <c r="AI246" t="s">
        <v>2528</v>
      </c>
      <c r="AJ246" t="s">
        <v>1395</v>
      </c>
      <c r="AK246" t="s">
        <v>2462</v>
      </c>
      <c r="AL246" t="s">
        <v>2463</v>
      </c>
      <c r="AN246" t="str">
        <f t="shared" si="58"/>
        <v>OK</v>
      </c>
      <c r="AO246" t="str">
        <f t="shared" si="59"/>
        <v>OK</v>
      </c>
      <c r="AP246" t="str">
        <f t="shared" si="60"/>
        <v>OK</v>
      </c>
      <c r="AR246" t="str">
        <f t="shared" si="61"/>
        <v>OK</v>
      </c>
      <c r="AS246" t="str">
        <f t="shared" si="62"/>
        <v>OK</v>
      </c>
      <c r="AT246" t="str">
        <f t="shared" si="63"/>
        <v>NOK</v>
      </c>
      <c r="AU246" t="str">
        <f t="shared" si="64"/>
        <v>OK</v>
      </c>
      <c r="AV246" t="str">
        <f t="shared" si="65"/>
        <v>OK</v>
      </c>
      <c r="AW246" t="str">
        <f t="shared" si="66"/>
        <v>OK</v>
      </c>
    </row>
    <row r="247" spans="1:49">
      <c r="A247">
        <f>Dbase_velden_versie4_2!A243</f>
        <v>243</v>
      </c>
      <c r="B247" t="str">
        <f>Dbase_velden_versie4_2!B243</f>
        <v>SD_KOPPEJAN_CS_TRAP3_4</v>
      </c>
      <c r="C247" t="str">
        <f>Dbase_velden_versie4_2!C243</f>
        <v>-</v>
      </c>
      <c r="D247" t="str">
        <f>Dbase_velden_versie4_2!D243</f>
        <v>Samendrukkingsparameter volgens Koppejan, Cs' waarde conform NEN5118, trap 3-4</v>
      </c>
      <c r="E247" t="str">
        <f>Dbase_velden_versie4_2!E243</f>
        <v>Double</v>
      </c>
      <c r="F247">
        <f>Dbase_velden_versie4_2!F243</f>
        <v>0</v>
      </c>
      <c r="G247" t="str">
        <f>Dbase_velden_versie4_2!G243</f>
        <v>SD KOPPEJAN CS TRAP3 4</v>
      </c>
      <c r="H247" t="str">
        <f>Dbase_velden_versie4_2!H243</f>
        <v>[-]</v>
      </c>
      <c r="I247" t="str">
        <f>Dbase_velden_versie4_2!I243</f>
        <v>SD</v>
      </c>
      <c r="J247" t="str">
        <f>Dbase_velden_versie4_2!J243</f>
        <v>Samendrukkingsproef</v>
      </c>
      <c r="K247">
        <v>243</v>
      </c>
      <c r="L247" t="str">
        <v>SD_KOPPEJAN_CS_TRAP3_4</v>
      </c>
      <c r="M247" t="str">
        <v>-</v>
      </c>
      <c r="N247" t="str">
        <v>Samendrukkingsparameter volgens Koppejan, Cs' waarde conform NEN5118, trap 3-4</v>
      </c>
      <c r="O247" t="str">
        <v>Double</v>
      </c>
      <c r="P247">
        <v>0</v>
      </c>
      <c r="Q247" t="str">
        <v>SD KOPPEJAN CS TRAP3 4</v>
      </c>
      <c r="R247" t="str">
        <v>[-]</v>
      </c>
      <c r="S247" t="str">
        <f t="shared" si="57"/>
        <v>OK</v>
      </c>
      <c r="T247" t="str">
        <f t="shared" si="51"/>
        <v>OK</v>
      </c>
      <c r="U247" t="str">
        <f t="shared" si="52"/>
        <v>OK</v>
      </c>
      <c r="V247" t="str">
        <f t="shared" si="53"/>
        <v>OK</v>
      </c>
      <c r="W247" t="str">
        <f t="shared" si="54"/>
        <v>OK</v>
      </c>
      <c r="X247" t="str">
        <f t="shared" si="55"/>
        <v>OK</v>
      </c>
      <c r="Y247" t="str">
        <f t="shared" si="56"/>
        <v>OK</v>
      </c>
      <c r="Z247">
        <v>242</v>
      </c>
      <c r="AA247">
        <v>244</v>
      </c>
      <c r="AB247" t="s">
        <v>2462</v>
      </c>
      <c r="AC247" t="s">
        <v>243</v>
      </c>
      <c r="AD247" t="s">
        <v>463</v>
      </c>
      <c r="AE247" t="s">
        <v>710</v>
      </c>
      <c r="AG247" t="s">
        <v>897</v>
      </c>
      <c r="AI247" t="s">
        <v>2529</v>
      </c>
      <c r="AJ247" t="s">
        <v>1395</v>
      </c>
      <c r="AK247" t="s">
        <v>2462</v>
      </c>
      <c r="AL247" t="s">
        <v>2463</v>
      </c>
      <c r="AN247" t="str">
        <f t="shared" si="58"/>
        <v>OK</v>
      </c>
      <c r="AO247" t="str">
        <f t="shared" si="59"/>
        <v>OK</v>
      </c>
      <c r="AP247" t="str">
        <f t="shared" si="60"/>
        <v>OK</v>
      </c>
      <c r="AR247" t="str">
        <f t="shared" si="61"/>
        <v>OK</v>
      </c>
      <c r="AS247" t="str">
        <f t="shared" si="62"/>
        <v>OK</v>
      </c>
      <c r="AT247" t="str">
        <f t="shared" si="63"/>
        <v>NOK</v>
      </c>
      <c r="AU247" t="str">
        <f t="shared" si="64"/>
        <v>OK</v>
      </c>
      <c r="AV247" t="str">
        <f t="shared" si="65"/>
        <v>OK</v>
      </c>
      <c r="AW247" t="str">
        <f t="shared" si="66"/>
        <v>OK</v>
      </c>
    </row>
    <row r="248" spans="1:49">
      <c r="A248">
        <f>Dbase_velden_versie4_2!A244</f>
        <v>244</v>
      </c>
      <c r="B248" t="str">
        <f>Dbase_velden_versie4_2!B244</f>
        <v>SD_KOPPEJAN_CS_TRAP4_5</v>
      </c>
      <c r="C248" t="str">
        <f>Dbase_velden_versie4_2!C244</f>
        <v>-</v>
      </c>
      <c r="D248" t="str">
        <f>Dbase_velden_versie4_2!D244</f>
        <v>Samendrukkingsparameter volgens Koppejan, Cs' waarde conform NEN5118, trap 4-5</v>
      </c>
      <c r="E248" t="str">
        <f>Dbase_velden_versie4_2!E244</f>
        <v>Double</v>
      </c>
      <c r="F248">
        <f>Dbase_velden_versie4_2!F244</f>
        <v>0</v>
      </c>
      <c r="G248" t="str">
        <f>Dbase_velden_versie4_2!G244</f>
        <v>SD KOPPEJAN CS TRAP4 5</v>
      </c>
      <c r="H248" t="str">
        <f>Dbase_velden_versie4_2!H244</f>
        <v>[-]</v>
      </c>
      <c r="I248" t="str">
        <f>Dbase_velden_versie4_2!I244</f>
        <v>SD</v>
      </c>
      <c r="J248" t="str">
        <f>Dbase_velden_versie4_2!J244</f>
        <v>Samendrukkingsproef</v>
      </c>
      <c r="K248">
        <v>244</v>
      </c>
      <c r="L248" t="str">
        <v>SD_KOPPEJAN_CS_TRAP4_5</v>
      </c>
      <c r="M248" t="str">
        <v>-</v>
      </c>
      <c r="N248" t="str">
        <v>Samendrukkingsparameter volgens Koppejan, Cs' waarde conform NEN5118, trap 4-5</v>
      </c>
      <c r="O248" t="str">
        <v>Double</v>
      </c>
      <c r="P248">
        <v>0</v>
      </c>
      <c r="Q248" t="str">
        <v>SD KOPPEJAN CS TRAP4 5</v>
      </c>
      <c r="R248" t="str">
        <v>[-]</v>
      </c>
      <c r="S248" t="str">
        <f t="shared" si="57"/>
        <v>OK</v>
      </c>
      <c r="T248" t="str">
        <f t="shared" si="51"/>
        <v>OK</v>
      </c>
      <c r="U248" t="str">
        <f t="shared" si="52"/>
        <v>OK</v>
      </c>
      <c r="V248" t="str">
        <f t="shared" si="53"/>
        <v>OK</v>
      </c>
      <c r="W248" t="str">
        <f t="shared" si="54"/>
        <v>OK</v>
      </c>
      <c r="X248" t="str">
        <f t="shared" si="55"/>
        <v>OK</v>
      </c>
      <c r="Y248" t="str">
        <f t="shared" si="56"/>
        <v>OK</v>
      </c>
      <c r="Z248">
        <v>243</v>
      </c>
      <c r="AA248">
        <v>245</v>
      </c>
      <c r="AB248" t="s">
        <v>2462</v>
      </c>
      <c r="AC248" t="s">
        <v>244</v>
      </c>
      <c r="AD248" t="s">
        <v>463</v>
      </c>
      <c r="AE248" t="s">
        <v>711</v>
      </c>
      <c r="AG248" t="s">
        <v>897</v>
      </c>
      <c r="AI248" t="s">
        <v>2530</v>
      </c>
      <c r="AJ248" t="s">
        <v>1395</v>
      </c>
      <c r="AK248" t="s">
        <v>2462</v>
      </c>
      <c r="AL248" t="s">
        <v>2463</v>
      </c>
      <c r="AN248" t="str">
        <f t="shared" si="58"/>
        <v>OK</v>
      </c>
      <c r="AO248" t="str">
        <f t="shared" si="59"/>
        <v>OK</v>
      </c>
      <c r="AP248" t="str">
        <f t="shared" si="60"/>
        <v>OK</v>
      </c>
      <c r="AR248" t="str">
        <f t="shared" si="61"/>
        <v>OK</v>
      </c>
      <c r="AS248" t="str">
        <f t="shared" si="62"/>
        <v>OK</v>
      </c>
      <c r="AT248" t="str">
        <f t="shared" si="63"/>
        <v>NOK</v>
      </c>
      <c r="AU248" t="str">
        <f t="shared" si="64"/>
        <v>OK</v>
      </c>
      <c r="AV248" t="str">
        <f t="shared" si="65"/>
        <v>OK</v>
      </c>
      <c r="AW248" t="str">
        <f t="shared" si="66"/>
        <v>OK</v>
      </c>
    </row>
    <row r="249" spans="1:49">
      <c r="A249">
        <f>Dbase_velden_versie4_2!A245</f>
        <v>245</v>
      </c>
      <c r="B249" t="str">
        <f>Dbase_velden_versie4_2!B245</f>
        <v>SD_KOPPEJAN_CS_TRAP5_6</v>
      </c>
      <c r="C249" t="str">
        <f>Dbase_velden_versie4_2!C245</f>
        <v>-</v>
      </c>
      <c r="D249" t="str">
        <f>Dbase_velden_versie4_2!D245</f>
        <v>Samendrukkingsparameter volgens Koppejan, Cs' waarde conform NEN5118, trap 5-6</v>
      </c>
      <c r="E249" t="str">
        <f>Dbase_velden_versie4_2!E245</f>
        <v>Double</v>
      </c>
      <c r="F249">
        <f>Dbase_velden_versie4_2!F245</f>
        <v>0</v>
      </c>
      <c r="G249" t="str">
        <f>Dbase_velden_versie4_2!G245</f>
        <v>SD KOPPEJAN CS TRAP5 6</v>
      </c>
      <c r="H249" t="str">
        <f>Dbase_velden_versie4_2!H245</f>
        <v>[-]</v>
      </c>
      <c r="I249" t="str">
        <f>Dbase_velden_versie4_2!I245</f>
        <v>SD</v>
      </c>
      <c r="J249" t="str">
        <f>Dbase_velden_versie4_2!J245</f>
        <v>Samendrukkingsproef</v>
      </c>
      <c r="K249">
        <v>245</v>
      </c>
      <c r="L249" t="str">
        <v>SD_KOPPEJAN_CS_TRAP5_6</v>
      </c>
      <c r="M249" t="str">
        <v>-</v>
      </c>
      <c r="N249" t="str">
        <v>Samendrukkingsparameter volgens Koppejan, Cs' waarde conform NEN5118, trap 5-6</v>
      </c>
      <c r="O249" t="str">
        <v>Double</v>
      </c>
      <c r="P249">
        <v>0</v>
      </c>
      <c r="Q249" t="str">
        <v>SD KOPPEJAN CS TRAP5 6</v>
      </c>
      <c r="R249" t="str">
        <v>[-]</v>
      </c>
      <c r="S249" t="str">
        <f t="shared" si="57"/>
        <v>OK</v>
      </c>
      <c r="T249" t="str">
        <f t="shared" si="51"/>
        <v>OK</v>
      </c>
      <c r="U249" t="str">
        <f t="shared" si="52"/>
        <v>OK</v>
      </c>
      <c r="V249" t="str">
        <f t="shared" si="53"/>
        <v>OK</v>
      </c>
      <c r="W249" t="str">
        <f t="shared" si="54"/>
        <v>OK</v>
      </c>
      <c r="X249" t="str">
        <f t="shared" si="55"/>
        <v>OK</v>
      </c>
      <c r="Y249" t="str">
        <f t="shared" si="56"/>
        <v>OK</v>
      </c>
      <c r="Z249">
        <v>244</v>
      </c>
      <c r="AA249">
        <v>246</v>
      </c>
      <c r="AB249" t="s">
        <v>2462</v>
      </c>
      <c r="AC249" t="s">
        <v>245</v>
      </c>
      <c r="AD249" t="s">
        <v>463</v>
      </c>
      <c r="AE249" t="s">
        <v>712</v>
      </c>
      <c r="AG249" t="s">
        <v>897</v>
      </c>
      <c r="AI249" t="s">
        <v>2531</v>
      </c>
      <c r="AJ249" t="s">
        <v>1395</v>
      </c>
      <c r="AK249" t="s">
        <v>2462</v>
      </c>
      <c r="AL249" t="s">
        <v>2463</v>
      </c>
      <c r="AN249" t="str">
        <f t="shared" si="58"/>
        <v>OK</v>
      </c>
      <c r="AO249" t="str">
        <f t="shared" si="59"/>
        <v>OK</v>
      </c>
      <c r="AP249" t="str">
        <f t="shared" si="60"/>
        <v>OK</v>
      </c>
      <c r="AR249" t="str">
        <f t="shared" si="61"/>
        <v>OK</v>
      </c>
      <c r="AS249" t="str">
        <f t="shared" si="62"/>
        <v>OK</v>
      </c>
      <c r="AT249" t="str">
        <f t="shared" si="63"/>
        <v>NOK</v>
      </c>
      <c r="AU249" t="str">
        <f t="shared" si="64"/>
        <v>OK</v>
      </c>
      <c r="AV249" t="str">
        <f t="shared" si="65"/>
        <v>OK</v>
      </c>
      <c r="AW249" t="str">
        <f t="shared" si="66"/>
        <v>OK</v>
      </c>
    </row>
    <row r="250" spans="1:49">
      <c r="A250">
        <f>Dbase_velden_versie4_2!A246</f>
        <v>246</v>
      </c>
      <c r="B250" t="str">
        <f>Dbase_velden_versie4_2!B246</f>
        <v>SD_KOPPEJAN_CS_TRAP6_7</v>
      </c>
      <c r="C250" t="str">
        <f>Dbase_velden_versie4_2!C246</f>
        <v>-</v>
      </c>
      <c r="D250" t="str">
        <f>Dbase_velden_versie4_2!D246</f>
        <v>Samendrukkingsparameter volgens Koppejan, Cs' waarde conform NEN5118, trap 6-7</v>
      </c>
      <c r="E250" t="str">
        <f>Dbase_velden_versie4_2!E246</f>
        <v>Double</v>
      </c>
      <c r="F250">
        <f>Dbase_velden_versie4_2!F246</f>
        <v>0</v>
      </c>
      <c r="G250" t="str">
        <f>Dbase_velden_versie4_2!G246</f>
        <v>SD KOPPEJAN CS TRAP6 7</v>
      </c>
      <c r="H250" t="str">
        <f>Dbase_velden_versie4_2!H246</f>
        <v>[-]</v>
      </c>
      <c r="I250" t="str">
        <f>Dbase_velden_versie4_2!I246</f>
        <v>SD</v>
      </c>
      <c r="J250" t="str">
        <f>Dbase_velden_versie4_2!J246</f>
        <v>Samendrukkingsproef</v>
      </c>
      <c r="K250">
        <v>246</v>
      </c>
      <c r="L250" t="str">
        <v>SD_KOPPEJAN_CS_TRAP6_7</v>
      </c>
      <c r="M250" t="str">
        <v>-</v>
      </c>
      <c r="N250" t="str">
        <v>Samendrukkingsparameter volgens Koppejan, Cs' waarde conform NEN5118, trap 6-7</v>
      </c>
      <c r="O250" t="str">
        <v>Double</v>
      </c>
      <c r="P250">
        <v>0</v>
      </c>
      <c r="Q250" t="str">
        <v>SD KOPPEJAN CS TRAP6 7</v>
      </c>
      <c r="R250" t="str">
        <v>[-]</v>
      </c>
      <c r="S250" t="str">
        <f t="shared" si="57"/>
        <v>OK</v>
      </c>
      <c r="T250" t="str">
        <f t="shared" si="51"/>
        <v>OK</v>
      </c>
      <c r="U250" t="str">
        <f t="shared" si="52"/>
        <v>OK</v>
      </c>
      <c r="V250" t="str">
        <f t="shared" si="53"/>
        <v>OK</v>
      </c>
      <c r="W250" t="str">
        <f t="shared" si="54"/>
        <v>OK</v>
      </c>
      <c r="X250" t="str">
        <f t="shared" si="55"/>
        <v>OK</v>
      </c>
      <c r="Y250" t="str">
        <f t="shared" si="56"/>
        <v>OK</v>
      </c>
      <c r="Z250">
        <v>245</v>
      </c>
      <c r="AA250">
        <v>247</v>
      </c>
      <c r="AB250" t="s">
        <v>2462</v>
      </c>
      <c r="AC250" t="s">
        <v>246</v>
      </c>
      <c r="AD250" t="s">
        <v>463</v>
      </c>
      <c r="AE250" t="s">
        <v>713</v>
      </c>
      <c r="AG250" t="s">
        <v>897</v>
      </c>
      <c r="AI250" t="s">
        <v>2532</v>
      </c>
      <c r="AJ250" t="s">
        <v>1395</v>
      </c>
      <c r="AK250" t="s">
        <v>2462</v>
      </c>
      <c r="AL250" t="s">
        <v>2463</v>
      </c>
      <c r="AN250" t="str">
        <f t="shared" si="58"/>
        <v>OK</v>
      </c>
      <c r="AO250" t="str">
        <f t="shared" si="59"/>
        <v>OK</v>
      </c>
      <c r="AP250" t="str">
        <f t="shared" si="60"/>
        <v>OK</v>
      </c>
      <c r="AR250" t="str">
        <f t="shared" si="61"/>
        <v>OK</v>
      </c>
      <c r="AS250" t="str">
        <f t="shared" si="62"/>
        <v>OK</v>
      </c>
      <c r="AT250" t="str">
        <f t="shared" si="63"/>
        <v>NOK</v>
      </c>
      <c r="AU250" t="str">
        <f t="shared" si="64"/>
        <v>OK</v>
      </c>
      <c r="AV250" t="str">
        <f t="shared" si="65"/>
        <v>OK</v>
      </c>
      <c r="AW250" t="str">
        <f t="shared" si="66"/>
        <v>OK</v>
      </c>
    </row>
    <row r="251" spans="1:49">
      <c r="A251">
        <f>Dbase_velden_versie4_2!A247</f>
        <v>247</v>
      </c>
      <c r="B251" t="str">
        <f>Dbase_velden_versie4_2!B247</f>
        <v>SD_KOPPEJAN_CS_TRAP7_8</v>
      </c>
      <c r="C251" t="str">
        <f>Dbase_velden_versie4_2!C247</f>
        <v>-</v>
      </c>
      <c r="D251" t="str">
        <f>Dbase_velden_versie4_2!D247</f>
        <v>Samendrukkingsparameter volgens Koppejan, Cs' waarde conform NEN5118, trap 7-8</v>
      </c>
      <c r="E251" t="str">
        <f>Dbase_velden_versie4_2!E247</f>
        <v>Double</v>
      </c>
      <c r="F251">
        <f>Dbase_velden_versie4_2!F247</f>
        <v>0</v>
      </c>
      <c r="G251" t="str">
        <f>Dbase_velden_versie4_2!G247</f>
        <v>SD KOPPEJAN CS TRAP7 8</v>
      </c>
      <c r="H251" t="str">
        <f>Dbase_velden_versie4_2!H247</f>
        <v>[-]</v>
      </c>
      <c r="I251" t="str">
        <f>Dbase_velden_versie4_2!I247</f>
        <v>SD</v>
      </c>
      <c r="J251" t="str">
        <f>Dbase_velden_versie4_2!J247</f>
        <v>Samendrukkingsproef</v>
      </c>
      <c r="K251">
        <v>247</v>
      </c>
      <c r="L251" t="str">
        <v>SD_KOPPEJAN_CS_TRAP7_8</v>
      </c>
      <c r="M251" t="str">
        <v>-</v>
      </c>
      <c r="N251" t="str">
        <v>Samendrukkingsparameter volgens Koppejan, Cs' waarde conform NEN5118, trap 7-8</v>
      </c>
      <c r="O251" t="str">
        <v>Double</v>
      </c>
      <c r="P251">
        <v>0</v>
      </c>
      <c r="Q251" t="str">
        <v>SD KOPPEJAN CS TRAP7 8</v>
      </c>
      <c r="R251" t="str">
        <v>[-]</v>
      </c>
      <c r="S251" t="str">
        <f t="shared" si="57"/>
        <v>OK</v>
      </c>
      <c r="T251" t="str">
        <f t="shared" si="51"/>
        <v>OK</v>
      </c>
      <c r="U251" t="str">
        <f t="shared" si="52"/>
        <v>OK</v>
      </c>
      <c r="V251" t="str">
        <f t="shared" si="53"/>
        <v>OK</v>
      </c>
      <c r="W251" t="str">
        <f t="shared" si="54"/>
        <v>OK</v>
      </c>
      <c r="X251" t="str">
        <f t="shared" si="55"/>
        <v>OK</v>
      </c>
      <c r="Y251" t="str">
        <f t="shared" si="56"/>
        <v>OK</v>
      </c>
      <c r="Z251">
        <v>246</v>
      </c>
      <c r="AA251">
        <v>248</v>
      </c>
      <c r="AB251" t="s">
        <v>2462</v>
      </c>
      <c r="AC251" t="s">
        <v>247</v>
      </c>
      <c r="AD251" t="s">
        <v>463</v>
      </c>
      <c r="AE251" t="s">
        <v>714</v>
      </c>
      <c r="AG251" t="s">
        <v>897</v>
      </c>
      <c r="AI251" t="s">
        <v>2533</v>
      </c>
      <c r="AJ251" t="s">
        <v>1395</v>
      </c>
      <c r="AK251" t="s">
        <v>2462</v>
      </c>
      <c r="AL251" t="s">
        <v>2463</v>
      </c>
      <c r="AN251" t="str">
        <f t="shared" si="58"/>
        <v>OK</v>
      </c>
      <c r="AO251" t="str">
        <f t="shared" si="59"/>
        <v>OK</v>
      </c>
      <c r="AP251" t="str">
        <f t="shared" si="60"/>
        <v>OK</v>
      </c>
      <c r="AR251" t="str">
        <f t="shared" si="61"/>
        <v>OK</v>
      </c>
      <c r="AS251" t="str">
        <f t="shared" si="62"/>
        <v>OK</v>
      </c>
      <c r="AT251" t="str">
        <f t="shared" si="63"/>
        <v>NOK</v>
      </c>
      <c r="AU251" t="str">
        <f t="shared" si="64"/>
        <v>OK</v>
      </c>
      <c r="AV251" t="str">
        <f t="shared" si="65"/>
        <v>OK</v>
      </c>
      <c r="AW251" t="str">
        <f t="shared" si="66"/>
        <v>OK</v>
      </c>
    </row>
    <row r="252" spans="1:49">
      <c r="A252">
        <f>Dbase_velden_versie4_2!A248</f>
        <v>248</v>
      </c>
      <c r="B252" t="str">
        <f>Dbase_velden_versie4_2!B248</f>
        <v>SD_KOPPEJAN_CS_TRAP8_9</v>
      </c>
      <c r="C252" t="str">
        <f>Dbase_velden_versie4_2!C248</f>
        <v>-</v>
      </c>
      <c r="D252" t="str">
        <f>Dbase_velden_versie4_2!D248</f>
        <v>Samendrukkingsparameter volgens Koppejan, Cs' waarde conform NEN5118, trap 8-9</v>
      </c>
      <c r="E252" t="str">
        <f>Dbase_velden_versie4_2!E248</f>
        <v>Double</v>
      </c>
      <c r="F252">
        <f>Dbase_velden_versie4_2!F248</f>
        <v>0</v>
      </c>
      <c r="G252" t="str">
        <f>Dbase_velden_versie4_2!G248</f>
        <v>SD KOPPEJAN CS TRAP8 9</v>
      </c>
      <c r="H252" t="str">
        <f>Dbase_velden_versie4_2!H248</f>
        <v>[-]</v>
      </c>
      <c r="I252" t="str">
        <f>Dbase_velden_versie4_2!I248</f>
        <v>SD</v>
      </c>
      <c r="J252" t="str">
        <f>Dbase_velden_versie4_2!J248</f>
        <v>Samendrukkingsproef</v>
      </c>
      <c r="K252">
        <v>248</v>
      </c>
      <c r="L252" t="str">
        <v>SD_KOPPEJAN_CS_TRAP8_9</v>
      </c>
      <c r="M252" t="str">
        <v>-</v>
      </c>
      <c r="N252" t="str">
        <v>Samendrukkingsparameter volgens Koppejan, Cs' waarde conform NEN5118, trap 8-9</v>
      </c>
      <c r="O252" t="str">
        <v>Double</v>
      </c>
      <c r="P252">
        <v>0</v>
      </c>
      <c r="Q252" t="str">
        <v>SD KOPPEJAN CS TRAP8 9</v>
      </c>
      <c r="R252" t="str">
        <v>[-]</v>
      </c>
      <c r="S252" t="str">
        <f t="shared" si="57"/>
        <v>OK</v>
      </c>
      <c r="T252" t="str">
        <f t="shared" si="51"/>
        <v>OK</v>
      </c>
      <c r="U252" t="str">
        <f t="shared" si="52"/>
        <v>OK</v>
      </c>
      <c r="V252" t="str">
        <f t="shared" si="53"/>
        <v>OK</v>
      </c>
      <c r="W252" t="str">
        <f t="shared" si="54"/>
        <v>OK</v>
      </c>
      <c r="X252" t="str">
        <f t="shared" si="55"/>
        <v>OK</v>
      </c>
      <c r="Y252" t="str">
        <f t="shared" si="56"/>
        <v>OK</v>
      </c>
      <c r="Z252">
        <v>247</v>
      </c>
      <c r="AA252">
        <v>249</v>
      </c>
      <c r="AB252" t="s">
        <v>2462</v>
      </c>
      <c r="AC252" t="s">
        <v>248</v>
      </c>
      <c r="AD252" t="s">
        <v>463</v>
      </c>
      <c r="AE252" t="s">
        <v>715</v>
      </c>
      <c r="AG252" t="s">
        <v>897</v>
      </c>
      <c r="AI252" t="s">
        <v>2534</v>
      </c>
      <c r="AJ252" t="s">
        <v>1395</v>
      </c>
      <c r="AK252" t="s">
        <v>2462</v>
      </c>
      <c r="AL252" t="s">
        <v>2463</v>
      </c>
      <c r="AN252" t="str">
        <f t="shared" si="58"/>
        <v>OK</v>
      </c>
      <c r="AO252" t="str">
        <f t="shared" si="59"/>
        <v>OK</v>
      </c>
      <c r="AP252" t="str">
        <f t="shared" si="60"/>
        <v>OK</v>
      </c>
      <c r="AR252" t="str">
        <f t="shared" si="61"/>
        <v>OK</v>
      </c>
      <c r="AS252" t="str">
        <f t="shared" si="62"/>
        <v>OK</v>
      </c>
      <c r="AT252" t="str">
        <f t="shared" si="63"/>
        <v>NOK</v>
      </c>
      <c r="AU252" t="str">
        <f t="shared" si="64"/>
        <v>OK</v>
      </c>
      <c r="AV252" t="str">
        <f t="shared" si="65"/>
        <v>OK</v>
      </c>
      <c r="AW252" t="str">
        <f t="shared" si="66"/>
        <v>OK</v>
      </c>
    </row>
    <row r="253" spans="1:49">
      <c r="A253">
        <f>Dbase_velden_versie4_2!A249</f>
        <v>249</v>
      </c>
      <c r="B253" t="str">
        <f>Dbase_velden_versie4_2!B249</f>
        <v>SD_ISOTACHE_A</v>
      </c>
      <c r="C253" t="str">
        <f>Dbase_velden_versie4_2!C249</f>
        <v>-</v>
      </c>
      <c r="D253" t="str">
        <f>Dbase_velden_versie4_2!D249</f>
        <v>Samendrukkingsparameter volgens Isotache, a-waarde</v>
      </c>
      <c r="E253" t="str">
        <f>Dbase_velden_versie4_2!E249</f>
        <v>Double</v>
      </c>
      <c r="F253" t="str">
        <f>Dbase_velden_versie4_2!F249</f>
        <v>0 - 1</v>
      </c>
      <c r="G253" t="str">
        <f>Dbase_velden_versie4_2!G249</f>
        <v>SD ISOTACHE A</v>
      </c>
      <c r="H253" t="str">
        <f>Dbase_velden_versie4_2!H249</f>
        <v>[-]</v>
      </c>
      <c r="I253" t="str">
        <f>Dbase_velden_versie4_2!I249</f>
        <v>SD</v>
      </c>
      <c r="J253" t="str">
        <f>Dbase_velden_versie4_2!J249</f>
        <v>Samendrukkingsproef</v>
      </c>
      <c r="K253">
        <v>249</v>
      </c>
      <c r="L253" t="str">
        <v>SD_ISOTACHE_A</v>
      </c>
      <c r="M253" t="str">
        <v>-</v>
      </c>
      <c r="N253" t="str">
        <v>Samendrukkingsparameter volgens Isotache, a-waarde</v>
      </c>
      <c r="O253" t="str">
        <v>Double</v>
      </c>
      <c r="P253" t="str">
        <v>0 - 1</v>
      </c>
      <c r="Q253" t="str">
        <v>SD ISOTACHE A</v>
      </c>
      <c r="R253" t="str">
        <v>[-]</v>
      </c>
      <c r="S253" t="str">
        <f t="shared" si="57"/>
        <v>OK</v>
      </c>
      <c r="T253" t="str">
        <f t="shared" si="51"/>
        <v>OK</v>
      </c>
      <c r="U253" t="str">
        <f t="shared" si="52"/>
        <v>OK</v>
      </c>
      <c r="V253" t="str">
        <f t="shared" si="53"/>
        <v>OK</v>
      </c>
      <c r="W253" t="str">
        <f t="shared" si="54"/>
        <v>OK</v>
      </c>
      <c r="X253" t="str">
        <f t="shared" si="55"/>
        <v>OK</v>
      </c>
      <c r="Y253" t="str">
        <f t="shared" si="56"/>
        <v>OK</v>
      </c>
      <c r="Z253">
        <v>248</v>
      </c>
      <c r="AA253">
        <v>250</v>
      </c>
      <c r="AB253" t="s">
        <v>2462</v>
      </c>
      <c r="AC253" t="s">
        <v>249</v>
      </c>
      <c r="AD253" t="s">
        <v>463</v>
      </c>
      <c r="AE253" t="s">
        <v>716</v>
      </c>
      <c r="AG253" t="s">
        <v>897</v>
      </c>
      <c r="AH253" t="s">
        <v>924</v>
      </c>
      <c r="AI253" t="s">
        <v>2459</v>
      </c>
      <c r="AJ253" t="s">
        <v>1395</v>
      </c>
      <c r="AK253" t="s">
        <v>2462</v>
      </c>
      <c r="AL253" t="s">
        <v>2463</v>
      </c>
      <c r="AN253" t="str">
        <f t="shared" si="58"/>
        <v>OK</v>
      </c>
      <c r="AO253" t="str">
        <f t="shared" si="59"/>
        <v>OK</v>
      </c>
      <c r="AP253" t="str">
        <f t="shared" si="60"/>
        <v>OK</v>
      </c>
      <c r="AR253" t="str">
        <f t="shared" si="61"/>
        <v>OK</v>
      </c>
      <c r="AS253" t="str">
        <f t="shared" si="62"/>
        <v>OK</v>
      </c>
      <c r="AT253" t="str">
        <f t="shared" si="63"/>
        <v>NOK</v>
      </c>
      <c r="AU253" t="str">
        <f t="shared" si="64"/>
        <v>OK</v>
      </c>
      <c r="AV253" t="str">
        <f t="shared" si="65"/>
        <v>OK</v>
      </c>
      <c r="AW253" t="str">
        <f t="shared" si="66"/>
        <v>OK</v>
      </c>
    </row>
    <row r="254" spans="1:49">
      <c r="A254">
        <f>Dbase_velden_versie4_2!A250</f>
        <v>250</v>
      </c>
      <c r="B254" t="str">
        <f>Dbase_velden_versie4_2!B250</f>
        <v>SD_ISOTACHE_B</v>
      </c>
      <c r="C254" t="str">
        <f>Dbase_velden_versie4_2!C250</f>
        <v>-</v>
      </c>
      <c r="D254" t="str">
        <f>Dbase_velden_versie4_2!D250</f>
        <v>Samendrukkingsparameter volgens Isotache, b-waarde</v>
      </c>
      <c r="E254" t="str">
        <f>Dbase_velden_versie4_2!E250</f>
        <v>Double</v>
      </c>
      <c r="F254" t="str">
        <f>Dbase_velden_versie4_2!F250</f>
        <v>0 - 1</v>
      </c>
      <c r="G254" t="str">
        <f>Dbase_velden_versie4_2!G250</f>
        <v>SD ISOTACHE B</v>
      </c>
      <c r="H254" t="str">
        <f>Dbase_velden_versie4_2!H250</f>
        <v>[-]</v>
      </c>
      <c r="I254" t="str">
        <f>Dbase_velden_versie4_2!I250</f>
        <v>SD</v>
      </c>
      <c r="J254" t="str">
        <f>Dbase_velden_versie4_2!J250</f>
        <v>Samendrukkingsproef</v>
      </c>
      <c r="K254">
        <v>250</v>
      </c>
      <c r="L254" t="str">
        <v>SD_ISOTACHE_B</v>
      </c>
      <c r="M254" t="str">
        <v>-</v>
      </c>
      <c r="N254" t="str">
        <v>Samendrukkingsparameter volgens Isotache, b-waarde</v>
      </c>
      <c r="O254" t="str">
        <v>Double</v>
      </c>
      <c r="P254" t="str">
        <v>0 - 1</v>
      </c>
      <c r="Q254" t="str">
        <v>SD ISOTACHE B</v>
      </c>
      <c r="R254" t="str">
        <v>[-]</v>
      </c>
      <c r="S254" t="str">
        <f t="shared" si="57"/>
        <v>OK</v>
      </c>
      <c r="T254" t="str">
        <f t="shared" si="51"/>
        <v>OK</v>
      </c>
      <c r="U254" t="str">
        <f t="shared" si="52"/>
        <v>OK</v>
      </c>
      <c r="V254" t="str">
        <f t="shared" si="53"/>
        <v>OK</v>
      </c>
      <c r="W254" t="str">
        <f t="shared" si="54"/>
        <v>OK</v>
      </c>
      <c r="X254" t="str">
        <f t="shared" si="55"/>
        <v>OK</v>
      </c>
      <c r="Y254" t="str">
        <f t="shared" si="56"/>
        <v>OK</v>
      </c>
      <c r="Z254">
        <v>249</v>
      </c>
      <c r="AA254">
        <v>251</v>
      </c>
      <c r="AB254" t="s">
        <v>2462</v>
      </c>
      <c r="AC254" t="s">
        <v>250</v>
      </c>
      <c r="AD254" t="s">
        <v>463</v>
      </c>
      <c r="AE254" t="s">
        <v>717</v>
      </c>
      <c r="AG254" t="s">
        <v>897</v>
      </c>
      <c r="AH254" t="s">
        <v>924</v>
      </c>
      <c r="AI254" t="s">
        <v>2460</v>
      </c>
      <c r="AJ254" t="s">
        <v>1395</v>
      </c>
      <c r="AK254" t="s">
        <v>2462</v>
      </c>
      <c r="AL254" t="s">
        <v>2463</v>
      </c>
      <c r="AN254" t="str">
        <f t="shared" si="58"/>
        <v>OK</v>
      </c>
      <c r="AO254" t="str">
        <f t="shared" si="59"/>
        <v>OK</v>
      </c>
      <c r="AP254" t="str">
        <f t="shared" si="60"/>
        <v>OK</v>
      </c>
      <c r="AR254" t="str">
        <f t="shared" si="61"/>
        <v>OK</v>
      </c>
      <c r="AS254" t="str">
        <f t="shared" si="62"/>
        <v>OK</v>
      </c>
      <c r="AT254" t="str">
        <f t="shared" si="63"/>
        <v>NOK</v>
      </c>
      <c r="AU254" t="str">
        <f t="shared" si="64"/>
        <v>OK</v>
      </c>
      <c r="AV254" t="str">
        <f t="shared" si="65"/>
        <v>OK</v>
      </c>
      <c r="AW254" t="str">
        <f t="shared" si="66"/>
        <v>OK</v>
      </c>
    </row>
    <row r="255" spans="1:49">
      <c r="A255">
        <f>Dbase_velden_versie4_2!A251</f>
        <v>251</v>
      </c>
      <c r="B255" t="str">
        <f>Dbase_velden_versie4_2!B251</f>
        <v>SD_ISOTACHE_C</v>
      </c>
      <c r="C255" t="str">
        <f>Dbase_velden_versie4_2!C251</f>
        <v>-</v>
      </c>
      <c r="D255" t="str">
        <f>Dbase_velden_versie4_2!D251</f>
        <v>Samendrukkingsparameter volgens Isotache, c-waarde</v>
      </c>
      <c r="E255" t="str">
        <f>Dbase_velden_versie4_2!E251</f>
        <v>Double</v>
      </c>
      <c r="F255" t="str">
        <f>Dbase_velden_versie4_2!F251</f>
        <v>0 - 1</v>
      </c>
      <c r="G255" t="str">
        <f>Dbase_velden_versie4_2!G251</f>
        <v>SD ISOTACHE C</v>
      </c>
      <c r="H255" t="str">
        <f>Dbase_velden_versie4_2!H251</f>
        <v>[-]</v>
      </c>
      <c r="I255" t="str">
        <f>Dbase_velden_versie4_2!I251</f>
        <v>SD</v>
      </c>
      <c r="J255" t="str">
        <f>Dbase_velden_versie4_2!J251</f>
        <v>Samendrukkingsproef</v>
      </c>
      <c r="K255">
        <v>251</v>
      </c>
      <c r="L255" t="str">
        <v>SD_ISOTACHE_C</v>
      </c>
      <c r="M255" t="str">
        <v>-</v>
      </c>
      <c r="N255" t="str">
        <v>Samendrukkingsparameter volgens Isotache, c-waarde</v>
      </c>
      <c r="O255" t="str">
        <v>Double</v>
      </c>
      <c r="P255" t="str">
        <v>0 - 1</v>
      </c>
      <c r="Q255" t="str">
        <v>SD ISOTACHE C</v>
      </c>
      <c r="R255" t="str">
        <v>[-]</v>
      </c>
      <c r="S255" t="str">
        <f t="shared" si="57"/>
        <v>OK</v>
      </c>
      <c r="T255" t="str">
        <f t="shared" si="51"/>
        <v>OK</v>
      </c>
      <c r="U255" t="str">
        <f t="shared" si="52"/>
        <v>OK</v>
      </c>
      <c r="V255" t="str">
        <f t="shared" si="53"/>
        <v>OK</v>
      </c>
      <c r="W255" t="str">
        <f t="shared" si="54"/>
        <v>OK</v>
      </c>
      <c r="X255" t="str">
        <f t="shared" si="55"/>
        <v>OK</v>
      </c>
      <c r="Y255" t="str">
        <f t="shared" si="56"/>
        <v>OK</v>
      </c>
      <c r="Z255">
        <v>250</v>
      </c>
      <c r="AA255">
        <v>252</v>
      </c>
      <c r="AB255" t="s">
        <v>2462</v>
      </c>
      <c r="AC255" t="s">
        <v>251</v>
      </c>
      <c r="AD255" t="s">
        <v>463</v>
      </c>
      <c r="AE255" t="s">
        <v>718</v>
      </c>
      <c r="AG255" t="s">
        <v>897</v>
      </c>
      <c r="AH255" t="s">
        <v>924</v>
      </c>
      <c r="AI255" t="s">
        <v>2461</v>
      </c>
      <c r="AJ255" t="s">
        <v>1395</v>
      </c>
      <c r="AK255" t="s">
        <v>2462</v>
      </c>
      <c r="AL255" t="s">
        <v>2463</v>
      </c>
      <c r="AN255" t="str">
        <f t="shared" si="58"/>
        <v>OK</v>
      </c>
      <c r="AO255" t="str">
        <f t="shared" si="59"/>
        <v>OK</v>
      </c>
      <c r="AP255" t="str">
        <f t="shared" si="60"/>
        <v>OK</v>
      </c>
      <c r="AR255" t="str">
        <f t="shared" si="61"/>
        <v>OK</v>
      </c>
      <c r="AS255" t="str">
        <f t="shared" si="62"/>
        <v>OK</v>
      </c>
      <c r="AT255" t="str">
        <f t="shared" si="63"/>
        <v>NOK</v>
      </c>
      <c r="AU255" t="str">
        <f t="shared" si="64"/>
        <v>OK</v>
      </c>
      <c r="AV255" t="str">
        <f t="shared" si="65"/>
        <v>OK</v>
      </c>
      <c r="AW255" t="str">
        <f t="shared" si="66"/>
        <v>OK</v>
      </c>
    </row>
    <row r="256" spans="1:49">
      <c r="A256">
        <f>Dbase_velden_versie4_2!A252</f>
        <v>252</v>
      </c>
      <c r="B256" t="str">
        <f>Dbase_velden_versie4_2!B252</f>
        <v>SD_ISOTACHE_GRENSSPANNING_A</v>
      </c>
      <c r="C256" t="str">
        <f>Dbase_velden_versie4_2!C252</f>
        <v>kPa</v>
      </c>
      <c r="D256" t="str">
        <f>Dbase_velden_versie4_2!D252</f>
        <v>Samendrukkingsparameter volgens Isotache, grensspanning A</v>
      </c>
      <c r="E256" t="str">
        <f>Dbase_velden_versie4_2!E252</f>
        <v>Double</v>
      </c>
      <c r="F256">
        <f>Dbase_velden_versie4_2!F252</f>
        <v>0</v>
      </c>
      <c r="G256" t="str">
        <f>Dbase_velden_versie4_2!G252</f>
        <v>SD ISOTACHE GRENSSPANNING A</v>
      </c>
      <c r="H256" t="str">
        <f>Dbase_velden_versie4_2!H252</f>
        <v>[kPa]</v>
      </c>
      <c r="I256" t="str">
        <f>Dbase_velden_versie4_2!I252</f>
        <v>SD</v>
      </c>
      <c r="J256" t="str">
        <f>Dbase_velden_versie4_2!J252</f>
        <v>Samendrukkingsproef</v>
      </c>
      <c r="K256">
        <v>252</v>
      </c>
      <c r="L256" t="str">
        <v>SD_ISOTACHE_GRENSSPANNING_A</v>
      </c>
      <c r="M256" t="str">
        <v>kPa</v>
      </c>
      <c r="N256" t="str">
        <v>Samendrukkingsparameter volgens Isotache, grensspanning A</v>
      </c>
      <c r="O256" t="str">
        <v>Double</v>
      </c>
      <c r="P256">
        <v>0</v>
      </c>
      <c r="Q256" t="str">
        <v>SD ISOTACHE GRENSSPANNING A</v>
      </c>
      <c r="R256" t="str">
        <v>[kPa]</v>
      </c>
      <c r="S256" t="str">
        <f t="shared" si="57"/>
        <v>OK</v>
      </c>
      <c r="T256" t="str">
        <f t="shared" si="51"/>
        <v>OK</v>
      </c>
      <c r="U256" t="str">
        <f t="shared" si="52"/>
        <v>OK</v>
      </c>
      <c r="V256" t="str">
        <f t="shared" si="53"/>
        <v>OK</v>
      </c>
      <c r="W256" t="str">
        <f t="shared" si="54"/>
        <v>OK</v>
      </c>
      <c r="X256" t="str">
        <f t="shared" si="55"/>
        <v>OK</v>
      </c>
      <c r="Y256" t="str">
        <f t="shared" si="56"/>
        <v>OK</v>
      </c>
      <c r="Z256">
        <v>251</v>
      </c>
      <c r="AA256">
        <v>253</v>
      </c>
      <c r="AB256" t="s">
        <v>2462</v>
      </c>
      <c r="AC256" t="s">
        <v>252</v>
      </c>
      <c r="AD256" t="s">
        <v>470</v>
      </c>
      <c r="AE256" t="s">
        <v>719</v>
      </c>
      <c r="AG256" t="s">
        <v>897</v>
      </c>
      <c r="AI256" t="s">
        <v>2535</v>
      </c>
      <c r="AJ256" t="s">
        <v>1402</v>
      </c>
      <c r="AK256" t="s">
        <v>2462</v>
      </c>
      <c r="AL256" t="s">
        <v>2463</v>
      </c>
      <c r="AN256" t="str">
        <f t="shared" si="58"/>
        <v>OK</v>
      </c>
      <c r="AO256" t="str">
        <f t="shared" si="59"/>
        <v>OK</v>
      </c>
      <c r="AP256" t="str">
        <f t="shared" si="60"/>
        <v>OK</v>
      </c>
      <c r="AR256" t="str">
        <f t="shared" si="61"/>
        <v>OK</v>
      </c>
      <c r="AS256" t="str">
        <f t="shared" si="62"/>
        <v>OK</v>
      </c>
      <c r="AT256" t="str">
        <f t="shared" si="63"/>
        <v>NOK</v>
      </c>
      <c r="AU256" t="str">
        <f t="shared" si="64"/>
        <v>OK</v>
      </c>
      <c r="AV256" t="str">
        <f t="shared" si="65"/>
        <v>OK</v>
      </c>
      <c r="AW256" t="str">
        <f t="shared" si="66"/>
        <v>OK</v>
      </c>
    </row>
    <row r="257" spans="1:49">
      <c r="A257">
        <f>Dbase_velden_versie4_2!A253</f>
        <v>253</v>
      </c>
      <c r="B257" t="str">
        <f>Dbase_velden_versie4_2!B253</f>
        <v>SD_ISOTACHE_REK_BIJ_GRENSSPANNING_A</v>
      </c>
      <c r="C257" t="str">
        <f>Dbase_velden_versie4_2!C253</f>
        <v>%</v>
      </c>
      <c r="D257" t="str">
        <f>Dbase_velden_versie4_2!D253</f>
        <v>Samendrukkingsparameter volgens Isotache, rek bij grensspanning A</v>
      </c>
      <c r="E257" t="str">
        <f>Dbase_velden_versie4_2!E253</f>
        <v>Double</v>
      </c>
      <c r="F257" t="str">
        <f>Dbase_velden_versie4_2!F253</f>
        <v>0% - 100%</v>
      </c>
      <c r="G257" t="str">
        <f>Dbase_velden_versie4_2!G253</f>
        <v>SD ISOTACHE REK BIJ GRENSSPANNING A</v>
      </c>
      <c r="H257" t="str">
        <f>Dbase_velden_versie4_2!H253</f>
        <v>[%]</v>
      </c>
      <c r="I257" t="str">
        <f>Dbase_velden_versie4_2!I253</f>
        <v>SD</v>
      </c>
      <c r="J257" t="str">
        <f>Dbase_velden_versie4_2!J253</f>
        <v>Samendrukkingsproef</v>
      </c>
      <c r="K257">
        <v>253</v>
      </c>
      <c r="L257" t="str">
        <v>SD_ISOTACHE_REK_BIJ_GRENSSPANNING_A</v>
      </c>
      <c r="M257" t="str">
        <v>%</v>
      </c>
      <c r="N257" t="str">
        <v>Samendrukkingsparameter volgens Isotache, rek bij grensspanning A</v>
      </c>
      <c r="O257" t="str">
        <v>Double</v>
      </c>
      <c r="P257" t="str">
        <v>0% - 100%</v>
      </c>
      <c r="Q257" t="str">
        <v>SD ISOTACHE REK BIJ GRENSSPANNING A</v>
      </c>
      <c r="R257" t="str">
        <v>[%]</v>
      </c>
      <c r="S257" t="str">
        <f t="shared" si="57"/>
        <v>OK</v>
      </c>
      <c r="T257" t="str">
        <f t="shared" si="51"/>
        <v>OK</v>
      </c>
      <c r="U257" t="str">
        <f t="shared" si="52"/>
        <v>OK</v>
      </c>
      <c r="V257" t="str">
        <f t="shared" si="53"/>
        <v>OK</v>
      </c>
      <c r="W257" t="str">
        <f t="shared" si="54"/>
        <v>OK</v>
      </c>
      <c r="X257" t="str">
        <f t="shared" si="55"/>
        <v>OK</v>
      </c>
      <c r="Y257" t="str">
        <f t="shared" si="56"/>
        <v>OK</v>
      </c>
      <c r="Z257">
        <v>252</v>
      </c>
      <c r="AA257">
        <v>254</v>
      </c>
      <c r="AB257" t="s">
        <v>2462</v>
      </c>
      <c r="AC257" t="s">
        <v>253</v>
      </c>
      <c r="AD257" t="s">
        <v>468</v>
      </c>
      <c r="AE257" t="s">
        <v>720</v>
      </c>
      <c r="AG257" t="s">
        <v>897</v>
      </c>
      <c r="AH257" t="s">
        <v>911</v>
      </c>
      <c r="AI257" t="s">
        <v>2536</v>
      </c>
      <c r="AJ257" t="s">
        <v>1400</v>
      </c>
      <c r="AK257" t="s">
        <v>2462</v>
      </c>
      <c r="AL257" t="s">
        <v>2463</v>
      </c>
      <c r="AN257" t="str">
        <f t="shared" si="58"/>
        <v>OK</v>
      </c>
      <c r="AO257" t="str">
        <f t="shared" si="59"/>
        <v>OK</v>
      </c>
      <c r="AP257" t="str">
        <f t="shared" si="60"/>
        <v>OK</v>
      </c>
      <c r="AR257" t="str">
        <f t="shared" si="61"/>
        <v>OK</v>
      </c>
      <c r="AS257" t="str">
        <f t="shared" si="62"/>
        <v>OK</v>
      </c>
      <c r="AT257" t="str">
        <f t="shared" si="63"/>
        <v>NOK</v>
      </c>
      <c r="AU257" t="str">
        <f t="shared" si="64"/>
        <v>OK</v>
      </c>
      <c r="AV257" t="str">
        <f t="shared" si="65"/>
        <v>OK</v>
      </c>
      <c r="AW257" t="str">
        <f t="shared" si="66"/>
        <v>OK</v>
      </c>
    </row>
    <row r="258" spans="1:49">
      <c r="A258">
        <f>Dbase_velden_versie4_2!A254</f>
        <v>254</v>
      </c>
      <c r="B258" t="str">
        <f>Dbase_velden_versie4_2!B254</f>
        <v>SD_ISOTACHE_BOVENGRENS_GRENSSPANNING_B</v>
      </c>
      <c r="C258" t="str">
        <f>Dbase_velden_versie4_2!C254</f>
        <v>kPa</v>
      </c>
      <c r="D258" t="str">
        <f>Dbase_velden_versie4_2!D254</f>
        <v>Samendrukkingsparameter volgens Isotache, bovengrens van de grensspanning B</v>
      </c>
      <c r="E258" t="str">
        <f>Dbase_velden_versie4_2!E254</f>
        <v>Double</v>
      </c>
      <c r="F258">
        <f>Dbase_velden_versie4_2!F254</f>
        <v>0</v>
      </c>
      <c r="G258" t="str">
        <f>Dbase_velden_versie4_2!G254</f>
        <v>SD ISOTACHE BOVENGRENS GRENSSPANNING B</v>
      </c>
      <c r="H258" t="str">
        <f>Dbase_velden_versie4_2!H254</f>
        <v>[kPa]</v>
      </c>
      <c r="I258" t="str">
        <f>Dbase_velden_versie4_2!I254</f>
        <v>SD</v>
      </c>
      <c r="J258" t="str">
        <f>Dbase_velden_versie4_2!J254</f>
        <v>Samendrukkingsproef</v>
      </c>
      <c r="K258">
        <v>254</v>
      </c>
      <c r="L258" t="str">
        <v>SD_ISOTACHE_BOVENGRENS_GRENSSPANNING_B</v>
      </c>
      <c r="M258" t="str">
        <v>kPa</v>
      </c>
      <c r="N258" t="str">
        <v>Samendrukkingsparameter volgens Isotache, bovengrens van de grensspanning B</v>
      </c>
      <c r="O258" t="str">
        <v>Double</v>
      </c>
      <c r="P258">
        <v>0</v>
      </c>
      <c r="Q258" t="str">
        <v>SD ISOTACHE BOVENGRENS GRENSSPANNING B</v>
      </c>
      <c r="R258" t="str">
        <v>[kPa]</v>
      </c>
      <c r="S258" t="str">
        <f t="shared" si="57"/>
        <v>OK</v>
      </c>
      <c r="T258" t="str">
        <f t="shared" si="51"/>
        <v>OK</v>
      </c>
      <c r="U258" t="str">
        <f t="shared" si="52"/>
        <v>OK</v>
      </c>
      <c r="V258" t="str">
        <f t="shared" si="53"/>
        <v>OK</v>
      </c>
      <c r="W258" t="str">
        <f t="shared" si="54"/>
        <v>OK</v>
      </c>
      <c r="X258" t="str">
        <f t="shared" si="55"/>
        <v>OK</v>
      </c>
      <c r="Y258" t="str">
        <f t="shared" si="56"/>
        <v>OK</v>
      </c>
      <c r="Z258">
        <v>253</v>
      </c>
      <c r="AA258">
        <v>255</v>
      </c>
      <c r="AB258" t="s">
        <v>2462</v>
      </c>
      <c r="AC258" t="s">
        <v>254</v>
      </c>
      <c r="AD258" t="s">
        <v>470</v>
      </c>
      <c r="AE258" t="s">
        <v>721</v>
      </c>
      <c r="AG258" t="s">
        <v>897</v>
      </c>
      <c r="AI258" t="s">
        <v>2537</v>
      </c>
      <c r="AJ258" t="s">
        <v>1402</v>
      </c>
      <c r="AK258" t="s">
        <v>2462</v>
      </c>
      <c r="AL258" t="s">
        <v>2463</v>
      </c>
      <c r="AN258" t="str">
        <f t="shared" si="58"/>
        <v>OK</v>
      </c>
      <c r="AO258" t="str">
        <f t="shared" si="59"/>
        <v>OK</v>
      </c>
      <c r="AP258" t="str">
        <f t="shared" si="60"/>
        <v>OK</v>
      </c>
      <c r="AR258" t="str">
        <f t="shared" si="61"/>
        <v>OK</v>
      </c>
      <c r="AS258" t="str">
        <f t="shared" si="62"/>
        <v>OK</v>
      </c>
      <c r="AT258" t="str">
        <f t="shared" si="63"/>
        <v>NOK</v>
      </c>
      <c r="AU258" t="str">
        <f t="shared" si="64"/>
        <v>OK</v>
      </c>
      <c r="AV258" t="str">
        <f t="shared" si="65"/>
        <v>OK</v>
      </c>
      <c r="AW258" t="str">
        <f t="shared" si="66"/>
        <v>OK</v>
      </c>
    </row>
    <row r="259" spans="1:49">
      <c r="A259">
        <f>Dbase_velden_versie4_2!A255</f>
        <v>255</v>
      </c>
      <c r="B259" t="str">
        <f>Dbase_velden_versie4_2!B255</f>
        <v>SD_CASAGRANDE_CV10_TRAP2</v>
      </c>
      <c r="C259" t="str">
        <f>Dbase_velden_versie4_2!C255</f>
        <v>m2/s</v>
      </c>
      <c r="D259" t="str">
        <f>Dbase_velden_versie4_2!D255</f>
        <v>Waarde van de bepaling volgens Casagrande van de Cv; 10 (m2/s) bij trap 2</v>
      </c>
      <c r="E259" t="str">
        <f>Dbase_velden_versie4_2!E255</f>
        <v>Double</v>
      </c>
      <c r="F259">
        <f>Dbase_velden_versie4_2!F255</f>
        <v>0</v>
      </c>
      <c r="G259" t="str">
        <f>Dbase_velden_versie4_2!G255</f>
        <v>SD CASAGRANDE CV10 TRAP2</v>
      </c>
      <c r="H259" t="str">
        <f>Dbase_velden_versie4_2!H255</f>
        <v>[m2/s]</v>
      </c>
      <c r="I259" t="str">
        <f>Dbase_velden_versie4_2!I255</f>
        <v>SD</v>
      </c>
      <c r="J259" t="str">
        <f>Dbase_velden_versie4_2!J255</f>
        <v>Samendrukkingsproef</v>
      </c>
      <c r="K259">
        <v>255</v>
      </c>
      <c r="L259" t="str">
        <v>SD_CASAGRANDE_CV10_TRAP2</v>
      </c>
      <c r="M259" t="str">
        <v>m2/s</v>
      </c>
      <c r="N259" t="str">
        <v>Waarde van de bepaling volgens Casagrande van de Cv; 10 (m2/s) bij trap 2</v>
      </c>
      <c r="O259" t="str">
        <v>Double</v>
      </c>
      <c r="P259">
        <v>0</v>
      </c>
      <c r="Q259" t="str">
        <v>SD CASAGRANDE CV10 TRAP2</v>
      </c>
      <c r="R259" t="str">
        <v>[m2/s]</v>
      </c>
      <c r="S259" t="str">
        <f t="shared" si="57"/>
        <v>OK</v>
      </c>
      <c r="T259" t="str">
        <f t="shared" si="51"/>
        <v>OK</v>
      </c>
      <c r="U259" t="str">
        <f t="shared" si="52"/>
        <v>OK</v>
      </c>
      <c r="V259" t="str">
        <f t="shared" si="53"/>
        <v>OK</v>
      </c>
      <c r="W259" t="str">
        <f t="shared" si="54"/>
        <v>OK</v>
      </c>
      <c r="X259" t="str">
        <f t="shared" si="55"/>
        <v>OK</v>
      </c>
      <c r="Y259" t="str">
        <f t="shared" si="56"/>
        <v>OK</v>
      </c>
      <c r="Z259">
        <v>254</v>
      </c>
      <c r="AA259">
        <v>256</v>
      </c>
      <c r="AB259" t="s">
        <v>2462</v>
      </c>
      <c r="AC259" t="s">
        <v>255</v>
      </c>
      <c r="AD259" t="s">
        <v>478</v>
      </c>
      <c r="AE259" t="s">
        <v>722</v>
      </c>
      <c r="AG259" t="s">
        <v>897</v>
      </c>
      <c r="AI259" t="s">
        <v>2538</v>
      </c>
      <c r="AJ259" t="s">
        <v>1410</v>
      </c>
      <c r="AK259" t="s">
        <v>2462</v>
      </c>
      <c r="AL259" t="s">
        <v>2463</v>
      </c>
      <c r="AN259" t="str">
        <f t="shared" si="58"/>
        <v>OK</v>
      </c>
      <c r="AO259" t="str">
        <f t="shared" si="59"/>
        <v>OK</v>
      </c>
      <c r="AP259" t="str">
        <f t="shared" si="60"/>
        <v>OK</v>
      </c>
      <c r="AR259" t="str">
        <f t="shared" si="61"/>
        <v>OK</v>
      </c>
      <c r="AS259" t="str">
        <f t="shared" si="62"/>
        <v>OK</v>
      </c>
      <c r="AT259" t="str">
        <f t="shared" si="63"/>
        <v>NOK</v>
      </c>
      <c r="AU259" t="str">
        <f t="shared" si="64"/>
        <v>OK</v>
      </c>
      <c r="AV259" t="str">
        <f t="shared" si="65"/>
        <v>OK</v>
      </c>
      <c r="AW259" t="str">
        <f t="shared" si="66"/>
        <v>OK</v>
      </c>
    </row>
    <row r="260" spans="1:49">
      <c r="A260">
        <f>Dbase_velden_versie4_2!A256</f>
        <v>256</v>
      </c>
      <c r="B260" t="str">
        <f>Dbase_velden_versie4_2!B256</f>
        <v>SD_CASAGRANDE_CV10_TRAP3</v>
      </c>
      <c r="C260" t="str">
        <f>Dbase_velden_versie4_2!C256</f>
        <v>m2/s</v>
      </c>
      <c r="D260" t="str">
        <f>Dbase_velden_versie4_2!D256</f>
        <v>Waarde van de bepaling volgens Casagrande van de Cv; 10 (m2/s) bij trap 3</v>
      </c>
      <c r="E260" t="str">
        <f>Dbase_velden_versie4_2!E256</f>
        <v>Double</v>
      </c>
      <c r="F260">
        <f>Dbase_velden_versie4_2!F256</f>
        <v>0</v>
      </c>
      <c r="G260" t="str">
        <f>Dbase_velden_versie4_2!G256</f>
        <v>SD CASAGRANDE CV10 TRAP3</v>
      </c>
      <c r="H260" t="str">
        <f>Dbase_velden_versie4_2!H256</f>
        <v>[m2/s]</v>
      </c>
      <c r="I260" t="str">
        <f>Dbase_velden_versie4_2!I256</f>
        <v>SD</v>
      </c>
      <c r="J260" t="str">
        <f>Dbase_velden_versie4_2!J256</f>
        <v>Samendrukkingsproef</v>
      </c>
      <c r="K260">
        <v>256</v>
      </c>
      <c r="L260" t="str">
        <v>SD_CASAGRANDE_CV10_TRAP3</v>
      </c>
      <c r="M260" t="str">
        <v>m2/s</v>
      </c>
      <c r="N260" t="str">
        <v>Waarde van de bepaling volgens Casagrande van de Cv; 10 (m2/s) bij trap 3</v>
      </c>
      <c r="O260" t="str">
        <v>Double</v>
      </c>
      <c r="P260">
        <v>0</v>
      </c>
      <c r="Q260" t="str">
        <v>SD CASAGRANDE CV10 TRAP3</v>
      </c>
      <c r="R260" t="str">
        <v>[m2/s]</v>
      </c>
      <c r="S260" t="str">
        <f t="shared" si="57"/>
        <v>OK</v>
      </c>
      <c r="T260" t="str">
        <f t="shared" si="51"/>
        <v>OK</v>
      </c>
      <c r="U260" t="str">
        <f t="shared" si="52"/>
        <v>OK</v>
      </c>
      <c r="V260" t="str">
        <f t="shared" si="53"/>
        <v>OK</v>
      </c>
      <c r="W260" t="str">
        <f t="shared" si="54"/>
        <v>OK</v>
      </c>
      <c r="X260" t="str">
        <f t="shared" si="55"/>
        <v>OK</v>
      </c>
      <c r="Y260" t="str">
        <f t="shared" si="56"/>
        <v>OK</v>
      </c>
      <c r="Z260">
        <v>255</v>
      </c>
      <c r="AA260">
        <v>257</v>
      </c>
      <c r="AB260" t="s">
        <v>2462</v>
      </c>
      <c r="AC260" t="s">
        <v>256</v>
      </c>
      <c r="AD260" t="s">
        <v>478</v>
      </c>
      <c r="AE260" t="s">
        <v>723</v>
      </c>
      <c r="AG260" t="s">
        <v>897</v>
      </c>
      <c r="AI260" t="s">
        <v>2539</v>
      </c>
      <c r="AJ260" t="s">
        <v>1410</v>
      </c>
      <c r="AK260" t="s">
        <v>2462</v>
      </c>
      <c r="AL260" t="s">
        <v>2463</v>
      </c>
      <c r="AN260" t="str">
        <f t="shared" si="58"/>
        <v>OK</v>
      </c>
      <c r="AO260" t="str">
        <f t="shared" si="59"/>
        <v>OK</v>
      </c>
      <c r="AP260" t="str">
        <f t="shared" si="60"/>
        <v>OK</v>
      </c>
      <c r="AR260" t="str">
        <f t="shared" si="61"/>
        <v>OK</v>
      </c>
      <c r="AS260" t="str">
        <f t="shared" si="62"/>
        <v>OK</v>
      </c>
      <c r="AT260" t="str">
        <f t="shared" si="63"/>
        <v>NOK</v>
      </c>
      <c r="AU260" t="str">
        <f t="shared" si="64"/>
        <v>OK</v>
      </c>
      <c r="AV260" t="str">
        <f t="shared" si="65"/>
        <v>OK</v>
      </c>
      <c r="AW260" t="str">
        <f t="shared" si="66"/>
        <v>OK</v>
      </c>
    </row>
    <row r="261" spans="1:49">
      <c r="A261">
        <f>Dbase_velden_versie4_2!A257</f>
        <v>257</v>
      </c>
      <c r="B261" t="str">
        <f>Dbase_velden_versie4_2!B257</f>
        <v>SD_CASAGRANDE_CV10_TRAP4</v>
      </c>
      <c r="C261" t="str">
        <f>Dbase_velden_versie4_2!C257</f>
        <v>m2/s</v>
      </c>
      <c r="D261" t="str">
        <f>Dbase_velden_versie4_2!D257</f>
        <v>Waarde van de bepaling volgens Casagrande van de Cv; 10 (m2/s) bij trap 4</v>
      </c>
      <c r="E261" t="str">
        <f>Dbase_velden_versie4_2!E257</f>
        <v>Double</v>
      </c>
      <c r="F261">
        <f>Dbase_velden_versie4_2!F257</f>
        <v>0</v>
      </c>
      <c r="G261" t="str">
        <f>Dbase_velden_versie4_2!G257</f>
        <v>SD CASAGRANDE CV10 TRAP4</v>
      </c>
      <c r="H261" t="str">
        <f>Dbase_velden_versie4_2!H257</f>
        <v>[m2/s]</v>
      </c>
      <c r="I261" t="str">
        <f>Dbase_velden_versie4_2!I257</f>
        <v>SD</v>
      </c>
      <c r="J261" t="str">
        <f>Dbase_velden_versie4_2!J257</f>
        <v>Samendrukkingsproef</v>
      </c>
      <c r="K261">
        <v>257</v>
      </c>
      <c r="L261" t="str">
        <v>SD_CASAGRANDE_CV10_TRAP4</v>
      </c>
      <c r="M261" t="str">
        <v>m2/s</v>
      </c>
      <c r="N261" t="str">
        <v>Waarde van de bepaling volgens Casagrande van de Cv; 10 (m2/s) bij trap 4</v>
      </c>
      <c r="O261" t="str">
        <v>Double</v>
      </c>
      <c r="P261">
        <v>0</v>
      </c>
      <c r="Q261" t="str">
        <v>SD CASAGRANDE CV10 TRAP4</v>
      </c>
      <c r="R261" t="str">
        <v>[m2/s]</v>
      </c>
      <c r="S261" t="str">
        <f t="shared" si="57"/>
        <v>OK</v>
      </c>
      <c r="T261" t="str">
        <f t="shared" si="51"/>
        <v>OK</v>
      </c>
      <c r="U261" t="str">
        <f t="shared" si="52"/>
        <v>OK</v>
      </c>
      <c r="V261" t="str">
        <f t="shared" si="53"/>
        <v>OK</v>
      </c>
      <c r="W261" t="str">
        <f t="shared" si="54"/>
        <v>OK</v>
      </c>
      <c r="X261" t="str">
        <f t="shared" si="55"/>
        <v>OK</v>
      </c>
      <c r="Y261" t="str">
        <f t="shared" si="56"/>
        <v>OK</v>
      </c>
      <c r="Z261">
        <v>256</v>
      </c>
      <c r="AA261">
        <v>258</v>
      </c>
      <c r="AB261" t="s">
        <v>2462</v>
      </c>
      <c r="AC261" t="s">
        <v>257</v>
      </c>
      <c r="AD261" t="s">
        <v>478</v>
      </c>
      <c r="AE261" t="s">
        <v>724</v>
      </c>
      <c r="AG261" t="s">
        <v>897</v>
      </c>
      <c r="AI261" t="s">
        <v>2540</v>
      </c>
      <c r="AJ261" t="s">
        <v>1410</v>
      </c>
      <c r="AK261" t="s">
        <v>2462</v>
      </c>
      <c r="AL261" t="s">
        <v>2463</v>
      </c>
      <c r="AN261" t="str">
        <f t="shared" si="58"/>
        <v>OK</v>
      </c>
      <c r="AO261" t="str">
        <f t="shared" si="59"/>
        <v>OK</v>
      </c>
      <c r="AP261" t="str">
        <f t="shared" si="60"/>
        <v>OK</v>
      </c>
      <c r="AR261" t="str">
        <f t="shared" si="61"/>
        <v>OK</v>
      </c>
      <c r="AS261" t="str">
        <f t="shared" si="62"/>
        <v>OK</v>
      </c>
      <c r="AT261" t="str">
        <f t="shared" si="63"/>
        <v>NOK</v>
      </c>
      <c r="AU261" t="str">
        <f t="shared" si="64"/>
        <v>OK</v>
      </c>
      <c r="AV261" t="str">
        <f t="shared" si="65"/>
        <v>OK</v>
      </c>
      <c r="AW261" t="str">
        <f t="shared" si="66"/>
        <v>OK</v>
      </c>
    </row>
    <row r="262" spans="1:49">
      <c r="A262">
        <f>Dbase_velden_versie4_2!A258</f>
        <v>258</v>
      </c>
      <c r="B262" t="str">
        <f>Dbase_velden_versie4_2!B258</f>
        <v>SD_CASAGRANDE_CV10_TRAP5</v>
      </c>
      <c r="C262" t="str">
        <f>Dbase_velden_versie4_2!C258</f>
        <v>m2/s</v>
      </c>
      <c r="D262" t="str">
        <f>Dbase_velden_versie4_2!D258</f>
        <v>Waarde van de bepaling volgens Casagrande van de Cv; 10 (m2/s) bij trap 5</v>
      </c>
      <c r="E262" t="str">
        <f>Dbase_velden_versie4_2!E258</f>
        <v>Double</v>
      </c>
      <c r="F262">
        <f>Dbase_velden_versie4_2!F258</f>
        <v>0</v>
      </c>
      <c r="G262" t="str">
        <f>Dbase_velden_versie4_2!G258</f>
        <v>SD CASAGRANDE CV10 TRAP5</v>
      </c>
      <c r="H262" t="str">
        <f>Dbase_velden_versie4_2!H258</f>
        <v>[m2/s]</v>
      </c>
      <c r="I262" t="str">
        <f>Dbase_velden_versie4_2!I258</f>
        <v>SD</v>
      </c>
      <c r="J262" t="str">
        <f>Dbase_velden_versie4_2!J258</f>
        <v>Samendrukkingsproef</v>
      </c>
      <c r="K262">
        <v>258</v>
      </c>
      <c r="L262" t="str">
        <v>SD_CASAGRANDE_CV10_TRAP5</v>
      </c>
      <c r="M262" t="str">
        <v>m2/s</v>
      </c>
      <c r="N262" t="str">
        <v>Waarde van de bepaling volgens Casagrande van de Cv; 10 (m2/s) bij trap 5</v>
      </c>
      <c r="O262" t="str">
        <v>Double</v>
      </c>
      <c r="P262">
        <v>0</v>
      </c>
      <c r="Q262" t="str">
        <v>SD CASAGRANDE CV10 TRAP5</v>
      </c>
      <c r="R262" t="str">
        <v>[m2/s]</v>
      </c>
      <c r="S262" t="str">
        <f t="shared" si="57"/>
        <v>OK</v>
      </c>
      <c r="T262" t="str">
        <f t="shared" ref="T262:T325" si="67">IF(B262=L262,"OK","NOK")</f>
        <v>OK</v>
      </c>
      <c r="U262" t="str">
        <f t="shared" ref="U262:U325" si="68">IF(C262=M262,"OK","NOK")</f>
        <v>OK</v>
      </c>
      <c r="V262" t="str">
        <f t="shared" ref="V262:V325" si="69">IF(D262=N262,"OK","NOK")</f>
        <v>OK</v>
      </c>
      <c r="W262" t="str">
        <f t="shared" ref="W262:W325" si="70">IF(E262=O262,"OK","NOK")</f>
        <v>OK</v>
      </c>
      <c r="X262" t="str">
        <f t="shared" ref="X262:X325" si="71">IF(F262=P262,"OK","NOK")</f>
        <v>OK</v>
      </c>
      <c r="Y262" t="str">
        <f t="shared" ref="Y262:Y325" si="72">IF(G262=Q262,"OK","NOK")</f>
        <v>OK</v>
      </c>
      <c r="Z262">
        <v>257</v>
      </c>
      <c r="AA262">
        <v>259</v>
      </c>
      <c r="AB262" t="s">
        <v>2462</v>
      </c>
      <c r="AC262" t="s">
        <v>258</v>
      </c>
      <c r="AD262" t="s">
        <v>478</v>
      </c>
      <c r="AE262" t="s">
        <v>725</v>
      </c>
      <c r="AG262" t="s">
        <v>897</v>
      </c>
      <c r="AI262" t="s">
        <v>2541</v>
      </c>
      <c r="AJ262" t="s">
        <v>1410</v>
      </c>
      <c r="AK262" t="s">
        <v>2462</v>
      </c>
      <c r="AL262" t="s">
        <v>2463</v>
      </c>
      <c r="AN262" t="str">
        <f t="shared" si="58"/>
        <v>OK</v>
      </c>
      <c r="AO262" t="str">
        <f t="shared" si="59"/>
        <v>OK</v>
      </c>
      <c r="AP262" t="str">
        <f t="shared" si="60"/>
        <v>OK</v>
      </c>
      <c r="AR262" t="str">
        <f t="shared" si="61"/>
        <v>OK</v>
      </c>
      <c r="AS262" t="str">
        <f t="shared" si="62"/>
        <v>OK</v>
      </c>
      <c r="AT262" t="str">
        <f t="shared" si="63"/>
        <v>NOK</v>
      </c>
      <c r="AU262" t="str">
        <f t="shared" si="64"/>
        <v>OK</v>
      </c>
      <c r="AV262" t="str">
        <f t="shared" si="65"/>
        <v>OK</v>
      </c>
      <c r="AW262" t="str">
        <f t="shared" si="66"/>
        <v>OK</v>
      </c>
    </row>
    <row r="263" spans="1:49">
      <c r="A263">
        <f>Dbase_velden_versie4_2!A259</f>
        <v>259</v>
      </c>
      <c r="B263" t="str">
        <f>Dbase_velden_versie4_2!B259</f>
        <v>SD_CASAGRANDE_CV10_TRAP6</v>
      </c>
      <c r="C263" t="str">
        <f>Dbase_velden_versie4_2!C259</f>
        <v>m2/s</v>
      </c>
      <c r="D263" t="str">
        <f>Dbase_velden_versie4_2!D259</f>
        <v>Waarde van de bepaling volgens Casagrande van de Cv; 10 (m2/s) bij trap 6</v>
      </c>
      <c r="E263" t="str">
        <f>Dbase_velden_versie4_2!E259</f>
        <v>Double</v>
      </c>
      <c r="F263">
        <f>Dbase_velden_versie4_2!F259</f>
        <v>0</v>
      </c>
      <c r="G263" t="str">
        <f>Dbase_velden_versie4_2!G259</f>
        <v>SD CASAGRANDE CV10 TRAP6</v>
      </c>
      <c r="H263" t="str">
        <f>Dbase_velden_versie4_2!H259</f>
        <v>[m2/s]</v>
      </c>
      <c r="I263" t="str">
        <f>Dbase_velden_versie4_2!I259</f>
        <v>SD</v>
      </c>
      <c r="J263" t="str">
        <f>Dbase_velden_versie4_2!J259</f>
        <v>Samendrukkingsproef</v>
      </c>
      <c r="K263">
        <v>259</v>
      </c>
      <c r="L263" t="str">
        <v>SD_CASAGRANDE_CV10_TRAP6</v>
      </c>
      <c r="M263" t="str">
        <v>m2/s</v>
      </c>
      <c r="N263" t="str">
        <v>Waarde van de bepaling volgens Casagrande van de Cv; 10 (m2/s) bij trap 6</v>
      </c>
      <c r="O263" t="str">
        <v>Double</v>
      </c>
      <c r="P263">
        <v>0</v>
      </c>
      <c r="Q263" t="str">
        <v>SD CASAGRANDE CV10 TRAP6</v>
      </c>
      <c r="R263" t="str">
        <v>[m2/s]</v>
      </c>
      <c r="S263" t="str">
        <f t="shared" ref="S263:S326" si="73">IF(A263=K263,"OK","NOK")</f>
        <v>OK</v>
      </c>
      <c r="T263" t="str">
        <f t="shared" si="67"/>
        <v>OK</v>
      </c>
      <c r="U263" t="str">
        <f t="shared" si="68"/>
        <v>OK</v>
      </c>
      <c r="V263" t="str">
        <f t="shared" si="69"/>
        <v>OK</v>
      </c>
      <c r="W263" t="str">
        <f t="shared" si="70"/>
        <v>OK</v>
      </c>
      <c r="X263" t="str">
        <f t="shared" si="71"/>
        <v>OK</v>
      </c>
      <c r="Y263" t="str">
        <f t="shared" si="72"/>
        <v>OK</v>
      </c>
      <c r="Z263">
        <v>258</v>
      </c>
      <c r="AA263">
        <v>260</v>
      </c>
      <c r="AB263" t="s">
        <v>2462</v>
      </c>
      <c r="AC263" t="s">
        <v>259</v>
      </c>
      <c r="AD263" t="s">
        <v>478</v>
      </c>
      <c r="AE263" t="s">
        <v>726</v>
      </c>
      <c r="AG263" t="s">
        <v>897</v>
      </c>
      <c r="AI263" t="s">
        <v>2542</v>
      </c>
      <c r="AJ263" t="s">
        <v>1410</v>
      </c>
      <c r="AK263" t="s">
        <v>2462</v>
      </c>
      <c r="AL263" t="s">
        <v>2463</v>
      </c>
      <c r="AN263" t="str">
        <f t="shared" ref="AN263:AN326" si="74">IF(B263=AC263,"OK","NOK")</f>
        <v>OK</v>
      </c>
      <c r="AO263" t="str">
        <f t="shared" ref="AO263:AO326" si="75">IF(C263=AD263,"OK","NOK")</f>
        <v>OK</v>
      </c>
      <c r="AP263" t="str">
        <f t="shared" ref="AP263:AP326" si="76">IF(D263=AE263,"OK","NOK")</f>
        <v>OK</v>
      </c>
      <c r="AR263" t="str">
        <f t="shared" ref="AR263:AR326" si="77">IF(E263=AG263,"OK","NOK")</f>
        <v>OK</v>
      </c>
      <c r="AS263" t="str">
        <f t="shared" ref="AS263:AS326" si="78">IF(F263=AH263,"OK","NOK")</f>
        <v>OK</v>
      </c>
      <c r="AT263" t="str">
        <f t="shared" ref="AT263:AT326" si="79">IF(G263=AI263,"OK","NOK")</f>
        <v>NOK</v>
      </c>
      <c r="AU263" t="str">
        <f t="shared" ref="AU263:AU326" si="80">IF(H263=AJ263,"OK","NOK")</f>
        <v>OK</v>
      </c>
      <c r="AV263" t="str">
        <f t="shared" ref="AV263:AV326" si="81">IF(I263=AK263,"OK","NOK")</f>
        <v>OK</v>
      </c>
      <c r="AW263" t="str">
        <f t="shared" ref="AW263:AW326" si="82">IF(J263=AL263,"OK","NOK")</f>
        <v>OK</v>
      </c>
    </row>
    <row r="264" spans="1:49">
      <c r="A264">
        <f>Dbase_velden_versie4_2!A260</f>
        <v>260</v>
      </c>
      <c r="B264" t="str">
        <f>Dbase_velden_versie4_2!B260</f>
        <v>SD_CASAGRANDE_CV10_TRAP7</v>
      </c>
      <c r="C264" t="str">
        <f>Dbase_velden_versie4_2!C260</f>
        <v>m2/s</v>
      </c>
      <c r="D264" t="str">
        <f>Dbase_velden_versie4_2!D260</f>
        <v>Waarde van de bepaling volgens Casagrande van de Cv; 10 (m2/s) bij trap 7</v>
      </c>
      <c r="E264" t="str">
        <f>Dbase_velden_versie4_2!E260</f>
        <v>Double</v>
      </c>
      <c r="F264">
        <f>Dbase_velden_versie4_2!F260</f>
        <v>0</v>
      </c>
      <c r="G264" t="str">
        <f>Dbase_velden_versie4_2!G260</f>
        <v>SD CASAGRANDE CV10 TRAP7</v>
      </c>
      <c r="H264" t="str">
        <f>Dbase_velden_versie4_2!H260</f>
        <v>[m2/s]</v>
      </c>
      <c r="I264" t="str">
        <f>Dbase_velden_versie4_2!I260</f>
        <v>SD</v>
      </c>
      <c r="J264" t="str">
        <f>Dbase_velden_versie4_2!J260</f>
        <v>Samendrukkingsproef</v>
      </c>
      <c r="K264">
        <v>260</v>
      </c>
      <c r="L264" t="str">
        <v>SD_CASAGRANDE_CV10_TRAP7</v>
      </c>
      <c r="M264" t="str">
        <v>m2/s</v>
      </c>
      <c r="N264" t="str">
        <v>Waarde van de bepaling volgens Casagrande van de Cv; 10 (m2/s) bij trap 7</v>
      </c>
      <c r="O264" t="str">
        <v>Double</v>
      </c>
      <c r="P264">
        <v>0</v>
      </c>
      <c r="Q264" t="str">
        <v>SD CASAGRANDE CV10 TRAP7</v>
      </c>
      <c r="R264" t="str">
        <v>[m2/s]</v>
      </c>
      <c r="S264" t="str">
        <f t="shared" si="73"/>
        <v>OK</v>
      </c>
      <c r="T264" t="str">
        <f t="shared" si="67"/>
        <v>OK</v>
      </c>
      <c r="U264" t="str">
        <f t="shared" si="68"/>
        <v>OK</v>
      </c>
      <c r="V264" t="str">
        <f t="shared" si="69"/>
        <v>OK</v>
      </c>
      <c r="W264" t="str">
        <f t="shared" si="70"/>
        <v>OK</v>
      </c>
      <c r="X264" t="str">
        <f t="shared" si="71"/>
        <v>OK</v>
      </c>
      <c r="Y264" t="str">
        <f t="shared" si="72"/>
        <v>OK</v>
      </c>
      <c r="Z264">
        <v>259</v>
      </c>
      <c r="AA264">
        <v>261</v>
      </c>
      <c r="AB264" t="s">
        <v>2462</v>
      </c>
      <c r="AC264" t="s">
        <v>260</v>
      </c>
      <c r="AD264" t="s">
        <v>478</v>
      </c>
      <c r="AE264" t="s">
        <v>727</v>
      </c>
      <c r="AG264" t="s">
        <v>897</v>
      </c>
      <c r="AI264" t="s">
        <v>2543</v>
      </c>
      <c r="AJ264" t="s">
        <v>1410</v>
      </c>
      <c r="AK264" t="s">
        <v>2462</v>
      </c>
      <c r="AL264" t="s">
        <v>2463</v>
      </c>
      <c r="AN264" t="str">
        <f t="shared" si="74"/>
        <v>OK</v>
      </c>
      <c r="AO264" t="str">
        <f t="shared" si="75"/>
        <v>OK</v>
      </c>
      <c r="AP264" t="str">
        <f t="shared" si="76"/>
        <v>OK</v>
      </c>
      <c r="AR264" t="str">
        <f t="shared" si="77"/>
        <v>OK</v>
      </c>
      <c r="AS264" t="str">
        <f t="shared" si="78"/>
        <v>OK</v>
      </c>
      <c r="AT264" t="str">
        <f t="shared" si="79"/>
        <v>NOK</v>
      </c>
      <c r="AU264" t="str">
        <f t="shared" si="80"/>
        <v>OK</v>
      </c>
      <c r="AV264" t="str">
        <f t="shared" si="81"/>
        <v>OK</v>
      </c>
      <c r="AW264" t="str">
        <f t="shared" si="82"/>
        <v>OK</v>
      </c>
    </row>
    <row r="265" spans="1:49">
      <c r="A265">
        <f>Dbase_velden_versie4_2!A261</f>
        <v>261</v>
      </c>
      <c r="B265" t="str">
        <f>Dbase_velden_versie4_2!B261</f>
        <v>SD_CASAGRANDE_CV10_TRAP8</v>
      </c>
      <c r="C265" t="str">
        <f>Dbase_velden_versie4_2!C261</f>
        <v>m2/s</v>
      </c>
      <c r="D265" t="str">
        <f>Dbase_velden_versie4_2!D261</f>
        <v>Waarde van de bepaling volgens Casagrande van de Cv; 10 (m2/s) bij trap 8</v>
      </c>
      <c r="E265" t="str">
        <f>Dbase_velden_versie4_2!E261</f>
        <v>Double</v>
      </c>
      <c r="F265">
        <f>Dbase_velden_versie4_2!F261</f>
        <v>0</v>
      </c>
      <c r="G265" t="str">
        <f>Dbase_velden_versie4_2!G261</f>
        <v>SD CASAGRANDE CV10 TRAP8</v>
      </c>
      <c r="H265" t="str">
        <f>Dbase_velden_versie4_2!H261</f>
        <v>[m2/s]</v>
      </c>
      <c r="I265" t="str">
        <f>Dbase_velden_versie4_2!I261</f>
        <v>SD</v>
      </c>
      <c r="J265" t="str">
        <f>Dbase_velden_versie4_2!J261</f>
        <v>Samendrukkingsproef</v>
      </c>
      <c r="K265">
        <v>261</v>
      </c>
      <c r="L265" t="str">
        <v>SD_CASAGRANDE_CV10_TRAP8</v>
      </c>
      <c r="M265" t="str">
        <v>m2/s</v>
      </c>
      <c r="N265" t="str">
        <v>Waarde van de bepaling volgens Casagrande van de Cv; 10 (m2/s) bij trap 8</v>
      </c>
      <c r="O265" t="str">
        <v>Double</v>
      </c>
      <c r="P265">
        <v>0</v>
      </c>
      <c r="Q265" t="str">
        <v>SD CASAGRANDE CV10 TRAP8</v>
      </c>
      <c r="R265" t="str">
        <v>[m2/s]</v>
      </c>
      <c r="S265" t="str">
        <f t="shared" si="73"/>
        <v>OK</v>
      </c>
      <c r="T265" t="str">
        <f t="shared" si="67"/>
        <v>OK</v>
      </c>
      <c r="U265" t="str">
        <f t="shared" si="68"/>
        <v>OK</v>
      </c>
      <c r="V265" t="str">
        <f t="shared" si="69"/>
        <v>OK</v>
      </c>
      <c r="W265" t="str">
        <f t="shared" si="70"/>
        <v>OK</v>
      </c>
      <c r="X265" t="str">
        <f t="shared" si="71"/>
        <v>OK</v>
      </c>
      <c r="Y265" t="str">
        <f t="shared" si="72"/>
        <v>OK</v>
      </c>
      <c r="Z265">
        <v>260</v>
      </c>
      <c r="AA265">
        <v>262</v>
      </c>
      <c r="AB265" t="s">
        <v>2462</v>
      </c>
      <c r="AC265" t="s">
        <v>261</v>
      </c>
      <c r="AD265" t="s">
        <v>478</v>
      </c>
      <c r="AE265" t="s">
        <v>728</v>
      </c>
      <c r="AG265" t="s">
        <v>897</v>
      </c>
      <c r="AI265" t="s">
        <v>2544</v>
      </c>
      <c r="AJ265" t="s">
        <v>1410</v>
      </c>
      <c r="AK265" t="s">
        <v>2462</v>
      </c>
      <c r="AL265" t="s">
        <v>2463</v>
      </c>
      <c r="AN265" t="str">
        <f t="shared" si="74"/>
        <v>OK</v>
      </c>
      <c r="AO265" t="str">
        <f t="shared" si="75"/>
        <v>OK</v>
      </c>
      <c r="AP265" t="str">
        <f t="shared" si="76"/>
        <v>OK</v>
      </c>
      <c r="AR265" t="str">
        <f t="shared" si="77"/>
        <v>OK</v>
      </c>
      <c r="AS265" t="str">
        <f t="shared" si="78"/>
        <v>OK</v>
      </c>
      <c r="AT265" t="str">
        <f t="shared" si="79"/>
        <v>NOK</v>
      </c>
      <c r="AU265" t="str">
        <f t="shared" si="80"/>
        <v>OK</v>
      </c>
      <c r="AV265" t="str">
        <f t="shared" si="81"/>
        <v>OK</v>
      </c>
      <c r="AW265" t="str">
        <f t="shared" si="82"/>
        <v>OK</v>
      </c>
    </row>
    <row r="266" spans="1:49">
      <c r="A266">
        <f>Dbase_velden_versie4_2!A262</f>
        <v>262</v>
      </c>
      <c r="B266" t="str">
        <f>Dbase_velden_versie4_2!B262</f>
        <v>SD_CASAGRANDE_CV10_TRAP9</v>
      </c>
      <c r="C266" t="str">
        <f>Dbase_velden_versie4_2!C262</f>
        <v>m2/s</v>
      </c>
      <c r="D266" t="str">
        <f>Dbase_velden_versie4_2!D262</f>
        <v>Waarde van de bepaling volgens Casagrande van de Cv; 10 (m2/s) bij trap 9</v>
      </c>
      <c r="E266" t="str">
        <f>Dbase_velden_versie4_2!E262</f>
        <v>Double</v>
      </c>
      <c r="F266">
        <f>Dbase_velden_versie4_2!F262</f>
        <v>0</v>
      </c>
      <c r="G266" t="str">
        <f>Dbase_velden_versie4_2!G262</f>
        <v>SD CASAGRANDE CV10 TRAP9</v>
      </c>
      <c r="H266" t="str">
        <f>Dbase_velden_versie4_2!H262</f>
        <v>[m2/s]</v>
      </c>
      <c r="I266" t="str">
        <f>Dbase_velden_versie4_2!I262</f>
        <v>SD</v>
      </c>
      <c r="J266" t="str">
        <f>Dbase_velden_versie4_2!J262</f>
        <v>Samendrukkingsproef</v>
      </c>
      <c r="K266">
        <v>262</v>
      </c>
      <c r="L266" t="str">
        <v>SD_CASAGRANDE_CV10_TRAP9</v>
      </c>
      <c r="M266" t="str">
        <v>m2/s</v>
      </c>
      <c r="N266" t="str">
        <v>Waarde van de bepaling volgens Casagrande van de Cv; 10 (m2/s) bij trap 9</v>
      </c>
      <c r="O266" t="str">
        <v>Double</v>
      </c>
      <c r="P266">
        <v>0</v>
      </c>
      <c r="Q266" t="str">
        <v>SD CASAGRANDE CV10 TRAP9</v>
      </c>
      <c r="R266" t="str">
        <v>[m2/s]</v>
      </c>
      <c r="S266" t="str">
        <f t="shared" si="73"/>
        <v>OK</v>
      </c>
      <c r="T266" t="str">
        <f t="shared" si="67"/>
        <v>OK</v>
      </c>
      <c r="U266" t="str">
        <f t="shared" si="68"/>
        <v>OK</v>
      </c>
      <c r="V266" t="str">
        <f t="shared" si="69"/>
        <v>OK</v>
      </c>
      <c r="W266" t="str">
        <f t="shared" si="70"/>
        <v>OK</v>
      </c>
      <c r="X266" t="str">
        <f t="shared" si="71"/>
        <v>OK</v>
      </c>
      <c r="Y266" t="str">
        <f t="shared" si="72"/>
        <v>OK</v>
      </c>
      <c r="Z266">
        <v>261</v>
      </c>
      <c r="AA266">
        <v>263</v>
      </c>
      <c r="AB266" t="s">
        <v>2462</v>
      </c>
      <c r="AC266" t="s">
        <v>262</v>
      </c>
      <c r="AD266" t="s">
        <v>478</v>
      </c>
      <c r="AE266" t="s">
        <v>729</v>
      </c>
      <c r="AG266" t="s">
        <v>897</v>
      </c>
      <c r="AI266" t="s">
        <v>2545</v>
      </c>
      <c r="AJ266" t="s">
        <v>1410</v>
      </c>
      <c r="AK266" t="s">
        <v>2462</v>
      </c>
      <c r="AL266" t="s">
        <v>2463</v>
      </c>
      <c r="AN266" t="str">
        <f t="shared" si="74"/>
        <v>OK</v>
      </c>
      <c r="AO266" t="str">
        <f t="shared" si="75"/>
        <v>OK</v>
      </c>
      <c r="AP266" t="str">
        <f t="shared" si="76"/>
        <v>OK</v>
      </c>
      <c r="AR266" t="str">
        <f t="shared" si="77"/>
        <v>OK</v>
      </c>
      <c r="AS266" t="str">
        <f t="shared" si="78"/>
        <v>OK</v>
      </c>
      <c r="AT266" t="str">
        <f t="shared" si="79"/>
        <v>NOK</v>
      </c>
      <c r="AU266" t="str">
        <f t="shared" si="80"/>
        <v>OK</v>
      </c>
      <c r="AV266" t="str">
        <f t="shared" si="81"/>
        <v>OK</v>
      </c>
      <c r="AW266" t="str">
        <f t="shared" si="82"/>
        <v>OK</v>
      </c>
    </row>
    <row r="267" spans="1:49">
      <c r="A267">
        <f>Dbase_velden_versie4_2!A263</f>
        <v>263</v>
      </c>
      <c r="B267" t="str">
        <f>Dbase_velden_versie4_2!B263</f>
        <v>SD_CASAGRANDE_K10_TRAP2</v>
      </c>
      <c r="C267" t="str">
        <f>Dbase_velden_versie4_2!C263</f>
        <v>m/s</v>
      </c>
      <c r="D267" t="str">
        <f>Dbase_velden_versie4_2!D263</f>
        <v>Waarde van de bepaling volgens Casagrande van de k10 (m/s) bij trap 2</v>
      </c>
      <c r="E267" t="str">
        <f>Dbase_velden_versie4_2!E263</f>
        <v>Double</v>
      </c>
      <c r="F267">
        <f>Dbase_velden_versie4_2!F263</f>
        <v>0</v>
      </c>
      <c r="G267" t="str">
        <f>Dbase_velden_versie4_2!G263</f>
        <v>SD CASAGRANDE K10 TRAP2</v>
      </c>
      <c r="H267" t="str">
        <f>Dbase_velden_versie4_2!H263</f>
        <v>[m/s]</v>
      </c>
      <c r="I267" t="str">
        <f>Dbase_velden_versie4_2!I263</f>
        <v>SD</v>
      </c>
      <c r="J267" t="str">
        <f>Dbase_velden_versie4_2!J263</f>
        <v>Samendrukkingsproef</v>
      </c>
      <c r="K267">
        <v>263</v>
      </c>
      <c r="L267" t="str">
        <v>SD_CASAGRANDE_K10_TRAP2</v>
      </c>
      <c r="M267" t="str">
        <v>m/s</v>
      </c>
      <c r="N267" t="str">
        <v>Waarde van de bepaling volgens Casagrande van de k10 (m/s) bij trap 2</v>
      </c>
      <c r="O267" t="str">
        <v>Double</v>
      </c>
      <c r="P267">
        <v>0</v>
      </c>
      <c r="Q267" t="str">
        <v>SD CASAGRANDE K10 TRAP2</v>
      </c>
      <c r="R267" t="str">
        <v>[m/s]</v>
      </c>
      <c r="S267" t="str">
        <f t="shared" si="73"/>
        <v>OK</v>
      </c>
      <c r="T267" t="str">
        <f t="shared" si="67"/>
        <v>OK</v>
      </c>
      <c r="U267" t="str">
        <f t="shared" si="68"/>
        <v>OK</v>
      </c>
      <c r="V267" t="str">
        <f t="shared" si="69"/>
        <v>OK</v>
      </c>
      <c r="W267" t="str">
        <f t="shared" si="70"/>
        <v>OK</v>
      </c>
      <c r="X267" t="str">
        <f t="shared" si="71"/>
        <v>OK</v>
      </c>
      <c r="Y267" t="str">
        <f t="shared" si="72"/>
        <v>OK</v>
      </c>
      <c r="Z267">
        <v>262</v>
      </c>
      <c r="AA267">
        <v>264</v>
      </c>
      <c r="AB267" t="s">
        <v>2462</v>
      </c>
      <c r="AC267" t="s">
        <v>263</v>
      </c>
      <c r="AD267" t="s">
        <v>471</v>
      </c>
      <c r="AE267" t="s">
        <v>730</v>
      </c>
      <c r="AG267" t="s">
        <v>897</v>
      </c>
      <c r="AI267" t="s">
        <v>2546</v>
      </c>
      <c r="AJ267" t="s">
        <v>1403</v>
      </c>
      <c r="AK267" t="s">
        <v>2462</v>
      </c>
      <c r="AL267" t="s">
        <v>2463</v>
      </c>
      <c r="AN267" t="str">
        <f t="shared" si="74"/>
        <v>OK</v>
      </c>
      <c r="AO267" t="str">
        <f t="shared" si="75"/>
        <v>OK</v>
      </c>
      <c r="AP267" t="str">
        <f t="shared" si="76"/>
        <v>OK</v>
      </c>
      <c r="AR267" t="str">
        <f t="shared" si="77"/>
        <v>OK</v>
      </c>
      <c r="AS267" t="str">
        <f t="shared" si="78"/>
        <v>OK</v>
      </c>
      <c r="AT267" t="str">
        <f t="shared" si="79"/>
        <v>NOK</v>
      </c>
      <c r="AU267" t="str">
        <f t="shared" si="80"/>
        <v>OK</v>
      </c>
      <c r="AV267" t="str">
        <f t="shared" si="81"/>
        <v>OK</v>
      </c>
      <c r="AW267" t="str">
        <f t="shared" si="82"/>
        <v>OK</v>
      </c>
    </row>
    <row r="268" spans="1:49">
      <c r="A268">
        <f>Dbase_velden_versie4_2!A264</f>
        <v>264</v>
      </c>
      <c r="B268" t="str">
        <f>Dbase_velden_versie4_2!B264</f>
        <v>SD_CASAGRANDE_K10_TRAP3</v>
      </c>
      <c r="C268" t="str">
        <f>Dbase_velden_versie4_2!C264</f>
        <v>m/s</v>
      </c>
      <c r="D268" t="str">
        <f>Dbase_velden_versie4_2!D264</f>
        <v>Waarde van de bepaling volgens Casagrande van de k10 (m/s) bij trap 3</v>
      </c>
      <c r="E268" t="str">
        <f>Dbase_velden_versie4_2!E264</f>
        <v>Double</v>
      </c>
      <c r="F268">
        <f>Dbase_velden_versie4_2!F264</f>
        <v>0</v>
      </c>
      <c r="G268" t="str">
        <f>Dbase_velden_versie4_2!G264</f>
        <v>SD CASAGRANDE K10 TRAP3</v>
      </c>
      <c r="H268" t="str">
        <f>Dbase_velden_versie4_2!H264</f>
        <v>[m/s]</v>
      </c>
      <c r="I268" t="str">
        <f>Dbase_velden_versie4_2!I264</f>
        <v>SD</v>
      </c>
      <c r="J268" t="str">
        <f>Dbase_velden_versie4_2!J264</f>
        <v>Samendrukkingsproef</v>
      </c>
      <c r="K268">
        <v>264</v>
      </c>
      <c r="L268" t="str">
        <v>SD_CASAGRANDE_K10_TRAP3</v>
      </c>
      <c r="M268" t="str">
        <v>m/s</v>
      </c>
      <c r="N268" t="str">
        <v>Waarde van de bepaling volgens Casagrande van de k10 (m/s) bij trap 3</v>
      </c>
      <c r="O268" t="str">
        <v>Double</v>
      </c>
      <c r="P268">
        <v>0</v>
      </c>
      <c r="Q268" t="str">
        <v>SD CASAGRANDE K10 TRAP3</v>
      </c>
      <c r="R268" t="str">
        <v>[m/s]</v>
      </c>
      <c r="S268" t="str">
        <f t="shared" si="73"/>
        <v>OK</v>
      </c>
      <c r="T268" t="str">
        <f t="shared" si="67"/>
        <v>OK</v>
      </c>
      <c r="U268" t="str">
        <f t="shared" si="68"/>
        <v>OK</v>
      </c>
      <c r="V268" t="str">
        <f t="shared" si="69"/>
        <v>OK</v>
      </c>
      <c r="W268" t="str">
        <f t="shared" si="70"/>
        <v>OK</v>
      </c>
      <c r="X268" t="str">
        <f t="shared" si="71"/>
        <v>OK</v>
      </c>
      <c r="Y268" t="str">
        <f t="shared" si="72"/>
        <v>OK</v>
      </c>
      <c r="Z268">
        <v>263</v>
      </c>
      <c r="AA268">
        <v>265</v>
      </c>
      <c r="AB268" t="s">
        <v>2462</v>
      </c>
      <c r="AC268" t="s">
        <v>264</v>
      </c>
      <c r="AD268" t="s">
        <v>471</v>
      </c>
      <c r="AE268" t="s">
        <v>731</v>
      </c>
      <c r="AG268" t="s">
        <v>897</v>
      </c>
      <c r="AI268" t="s">
        <v>2547</v>
      </c>
      <c r="AJ268" t="s">
        <v>1403</v>
      </c>
      <c r="AK268" t="s">
        <v>2462</v>
      </c>
      <c r="AL268" t="s">
        <v>2463</v>
      </c>
      <c r="AN268" t="str">
        <f t="shared" si="74"/>
        <v>OK</v>
      </c>
      <c r="AO268" t="str">
        <f t="shared" si="75"/>
        <v>OK</v>
      </c>
      <c r="AP268" t="str">
        <f t="shared" si="76"/>
        <v>OK</v>
      </c>
      <c r="AR268" t="str">
        <f t="shared" si="77"/>
        <v>OK</v>
      </c>
      <c r="AS268" t="str">
        <f t="shared" si="78"/>
        <v>OK</v>
      </c>
      <c r="AT268" t="str">
        <f t="shared" si="79"/>
        <v>NOK</v>
      </c>
      <c r="AU268" t="str">
        <f t="shared" si="80"/>
        <v>OK</v>
      </c>
      <c r="AV268" t="str">
        <f t="shared" si="81"/>
        <v>OK</v>
      </c>
      <c r="AW268" t="str">
        <f t="shared" si="82"/>
        <v>OK</v>
      </c>
    </row>
    <row r="269" spans="1:49">
      <c r="A269">
        <f>Dbase_velden_versie4_2!A265</f>
        <v>265</v>
      </c>
      <c r="B269" t="str">
        <f>Dbase_velden_versie4_2!B265</f>
        <v>SD_CASAGRANDE_K10_TRAP4</v>
      </c>
      <c r="C269" t="str">
        <f>Dbase_velden_versie4_2!C265</f>
        <v>m/s</v>
      </c>
      <c r="D269" t="str">
        <f>Dbase_velden_versie4_2!D265</f>
        <v>Waarde van de bepaling volgens Casagrande van de k10 (m/s) bij trap 4</v>
      </c>
      <c r="E269" t="str">
        <f>Dbase_velden_versie4_2!E265</f>
        <v>Double</v>
      </c>
      <c r="F269">
        <f>Dbase_velden_versie4_2!F265</f>
        <v>0</v>
      </c>
      <c r="G269" t="str">
        <f>Dbase_velden_versie4_2!G265</f>
        <v>SD CASAGRANDE K10 TRAP4</v>
      </c>
      <c r="H269" t="str">
        <f>Dbase_velden_versie4_2!H265</f>
        <v>[m/s]</v>
      </c>
      <c r="I269" t="str">
        <f>Dbase_velden_versie4_2!I265</f>
        <v>SD</v>
      </c>
      <c r="J269" t="str">
        <f>Dbase_velden_versie4_2!J265</f>
        <v>Samendrukkingsproef</v>
      </c>
      <c r="K269">
        <v>265</v>
      </c>
      <c r="L269" t="str">
        <v>SD_CASAGRANDE_K10_TRAP4</v>
      </c>
      <c r="M269" t="str">
        <v>m/s</v>
      </c>
      <c r="N269" t="str">
        <v>Waarde van de bepaling volgens Casagrande van de k10 (m/s) bij trap 4</v>
      </c>
      <c r="O269" t="str">
        <v>Double</v>
      </c>
      <c r="P269">
        <v>0</v>
      </c>
      <c r="Q269" t="str">
        <v>SD CASAGRANDE K10 TRAP4</v>
      </c>
      <c r="R269" t="str">
        <v>[m/s]</v>
      </c>
      <c r="S269" t="str">
        <f t="shared" si="73"/>
        <v>OK</v>
      </c>
      <c r="T269" t="str">
        <f t="shared" si="67"/>
        <v>OK</v>
      </c>
      <c r="U269" t="str">
        <f t="shared" si="68"/>
        <v>OK</v>
      </c>
      <c r="V269" t="str">
        <f t="shared" si="69"/>
        <v>OK</v>
      </c>
      <c r="W269" t="str">
        <f t="shared" si="70"/>
        <v>OK</v>
      </c>
      <c r="X269" t="str">
        <f t="shared" si="71"/>
        <v>OK</v>
      </c>
      <c r="Y269" t="str">
        <f t="shared" si="72"/>
        <v>OK</v>
      </c>
      <c r="Z269">
        <v>264</v>
      </c>
      <c r="AA269">
        <v>266</v>
      </c>
      <c r="AB269" t="s">
        <v>2462</v>
      </c>
      <c r="AC269" t="s">
        <v>265</v>
      </c>
      <c r="AD269" t="s">
        <v>471</v>
      </c>
      <c r="AE269" t="s">
        <v>732</v>
      </c>
      <c r="AG269" t="s">
        <v>897</v>
      </c>
      <c r="AI269" t="s">
        <v>2548</v>
      </c>
      <c r="AJ269" t="s">
        <v>1403</v>
      </c>
      <c r="AK269" t="s">
        <v>2462</v>
      </c>
      <c r="AL269" t="s">
        <v>2463</v>
      </c>
      <c r="AN269" t="str">
        <f t="shared" si="74"/>
        <v>OK</v>
      </c>
      <c r="AO269" t="str">
        <f t="shared" si="75"/>
        <v>OK</v>
      </c>
      <c r="AP269" t="str">
        <f t="shared" si="76"/>
        <v>OK</v>
      </c>
      <c r="AR269" t="str">
        <f t="shared" si="77"/>
        <v>OK</v>
      </c>
      <c r="AS269" t="str">
        <f t="shared" si="78"/>
        <v>OK</v>
      </c>
      <c r="AT269" t="str">
        <f t="shared" si="79"/>
        <v>NOK</v>
      </c>
      <c r="AU269" t="str">
        <f t="shared" si="80"/>
        <v>OK</v>
      </c>
      <c r="AV269" t="str">
        <f t="shared" si="81"/>
        <v>OK</v>
      </c>
      <c r="AW269" t="str">
        <f t="shared" si="82"/>
        <v>OK</v>
      </c>
    </row>
    <row r="270" spans="1:49">
      <c r="A270">
        <f>Dbase_velden_versie4_2!A266</f>
        <v>266</v>
      </c>
      <c r="B270" t="str">
        <f>Dbase_velden_versie4_2!B266</f>
        <v>SD_CASAGRANDE_K10_TRAP5</v>
      </c>
      <c r="C270" t="str">
        <f>Dbase_velden_versie4_2!C266</f>
        <v>m/s</v>
      </c>
      <c r="D270" t="str">
        <f>Dbase_velden_versie4_2!D266</f>
        <v>Waarde van de bepaling volgens Casagrande van de k10 (m/s) bij trap 5</v>
      </c>
      <c r="E270" t="str">
        <f>Dbase_velden_versie4_2!E266</f>
        <v>Double</v>
      </c>
      <c r="F270">
        <f>Dbase_velden_versie4_2!F266</f>
        <v>0</v>
      </c>
      <c r="G270" t="str">
        <f>Dbase_velden_versie4_2!G266</f>
        <v>SD CASAGRANDE K10 TRAP5</v>
      </c>
      <c r="H270" t="str">
        <f>Dbase_velden_versie4_2!H266</f>
        <v>[m/s]</v>
      </c>
      <c r="I270" t="str">
        <f>Dbase_velden_versie4_2!I266</f>
        <v>SD</v>
      </c>
      <c r="J270" t="str">
        <f>Dbase_velden_versie4_2!J266</f>
        <v>Samendrukkingsproef</v>
      </c>
      <c r="K270">
        <v>266</v>
      </c>
      <c r="L270" t="str">
        <v>SD_CASAGRANDE_K10_TRAP5</v>
      </c>
      <c r="M270" t="str">
        <v>m/s</v>
      </c>
      <c r="N270" t="str">
        <v>Waarde van de bepaling volgens Casagrande van de k10 (m/s) bij trap 5</v>
      </c>
      <c r="O270" t="str">
        <v>Double</v>
      </c>
      <c r="P270">
        <v>0</v>
      </c>
      <c r="Q270" t="str">
        <v>SD CASAGRANDE K10 TRAP5</v>
      </c>
      <c r="R270" t="str">
        <v>[m/s]</v>
      </c>
      <c r="S270" t="str">
        <f t="shared" si="73"/>
        <v>OK</v>
      </c>
      <c r="T270" t="str">
        <f t="shared" si="67"/>
        <v>OK</v>
      </c>
      <c r="U270" t="str">
        <f t="shared" si="68"/>
        <v>OK</v>
      </c>
      <c r="V270" t="str">
        <f t="shared" si="69"/>
        <v>OK</v>
      </c>
      <c r="W270" t="str">
        <f t="shared" si="70"/>
        <v>OK</v>
      </c>
      <c r="X270" t="str">
        <f t="shared" si="71"/>
        <v>OK</v>
      </c>
      <c r="Y270" t="str">
        <f t="shared" si="72"/>
        <v>OK</v>
      </c>
      <c r="Z270">
        <v>265</v>
      </c>
      <c r="AA270">
        <v>267</v>
      </c>
      <c r="AB270" t="s">
        <v>2462</v>
      </c>
      <c r="AC270" t="s">
        <v>266</v>
      </c>
      <c r="AD270" t="s">
        <v>471</v>
      </c>
      <c r="AE270" t="s">
        <v>733</v>
      </c>
      <c r="AG270" t="s">
        <v>897</v>
      </c>
      <c r="AI270" t="s">
        <v>2549</v>
      </c>
      <c r="AJ270" t="s">
        <v>1403</v>
      </c>
      <c r="AK270" t="s">
        <v>2462</v>
      </c>
      <c r="AL270" t="s">
        <v>2463</v>
      </c>
      <c r="AN270" t="str">
        <f t="shared" si="74"/>
        <v>OK</v>
      </c>
      <c r="AO270" t="str">
        <f t="shared" si="75"/>
        <v>OK</v>
      </c>
      <c r="AP270" t="str">
        <f t="shared" si="76"/>
        <v>OK</v>
      </c>
      <c r="AR270" t="str">
        <f t="shared" si="77"/>
        <v>OK</v>
      </c>
      <c r="AS270" t="str">
        <f t="shared" si="78"/>
        <v>OK</v>
      </c>
      <c r="AT270" t="str">
        <f t="shared" si="79"/>
        <v>NOK</v>
      </c>
      <c r="AU270" t="str">
        <f t="shared" si="80"/>
        <v>OK</v>
      </c>
      <c r="AV270" t="str">
        <f t="shared" si="81"/>
        <v>OK</v>
      </c>
      <c r="AW270" t="str">
        <f t="shared" si="82"/>
        <v>OK</v>
      </c>
    </row>
    <row r="271" spans="1:49">
      <c r="A271">
        <f>Dbase_velden_versie4_2!A267</f>
        <v>267</v>
      </c>
      <c r="B271" t="str">
        <f>Dbase_velden_versie4_2!B267</f>
        <v>SD_CASAGRANDE_K10_TRAP6</v>
      </c>
      <c r="C271" t="str">
        <f>Dbase_velden_versie4_2!C267</f>
        <v>m/s</v>
      </c>
      <c r="D271" t="str">
        <f>Dbase_velden_versie4_2!D267</f>
        <v>Waarde van de bepaling volgens Casagrande van de k10 (m/s) bij trap 6</v>
      </c>
      <c r="E271" t="str">
        <f>Dbase_velden_versie4_2!E267</f>
        <v>Double</v>
      </c>
      <c r="F271">
        <f>Dbase_velden_versie4_2!F267</f>
        <v>0</v>
      </c>
      <c r="G271" t="str">
        <f>Dbase_velden_versie4_2!G267</f>
        <v>SD CASAGRANDE K10 TRAP6</v>
      </c>
      <c r="H271" t="str">
        <f>Dbase_velden_versie4_2!H267</f>
        <v>[m/s]</v>
      </c>
      <c r="I271" t="str">
        <f>Dbase_velden_versie4_2!I267</f>
        <v>SD</v>
      </c>
      <c r="J271" t="str">
        <f>Dbase_velden_versie4_2!J267</f>
        <v>Samendrukkingsproef</v>
      </c>
      <c r="K271">
        <v>267</v>
      </c>
      <c r="L271" t="str">
        <v>SD_CASAGRANDE_K10_TRAP6</v>
      </c>
      <c r="M271" t="str">
        <v>m/s</v>
      </c>
      <c r="N271" t="str">
        <v>Waarde van de bepaling volgens Casagrande van de k10 (m/s) bij trap 6</v>
      </c>
      <c r="O271" t="str">
        <v>Double</v>
      </c>
      <c r="P271">
        <v>0</v>
      </c>
      <c r="Q271" t="str">
        <v>SD CASAGRANDE K10 TRAP6</v>
      </c>
      <c r="R271" t="str">
        <v>[m/s]</v>
      </c>
      <c r="S271" t="str">
        <f t="shared" si="73"/>
        <v>OK</v>
      </c>
      <c r="T271" t="str">
        <f t="shared" si="67"/>
        <v>OK</v>
      </c>
      <c r="U271" t="str">
        <f t="shared" si="68"/>
        <v>OK</v>
      </c>
      <c r="V271" t="str">
        <f t="shared" si="69"/>
        <v>OK</v>
      </c>
      <c r="W271" t="str">
        <f t="shared" si="70"/>
        <v>OK</v>
      </c>
      <c r="X271" t="str">
        <f t="shared" si="71"/>
        <v>OK</v>
      </c>
      <c r="Y271" t="str">
        <f t="shared" si="72"/>
        <v>OK</v>
      </c>
      <c r="Z271">
        <v>266</v>
      </c>
      <c r="AA271">
        <v>268</v>
      </c>
      <c r="AB271" t="s">
        <v>2462</v>
      </c>
      <c r="AC271" t="s">
        <v>267</v>
      </c>
      <c r="AD271" t="s">
        <v>471</v>
      </c>
      <c r="AE271" t="s">
        <v>734</v>
      </c>
      <c r="AG271" t="s">
        <v>897</v>
      </c>
      <c r="AI271" t="s">
        <v>2550</v>
      </c>
      <c r="AJ271" t="s">
        <v>1403</v>
      </c>
      <c r="AK271" t="s">
        <v>2462</v>
      </c>
      <c r="AL271" t="s">
        <v>2463</v>
      </c>
      <c r="AN271" t="str">
        <f t="shared" si="74"/>
        <v>OK</v>
      </c>
      <c r="AO271" t="str">
        <f t="shared" si="75"/>
        <v>OK</v>
      </c>
      <c r="AP271" t="str">
        <f t="shared" si="76"/>
        <v>OK</v>
      </c>
      <c r="AR271" t="str">
        <f t="shared" si="77"/>
        <v>OK</v>
      </c>
      <c r="AS271" t="str">
        <f t="shared" si="78"/>
        <v>OK</v>
      </c>
      <c r="AT271" t="str">
        <f t="shared" si="79"/>
        <v>NOK</v>
      </c>
      <c r="AU271" t="str">
        <f t="shared" si="80"/>
        <v>OK</v>
      </c>
      <c r="AV271" t="str">
        <f t="shared" si="81"/>
        <v>OK</v>
      </c>
      <c r="AW271" t="str">
        <f t="shared" si="82"/>
        <v>OK</v>
      </c>
    </row>
    <row r="272" spans="1:49">
      <c r="A272">
        <f>Dbase_velden_versie4_2!A268</f>
        <v>268</v>
      </c>
      <c r="B272" t="str">
        <f>Dbase_velden_versie4_2!B268</f>
        <v>SD_CASAGRANDE_K10_TRAP7</v>
      </c>
      <c r="C272" t="str">
        <f>Dbase_velden_versie4_2!C268</f>
        <v>m/s</v>
      </c>
      <c r="D272" t="str">
        <f>Dbase_velden_versie4_2!D268</f>
        <v>Waarde van de bepaling volgens Casagrande van de k10 (m/s) bij trap 7</v>
      </c>
      <c r="E272" t="str">
        <f>Dbase_velden_versie4_2!E268</f>
        <v>Double</v>
      </c>
      <c r="F272">
        <f>Dbase_velden_versie4_2!F268</f>
        <v>0</v>
      </c>
      <c r="G272" t="str">
        <f>Dbase_velden_versie4_2!G268</f>
        <v>SD CASAGRANDE K10 TRAP7</v>
      </c>
      <c r="H272" t="str">
        <f>Dbase_velden_versie4_2!H268</f>
        <v>[m/s]</v>
      </c>
      <c r="I272" t="str">
        <f>Dbase_velden_versie4_2!I268</f>
        <v>SD</v>
      </c>
      <c r="J272" t="str">
        <f>Dbase_velden_versie4_2!J268</f>
        <v>Samendrukkingsproef</v>
      </c>
      <c r="K272">
        <v>268</v>
      </c>
      <c r="L272" t="str">
        <v>SD_CASAGRANDE_K10_TRAP7</v>
      </c>
      <c r="M272" t="str">
        <v>m/s</v>
      </c>
      <c r="N272" t="str">
        <v>Waarde van de bepaling volgens Casagrande van de k10 (m/s) bij trap 7</v>
      </c>
      <c r="O272" t="str">
        <v>Double</v>
      </c>
      <c r="P272">
        <v>0</v>
      </c>
      <c r="Q272" t="str">
        <v>SD CASAGRANDE K10 TRAP7</v>
      </c>
      <c r="R272" t="str">
        <v>[m/s]</v>
      </c>
      <c r="S272" t="str">
        <f t="shared" si="73"/>
        <v>OK</v>
      </c>
      <c r="T272" t="str">
        <f t="shared" si="67"/>
        <v>OK</v>
      </c>
      <c r="U272" t="str">
        <f t="shared" si="68"/>
        <v>OK</v>
      </c>
      <c r="V272" t="str">
        <f t="shared" si="69"/>
        <v>OK</v>
      </c>
      <c r="W272" t="str">
        <f t="shared" si="70"/>
        <v>OK</v>
      </c>
      <c r="X272" t="str">
        <f t="shared" si="71"/>
        <v>OK</v>
      </c>
      <c r="Y272" t="str">
        <f t="shared" si="72"/>
        <v>OK</v>
      </c>
      <c r="Z272">
        <v>267</v>
      </c>
      <c r="AA272">
        <v>269</v>
      </c>
      <c r="AB272" t="s">
        <v>2462</v>
      </c>
      <c r="AC272" t="s">
        <v>268</v>
      </c>
      <c r="AD272" t="s">
        <v>471</v>
      </c>
      <c r="AE272" t="s">
        <v>735</v>
      </c>
      <c r="AG272" t="s">
        <v>897</v>
      </c>
      <c r="AI272" t="s">
        <v>2551</v>
      </c>
      <c r="AJ272" t="s">
        <v>1403</v>
      </c>
      <c r="AK272" t="s">
        <v>2462</v>
      </c>
      <c r="AL272" t="s">
        <v>2463</v>
      </c>
      <c r="AN272" t="str">
        <f t="shared" si="74"/>
        <v>OK</v>
      </c>
      <c r="AO272" t="str">
        <f t="shared" si="75"/>
        <v>OK</v>
      </c>
      <c r="AP272" t="str">
        <f t="shared" si="76"/>
        <v>OK</v>
      </c>
      <c r="AR272" t="str">
        <f t="shared" si="77"/>
        <v>OK</v>
      </c>
      <c r="AS272" t="str">
        <f t="shared" si="78"/>
        <v>OK</v>
      </c>
      <c r="AT272" t="str">
        <f t="shared" si="79"/>
        <v>NOK</v>
      </c>
      <c r="AU272" t="str">
        <f t="shared" si="80"/>
        <v>OK</v>
      </c>
      <c r="AV272" t="str">
        <f t="shared" si="81"/>
        <v>OK</v>
      </c>
      <c r="AW272" t="str">
        <f t="shared" si="82"/>
        <v>OK</v>
      </c>
    </row>
    <row r="273" spans="1:49">
      <c r="A273">
        <f>Dbase_velden_versie4_2!A269</f>
        <v>269</v>
      </c>
      <c r="B273" t="str">
        <f>Dbase_velden_versie4_2!B269</f>
        <v>SD_CASAGRANDE_K10_TRAP8</v>
      </c>
      <c r="C273" t="str">
        <f>Dbase_velden_versie4_2!C269</f>
        <v>m/s</v>
      </c>
      <c r="D273" t="str">
        <f>Dbase_velden_versie4_2!D269</f>
        <v>Waarde van de bepaling volgens Casagrande van de k10 (m/s) bij trap 8</v>
      </c>
      <c r="E273" t="str">
        <f>Dbase_velden_versie4_2!E269</f>
        <v>Double</v>
      </c>
      <c r="F273">
        <f>Dbase_velden_versie4_2!F269</f>
        <v>0</v>
      </c>
      <c r="G273" t="str">
        <f>Dbase_velden_versie4_2!G269</f>
        <v>SD CASAGRANDE K10 TRAP8</v>
      </c>
      <c r="H273" t="str">
        <f>Dbase_velden_versie4_2!H269</f>
        <v>[m/s]</v>
      </c>
      <c r="I273" t="str">
        <f>Dbase_velden_versie4_2!I269</f>
        <v>SD</v>
      </c>
      <c r="J273" t="str">
        <f>Dbase_velden_versie4_2!J269</f>
        <v>Samendrukkingsproef</v>
      </c>
      <c r="K273">
        <v>269</v>
      </c>
      <c r="L273" t="str">
        <v>SD_CASAGRANDE_K10_TRAP8</v>
      </c>
      <c r="M273" t="str">
        <v>m/s</v>
      </c>
      <c r="N273" t="str">
        <v>Waarde van de bepaling volgens Casagrande van de k10 (m/s) bij trap 8</v>
      </c>
      <c r="O273" t="str">
        <v>Double</v>
      </c>
      <c r="P273">
        <v>0</v>
      </c>
      <c r="Q273" t="str">
        <v>SD CASAGRANDE K10 TRAP8</v>
      </c>
      <c r="R273" t="str">
        <v>[m/s]</v>
      </c>
      <c r="S273" t="str">
        <f t="shared" si="73"/>
        <v>OK</v>
      </c>
      <c r="T273" t="str">
        <f t="shared" si="67"/>
        <v>OK</v>
      </c>
      <c r="U273" t="str">
        <f t="shared" si="68"/>
        <v>OK</v>
      </c>
      <c r="V273" t="str">
        <f t="shared" si="69"/>
        <v>OK</v>
      </c>
      <c r="W273" t="str">
        <f t="shared" si="70"/>
        <v>OK</v>
      </c>
      <c r="X273" t="str">
        <f t="shared" si="71"/>
        <v>OK</v>
      </c>
      <c r="Y273" t="str">
        <f t="shared" si="72"/>
        <v>OK</v>
      </c>
      <c r="Z273">
        <v>268</v>
      </c>
      <c r="AA273">
        <v>270</v>
      </c>
      <c r="AB273" t="s">
        <v>2462</v>
      </c>
      <c r="AC273" t="s">
        <v>269</v>
      </c>
      <c r="AD273" t="s">
        <v>471</v>
      </c>
      <c r="AE273" t="s">
        <v>736</v>
      </c>
      <c r="AG273" t="s">
        <v>897</v>
      </c>
      <c r="AI273" t="s">
        <v>2552</v>
      </c>
      <c r="AJ273" t="s">
        <v>1403</v>
      </c>
      <c r="AK273" t="s">
        <v>2462</v>
      </c>
      <c r="AL273" t="s">
        <v>2463</v>
      </c>
      <c r="AN273" t="str">
        <f t="shared" si="74"/>
        <v>OK</v>
      </c>
      <c r="AO273" t="str">
        <f t="shared" si="75"/>
        <v>OK</v>
      </c>
      <c r="AP273" t="str">
        <f t="shared" si="76"/>
        <v>OK</v>
      </c>
      <c r="AR273" t="str">
        <f t="shared" si="77"/>
        <v>OK</v>
      </c>
      <c r="AS273" t="str">
        <f t="shared" si="78"/>
        <v>OK</v>
      </c>
      <c r="AT273" t="str">
        <f t="shared" si="79"/>
        <v>NOK</v>
      </c>
      <c r="AU273" t="str">
        <f t="shared" si="80"/>
        <v>OK</v>
      </c>
      <c r="AV273" t="str">
        <f t="shared" si="81"/>
        <v>OK</v>
      </c>
      <c r="AW273" t="str">
        <f t="shared" si="82"/>
        <v>OK</v>
      </c>
    </row>
    <row r="274" spans="1:49">
      <c r="A274">
        <f>Dbase_velden_versie4_2!A270</f>
        <v>270</v>
      </c>
      <c r="B274" t="str">
        <f>Dbase_velden_versie4_2!B270</f>
        <v>SD_CASAGRANDE_K10_TRAP9</v>
      </c>
      <c r="C274" t="str">
        <f>Dbase_velden_versie4_2!C270</f>
        <v>m/s</v>
      </c>
      <c r="D274" t="str">
        <f>Dbase_velden_versie4_2!D270</f>
        <v>Waarde van de bepaling volgens Casagrande van de k10 (m/s) bij trap 9</v>
      </c>
      <c r="E274" t="str">
        <f>Dbase_velden_versie4_2!E270</f>
        <v>Double</v>
      </c>
      <c r="F274">
        <f>Dbase_velden_versie4_2!F270</f>
        <v>0</v>
      </c>
      <c r="G274" t="str">
        <f>Dbase_velden_versie4_2!G270</f>
        <v>SD CASAGRANDE K10 TRAP9</v>
      </c>
      <c r="H274" t="str">
        <f>Dbase_velden_versie4_2!H270</f>
        <v>[m/s]</v>
      </c>
      <c r="I274" t="str">
        <f>Dbase_velden_versie4_2!I270</f>
        <v>SD</v>
      </c>
      <c r="J274" t="str">
        <f>Dbase_velden_versie4_2!J270</f>
        <v>Samendrukkingsproef</v>
      </c>
      <c r="K274">
        <v>270</v>
      </c>
      <c r="L274" t="str">
        <v>SD_CASAGRANDE_K10_TRAP9</v>
      </c>
      <c r="M274" t="str">
        <v>m/s</v>
      </c>
      <c r="N274" t="str">
        <v>Waarde van de bepaling volgens Casagrande van de k10 (m/s) bij trap 9</v>
      </c>
      <c r="O274" t="str">
        <v>Double</v>
      </c>
      <c r="P274">
        <v>0</v>
      </c>
      <c r="Q274" t="str">
        <v>SD CASAGRANDE K10 TRAP9</v>
      </c>
      <c r="R274" t="str">
        <v>[m/s]</v>
      </c>
      <c r="S274" t="str">
        <f t="shared" si="73"/>
        <v>OK</v>
      </c>
      <c r="T274" t="str">
        <f t="shared" si="67"/>
        <v>OK</v>
      </c>
      <c r="U274" t="str">
        <f t="shared" si="68"/>
        <v>OK</v>
      </c>
      <c r="V274" t="str">
        <f t="shared" si="69"/>
        <v>OK</v>
      </c>
      <c r="W274" t="str">
        <f t="shared" si="70"/>
        <v>OK</v>
      </c>
      <c r="X274" t="str">
        <f t="shared" si="71"/>
        <v>OK</v>
      </c>
      <c r="Y274" t="str">
        <f t="shared" si="72"/>
        <v>OK</v>
      </c>
      <c r="Z274">
        <v>269</v>
      </c>
      <c r="AA274">
        <v>271</v>
      </c>
      <c r="AB274" t="s">
        <v>2462</v>
      </c>
      <c r="AC274" t="s">
        <v>270</v>
      </c>
      <c r="AD274" t="s">
        <v>471</v>
      </c>
      <c r="AE274" t="s">
        <v>737</v>
      </c>
      <c r="AG274" t="s">
        <v>897</v>
      </c>
      <c r="AI274" t="s">
        <v>2553</v>
      </c>
      <c r="AJ274" t="s">
        <v>1403</v>
      </c>
      <c r="AK274" t="s">
        <v>2462</v>
      </c>
      <c r="AL274" t="s">
        <v>2463</v>
      </c>
      <c r="AN274" t="str">
        <f t="shared" si="74"/>
        <v>OK</v>
      </c>
      <c r="AO274" t="str">
        <f t="shared" si="75"/>
        <v>OK</v>
      </c>
      <c r="AP274" t="str">
        <f t="shared" si="76"/>
        <v>OK</v>
      </c>
      <c r="AR274" t="str">
        <f t="shared" si="77"/>
        <v>OK</v>
      </c>
      <c r="AS274" t="str">
        <f t="shared" si="78"/>
        <v>OK</v>
      </c>
      <c r="AT274" t="str">
        <f t="shared" si="79"/>
        <v>NOK</v>
      </c>
      <c r="AU274" t="str">
        <f t="shared" si="80"/>
        <v>OK</v>
      </c>
      <c r="AV274" t="str">
        <f t="shared" si="81"/>
        <v>OK</v>
      </c>
      <c r="AW274" t="str">
        <f t="shared" si="82"/>
        <v>OK</v>
      </c>
    </row>
    <row r="275" spans="1:49">
      <c r="A275">
        <f>Dbase_velden_versie4_2!A271</f>
        <v>271</v>
      </c>
      <c r="B275" t="str">
        <f>Dbase_velden_versie4_2!B271</f>
        <v>SD_CASAGRANDE_MV_TRAP2</v>
      </c>
      <c r="C275" t="str">
        <f>Dbase_velden_versie4_2!C271</f>
        <v>1/MPa</v>
      </c>
      <c r="D275" t="str">
        <f>Dbase_velden_versie4_2!D271</f>
        <v>Waarde van de bepaling volgens Casagrande van de mv (1/MPa) bij trap 2</v>
      </c>
      <c r="E275" t="str">
        <f>Dbase_velden_versie4_2!E271</f>
        <v>Double</v>
      </c>
      <c r="F275">
        <f>Dbase_velden_versie4_2!F271</f>
        <v>0</v>
      </c>
      <c r="G275" t="str">
        <f>Dbase_velden_versie4_2!G271</f>
        <v>SD CASAGRANDE MV TRAP2</v>
      </c>
      <c r="H275" t="str">
        <f>Dbase_velden_versie4_2!H271</f>
        <v>[1/MPa]</v>
      </c>
      <c r="I275" t="str">
        <f>Dbase_velden_versie4_2!I271</f>
        <v>SD</v>
      </c>
      <c r="J275" t="str">
        <f>Dbase_velden_versie4_2!J271</f>
        <v>Samendrukkingsproef</v>
      </c>
      <c r="K275">
        <v>271</v>
      </c>
      <c r="L275" t="str">
        <v>SD_CASAGRANDE_MV_TRAP2</v>
      </c>
      <c r="M275" t="str">
        <v>1/MPa</v>
      </c>
      <c r="N275" t="str">
        <v>Waarde van de bepaling volgens Casagrande van de mv (1/MPa) bij trap 2</v>
      </c>
      <c r="O275" t="str">
        <v>Double</v>
      </c>
      <c r="P275">
        <v>0</v>
      </c>
      <c r="Q275" t="str">
        <v>SD CASAGRANDE MV TRAP2</v>
      </c>
      <c r="R275" t="str">
        <v>[1/MPa]</v>
      </c>
      <c r="S275" t="str">
        <f t="shared" si="73"/>
        <v>OK</v>
      </c>
      <c r="T275" t="str">
        <f t="shared" si="67"/>
        <v>OK</v>
      </c>
      <c r="U275" t="str">
        <f t="shared" si="68"/>
        <v>OK</v>
      </c>
      <c r="V275" t="str">
        <f t="shared" si="69"/>
        <v>OK</v>
      </c>
      <c r="W275" t="str">
        <f t="shared" si="70"/>
        <v>OK</v>
      </c>
      <c r="X275" t="str">
        <f t="shared" si="71"/>
        <v>OK</v>
      </c>
      <c r="Y275" t="str">
        <f t="shared" si="72"/>
        <v>OK</v>
      </c>
      <c r="Z275">
        <v>270</v>
      </c>
      <c r="AA275">
        <v>272</v>
      </c>
      <c r="AB275" t="s">
        <v>2462</v>
      </c>
      <c r="AC275" t="s">
        <v>271</v>
      </c>
      <c r="AD275" t="s">
        <v>479</v>
      </c>
      <c r="AE275" t="s">
        <v>738</v>
      </c>
      <c r="AG275" t="s">
        <v>897</v>
      </c>
      <c r="AI275" t="s">
        <v>2554</v>
      </c>
      <c r="AJ275" t="s">
        <v>1411</v>
      </c>
      <c r="AK275" t="s">
        <v>2462</v>
      </c>
      <c r="AL275" t="s">
        <v>2463</v>
      </c>
      <c r="AN275" t="str">
        <f t="shared" si="74"/>
        <v>OK</v>
      </c>
      <c r="AO275" t="str">
        <f t="shared" si="75"/>
        <v>OK</v>
      </c>
      <c r="AP275" t="str">
        <f t="shared" si="76"/>
        <v>OK</v>
      </c>
      <c r="AR275" t="str">
        <f t="shared" si="77"/>
        <v>OK</v>
      </c>
      <c r="AS275" t="str">
        <f t="shared" si="78"/>
        <v>OK</v>
      </c>
      <c r="AT275" t="str">
        <f t="shared" si="79"/>
        <v>NOK</v>
      </c>
      <c r="AU275" t="str">
        <f t="shared" si="80"/>
        <v>OK</v>
      </c>
      <c r="AV275" t="str">
        <f t="shared" si="81"/>
        <v>OK</v>
      </c>
      <c r="AW275" t="str">
        <f t="shared" si="82"/>
        <v>OK</v>
      </c>
    </row>
    <row r="276" spans="1:49">
      <c r="A276">
        <f>Dbase_velden_versie4_2!A272</f>
        <v>272</v>
      </c>
      <c r="B276" t="str">
        <f>Dbase_velden_versie4_2!B272</f>
        <v>SD_CASAGRANDE_MV_TRAP3</v>
      </c>
      <c r="C276" t="str">
        <f>Dbase_velden_versie4_2!C272</f>
        <v>1/MPa</v>
      </c>
      <c r="D276" t="str">
        <f>Dbase_velden_versie4_2!D272</f>
        <v>Waarde van de bepaling volgens Casagrande van de mv (1/MPa) bij trap 3</v>
      </c>
      <c r="E276" t="str">
        <f>Dbase_velden_versie4_2!E272</f>
        <v>Double</v>
      </c>
      <c r="F276">
        <f>Dbase_velden_versie4_2!F272</f>
        <v>0</v>
      </c>
      <c r="G276" t="str">
        <f>Dbase_velden_versie4_2!G272</f>
        <v>SD CASAGRANDE MV TRAP3</v>
      </c>
      <c r="H276" t="str">
        <f>Dbase_velden_versie4_2!H272</f>
        <v>[1/MPa]</v>
      </c>
      <c r="I276" t="str">
        <f>Dbase_velden_versie4_2!I272</f>
        <v>SD</v>
      </c>
      <c r="J276" t="str">
        <f>Dbase_velden_versie4_2!J272</f>
        <v>Samendrukkingsproef</v>
      </c>
      <c r="K276">
        <v>272</v>
      </c>
      <c r="L276" t="str">
        <v>SD_CASAGRANDE_MV_TRAP3</v>
      </c>
      <c r="M276" t="str">
        <v>1/MPa</v>
      </c>
      <c r="N276" t="str">
        <v>Waarde van de bepaling volgens Casagrande van de mv (1/MPa) bij trap 3</v>
      </c>
      <c r="O276" t="str">
        <v>Double</v>
      </c>
      <c r="P276">
        <v>0</v>
      </c>
      <c r="Q276" t="str">
        <v>SD CASAGRANDE MV TRAP3</v>
      </c>
      <c r="R276" t="str">
        <v>[1/MPa]</v>
      </c>
      <c r="S276" t="str">
        <f t="shared" si="73"/>
        <v>OK</v>
      </c>
      <c r="T276" t="str">
        <f t="shared" si="67"/>
        <v>OK</v>
      </c>
      <c r="U276" t="str">
        <f t="shared" si="68"/>
        <v>OK</v>
      </c>
      <c r="V276" t="str">
        <f t="shared" si="69"/>
        <v>OK</v>
      </c>
      <c r="W276" t="str">
        <f t="shared" si="70"/>
        <v>OK</v>
      </c>
      <c r="X276" t="str">
        <f t="shared" si="71"/>
        <v>OK</v>
      </c>
      <c r="Y276" t="str">
        <f t="shared" si="72"/>
        <v>OK</v>
      </c>
      <c r="Z276">
        <v>271</v>
      </c>
      <c r="AA276">
        <v>273</v>
      </c>
      <c r="AB276" t="s">
        <v>2462</v>
      </c>
      <c r="AC276" t="s">
        <v>272</v>
      </c>
      <c r="AD276" t="s">
        <v>479</v>
      </c>
      <c r="AE276" t="s">
        <v>739</v>
      </c>
      <c r="AG276" t="s">
        <v>897</v>
      </c>
      <c r="AI276" t="s">
        <v>2555</v>
      </c>
      <c r="AJ276" t="s">
        <v>1411</v>
      </c>
      <c r="AK276" t="s">
        <v>2462</v>
      </c>
      <c r="AL276" t="s">
        <v>2463</v>
      </c>
      <c r="AN276" t="str">
        <f t="shared" si="74"/>
        <v>OK</v>
      </c>
      <c r="AO276" t="str">
        <f t="shared" si="75"/>
        <v>OK</v>
      </c>
      <c r="AP276" t="str">
        <f t="shared" si="76"/>
        <v>OK</v>
      </c>
      <c r="AR276" t="str">
        <f t="shared" si="77"/>
        <v>OK</v>
      </c>
      <c r="AS276" t="str">
        <f t="shared" si="78"/>
        <v>OK</v>
      </c>
      <c r="AT276" t="str">
        <f t="shared" si="79"/>
        <v>NOK</v>
      </c>
      <c r="AU276" t="str">
        <f t="shared" si="80"/>
        <v>OK</v>
      </c>
      <c r="AV276" t="str">
        <f t="shared" si="81"/>
        <v>OK</v>
      </c>
      <c r="AW276" t="str">
        <f t="shared" si="82"/>
        <v>OK</v>
      </c>
    </row>
    <row r="277" spans="1:49">
      <c r="A277">
        <f>Dbase_velden_versie4_2!A273</f>
        <v>273</v>
      </c>
      <c r="B277" t="str">
        <f>Dbase_velden_versie4_2!B273</f>
        <v>SD_CASAGRANDE_MV_TRAP4</v>
      </c>
      <c r="C277" t="str">
        <f>Dbase_velden_versie4_2!C273</f>
        <v>1/MPa</v>
      </c>
      <c r="D277" t="str">
        <f>Dbase_velden_versie4_2!D273</f>
        <v>Waarde van de bepaling volgens Casagrande van de mv (1/MPa) bij trap 4</v>
      </c>
      <c r="E277" t="str">
        <f>Dbase_velden_versie4_2!E273</f>
        <v>Double</v>
      </c>
      <c r="F277">
        <f>Dbase_velden_versie4_2!F273</f>
        <v>0</v>
      </c>
      <c r="G277" t="str">
        <f>Dbase_velden_versie4_2!G273</f>
        <v>SD CASAGRANDE MV TRAP4</v>
      </c>
      <c r="H277" t="str">
        <f>Dbase_velden_versie4_2!H273</f>
        <v>[1/MPa]</v>
      </c>
      <c r="I277" t="str">
        <f>Dbase_velden_versie4_2!I273</f>
        <v>SD</v>
      </c>
      <c r="J277" t="str">
        <f>Dbase_velden_versie4_2!J273</f>
        <v>Samendrukkingsproef</v>
      </c>
      <c r="K277">
        <v>273</v>
      </c>
      <c r="L277" t="str">
        <v>SD_CASAGRANDE_MV_TRAP4</v>
      </c>
      <c r="M277" t="str">
        <v>1/MPa</v>
      </c>
      <c r="N277" t="str">
        <v>Waarde van de bepaling volgens Casagrande van de mv (1/MPa) bij trap 4</v>
      </c>
      <c r="O277" t="str">
        <v>Double</v>
      </c>
      <c r="P277">
        <v>0</v>
      </c>
      <c r="Q277" t="str">
        <v>SD CASAGRANDE MV TRAP4</v>
      </c>
      <c r="R277" t="str">
        <v>[1/MPa]</v>
      </c>
      <c r="S277" t="str">
        <f t="shared" si="73"/>
        <v>OK</v>
      </c>
      <c r="T277" t="str">
        <f t="shared" si="67"/>
        <v>OK</v>
      </c>
      <c r="U277" t="str">
        <f t="shared" si="68"/>
        <v>OK</v>
      </c>
      <c r="V277" t="str">
        <f t="shared" si="69"/>
        <v>OK</v>
      </c>
      <c r="W277" t="str">
        <f t="shared" si="70"/>
        <v>OK</v>
      </c>
      <c r="X277" t="str">
        <f t="shared" si="71"/>
        <v>OK</v>
      </c>
      <c r="Y277" t="str">
        <f t="shared" si="72"/>
        <v>OK</v>
      </c>
      <c r="Z277">
        <v>272</v>
      </c>
      <c r="AA277">
        <v>274</v>
      </c>
      <c r="AB277" t="s">
        <v>2462</v>
      </c>
      <c r="AC277" t="s">
        <v>273</v>
      </c>
      <c r="AD277" t="s">
        <v>479</v>
      </c>
      <c r="AE277" t="s">
        <v>740</v>
      </c>
      <c r="AG277" t="s">
        <v>897</v>
      </c>
      <c r="AI277" t="s">
        <v>2556</v>
      </c>
      <c r="AJ277" t="s">
        <v>1411</v>
      </c>
      <c r="AK277" t="s">
        <v>2462</v>
      </c>
      <c r="AL277" t="s">
        <v>2463</v>
      </c>
      <c r="AN277" t="str">
        <f t="shared" si="74"/>
        <v>OK</v>
      </c>
      <c r="AO277" t="str">
        <f t="shared" si="75"/>
        <v>OK</v>
      </c>
      <c r="AP277" t="str">
        <f t="shared" si="76"/>
        <v>OK</v>
      </c>
      <c r="AR277" t="str">
        <f t="shared" si="77"/>
        <v>OK</v>
      </c>
      <c r="AS277" t="str">
        <f t="shared" si="78"/>
        <v>OK</v>
      </c>
      <c r="AT277" t="str">
        <f t="shared" si="79"/>
        <v>NOK</v>
      </c>
      <c r="AU277" t="str">
        <f t="shared" si="80"/>
        <v>OK</v>
      </c>
      <c r="AV277" t="str">
        <f t="shared" si="81"/>
        <v>OK</v>
      </c>
      <c r="AW277" t="str">
        <f t="shared" si="82"/>
        <v>OK</v>
      </c>
    </row>
    <row r="278" spans="1:49">
      <c r="A278">
        <f>Dbase_velden_versie4_2!A274</f>
        <v>274</v>
      </c>
      <c r="B278" t="str">
        <f>Dbase_velden_versie4_2!B274</f>
        <v>SD_CASAGRANDE_MV_TRAP5</v>
      </c>
      <c r="C278" t="str">
        <f>Dbase_velden_versie4_2!C274</f>
        <v>1/MPa</v>
      </c>
      <c r="D278" t="str">
        <f>Dbase_velden_versie4_2!D274</f>
        <v>Waarde van de bepaling volgens Casagrande van de mv (1/MPa) bij trap 5</v>
      </c>
      <c r="E278" t="str">
        <f>Dbase_velden_versie4_2!E274</f>
        <v>Double</v>
      </c>
      <c r="F278">
        <f>Dbase_velden_versie4_2!F274</f>
        <v>0</v>
      </c>
      <c r="G278" t="str">
        <f>Dbase_velden_versie4_2!G274</f>
        <v>SD CASAGRANDE MV TRAP5</v>
      </c>
      <c r="H278" t="str">
        <f>Dbase_velden_versie4_2!H274</f>
        <v>[1/MPa]</v>
      </c>
      <c r="I278" t="str">
        <f>Dbase_velden_versie4_2!I274</f>
        <v>SD</v>
      </c>
      <c r="J278" t="str">
        <f>Dbase_velden_versie4_2!J274</f>
        <v>Samendrukkingsproef</v>
      </c>
      <c r="K278">
        <v>274</v>
      </c>
      <c r="L278" t="str">
        <v>SD_CASAGRANDE_MV_TRAP5</v>
      </c>
      <c r="M278" t="str">
        <v>1/MPa</v>
      </c>
      <c r="N278" t="str">
        <v>Waarde van de bepaling volgens Casagrande van de mv (1/MPa) bij trap 5</v>
      </c>
      <c r="O278" t="str">
        <v>Double</v>
      </c>
      <c r="P278">
        <v>0</v>
      </c>
      <c r="Q278" t="str">
        <v>SD CASAGRANDE MV TRAP5</v>
      </c>
      <c r="R278" t="str">
        <v>[1/MPa]</v>
      </c>
      <c r="S278" t="str">
        <f t="shared" si="73"/>
        <v>OK</v>
      </c>
      <c r="T278" t="str">
        <f t="shared" si="67"/>
        <v>OK</v>
      </c>
      <c r="U278" t="str">
        <f t="shared" si="68"/>
        <v>OK</v>
      </c>
      <c r="V278" t="str">
        <f t="shared" si="69"/>
        <v>OK</v>
      </c>
      <c r="W278" t="str">
        <f t="shared" si="70"/>
        <v>OK</v>
      </c>
      <c r="X278" t="str">
        <f t="shared" si="71"/>
        <v>OK</v>
      </c>
      <c r="Y278" t="str">
        <f t="shared" si="72"/>
        <v>OK</v>
      </c>
      <c r="Z278">
        <v>273</v>
      </c>
      <c r="AA278">
        <v>275</v>
      </c>
      <c r="AB278" t="s">
        <v>2462</v>
      </c>
      <c r="AC278" t="s">
        <v>274</v>
      </c>
      <c r="AD278" t="s">
        <v>479</v>
      </c>
      <c r="AE278" t="s">
        <v>741</v>
      </c>
      <c r="AG278" t="s">
        <v>897</v>
      </c>
      <c r="AI278" t="s">
        <v>2557</v>
      </c>
      <c r="AJ278" t="s">
        <v>1411</v>
      </c>
      <c r="AK278" t="s">
        <v>2462</v>
      </c>
      <c r="AL278" t="s">
        <v>2463</v>
      </c>
      <c r="AN278" t="str">
        <f t="shared" si="74"/>
        <v>OK</v>
      </c>
      <c r="AO278" t="str">
        <f t="shared" si="75"/>
        <v>OK</v>
      </c>
      <c r="AP278" t="str">
        <f t="shared" si="76"/>
        <v>OK</v>
      </c>
      <c r="AR278" t="str">
        <f t="shared" si="77"/>
        <v>OK</v>
      </c>
      <c r="AS278" t="str">
        <f t="shared" si="78"/>
        <v>OK</v>
      </c>
      <c r="AT278" t="str">
        <f t="shared" si="79"/>
        <v>NOK</v>
      </c>
      <c r="AU278" t="str">
        <f t="shared" si="80"/>
        <v>OK</v>
      </c>
      <c r="AV278" t="str">
        <f t="shared" si="81"/>
        <v>OK</v>
      </c>
      <c r="AW278" t="str">
        <f t="shared" si="82"/>
        <v>OK</v>
      </c>
    </row>
    <row r="279" spans="1:49">
      <c r="A279">
        <f>Dbase_velden_versie4_2!A275</f>
        <v>275</v>
      </c>
      <c r="B279" t="str">
        <f>Dbase_velden_versie4_2!B275</f>
        <v>SD_CASAGRANDE_MV_TRAP6</v>
      </c>
      <c r="C279" t="str">
        <f>Dbase_velden_versie4_2!C275</f>
        <v>1/MPa</v>
      </c>
      <c r="D279" t="str">
        <f>Dbase_velden_versie4_2!D275</f>
        <v>Waarde van de bepaling volgens Casagrande van de mv (1/MPa) bij trap 6</v>
      </c>
      <c r="E279" t="str">
        <f>Dbase_velden_versie4_2!E275</f>
        <v>Double</v>
      </c>
      <c r="F279">
        <f>Dbase_velden_versie4_2!F275</f>
        <v>0</v>
      </c>
      <c r="G279" t="str">
        <f>Dbase_velden_versie4_2!G275</f>
        <v>SD CASAGRANDE MV TRAP6</v>
      </c>
      <c r="H279" t="str">
        <f>Dbase_velden_versie4_2!H275</f>
        <v>[1/MPa]</v>
      </c>
      <c r="I279" t="str">
        <f>Dbase_velden_versie4_2!I275</f>
        <v>SD</v>
      </c>
      <c r="J279" t="str">
        <f>Dbase_velden_versie4_2!J275</f>
        <v>Samendrukkingsproef</v>
      </c>
      <c r="K279">
        <v>275</v>
      </c>
      <c r="L279" t="str">
        <v>SD_CASAGRANDE_MV_TRAP6</v>
      </c>
      <c r="M279" t="str">
        <v>1/MPa</v>
      </c>
      <c r="N279" t="str">
        <v>Waarde van de bepaling volgens Casagrande van de mv (1/MPa) bij trap 6</v>
      </c>
      <c r="O279" t="str">
        <v>Double</v>
      </c>
      <c r="P279">
        <v>0</v>
      </c>
      <c r="Q279" t="str">
        <v>SD CASAGRANDE MV TRAP6</v>
      </c>
      <c r="R279" t="str">
        <v>[1/MPa]</v>
      </c>
      <c r="S279" t="str">
        <f t="shared" si="73"/>
        <v>OK</v>
      </c>
      <c r="T279" t="str">
        <f t="shared" si="67"/>
        <v>OK</v>
      </c>
      <c r="U279" t="str">
        <f t="shared" si="68"/>
        <v>OK</v>
      </c>
      <c r="V279" t="str">
        <f t="shared" si="69"/>
        <v>OK</v>
      </c>
      <c r="W279" t="str">
        <f t="shared" si="70"/>
        <v>OK</v>
      </c>
      <c r="X279" t="str">
        <f t="shared" si="71"/>
        <v>OK</v>
      </c>
      <c r="Y279" t="str">
        <f t="shared" si="72"/>
        <v>OK</v>
      </c>
      <c r="Z279">
        <v>274</v>
      </c>
      <c r="AA279">
        <v>276</v>
      </c>
      <c r="AB279" t="s">
        <v>2462</v>
      </c>
      <c r="AC279" t="s">
        <v>275</v>
      </c>
      <c r="AD279" t="s">
        <v>479</v>
      </c>
      <c r="AE279" t="s">
        <v>742</v>
      </c>
      <c r="AG279" t="s">
        <v>897</v>
      </c>
      <c r="AI279" t="s">
        <v>2558</v>
      </c>
      <c r="AJ279" t="s">
        <v>1411</v>
      </c>
      <c r="AK279" t="s">
        <v>2462</v>
      </c>
      <c r="AL279" t="s">
        <v>2463</v>
      </c>
      <c r="AN279" t="str">
        <f t="shared" si="74"/>
        <v>OK</v>
      </c>
      <c r="AO279" t="str">
        <f t="shared" si="75"/>
        <v>OK</v>
      </c>
      <c r="AP279" t="str">
        <f t="shared" si="76"/>
        <v>OK</v>
      </c>
      <c r="AR279" t="str">
        <f t="shared" si="77"/>
        <v>OK</v>
      </c>
      <c r="AS279" t="str">
        <f t="shared" si="78"/>
        <v>OK</v>
      </c>
      <c r="AT279" t="str">
        <f t="shared" si="79"/>
        <v>NOK</v>
      </c>
      <c r="AU279" t="str">
        <f t="shared" si="80"/>
        <v>OK</v>
      </c>
      <c r="AV279" t="str">
        <f t="shared" si="81"/>
        <v>OK</v>
      </c>
      <c r="AW279" t="str">
        <f t="shared" si="82"/>
        <v>OK</v>
      </c>
    </row>
    <row r="280" spans="1:49">
      <c r="A280">
        <f>Dbase_velden_versie4_2!A276</f>
        <v>276</v>
      </c>
      <c r="B280" t="str">
        <f>Dbase_velden_versie4_2!B276</f>
        <v>SD_CASAGRANDE_MV_TRAP7</v>
      </c>
      <c r="C280" t="str">
        <f>Dbase_velden_versie4_2!C276</f>
        <v>1/MPa</v>
      </c>
      <c r="D280" t="str">
        <f>Dbase_velden_versie4_2!D276</f>
        <v>Waarde van de bepaling volgens Casagrande van de mv (1/MPa) bij trap 7</v>
      </c>
      <c r="E280" t="str">
        <f>Dbase_velden_versie4_2!E276</f>
        <v>Double</v>
      </c>
      <c r="F280">
        <f>Dbase_velden_versie4_2!F276</f>
        <v>0</v>
      </c>
      <c r="G280" t="str">
        <f>Dbase_velden_versie4_2!G276</f>
        <v>SD CASAGRANDE MV TRAP7</v>
      </c>
      <c r="H280" t="str">
        <f>Dbase_velden_versie4_2!H276</f>
        <v>[1/MPa]</v>
      </c>
      <c r="I280" t="str">
        <f>Dbase_velden_versie4_2!I276</f>
        <v>SD</v>
      </c>
      <c r="J280" t="str">
        <f>Dbase_velden_versie4_2!J276</f>
        <v>Samendrukkingsproef</v>
      </c>
      <c r="K280">
        <v>276</v>
      </c>
      <c r="L280" t="str">
        <v>SD_CASAGRANDE_MV_TRAP7</v>
      </c>
      <c r="M280" t="str">
        <v>1/MPa</v>
      </c>
      <c r="N280" t="str">
        <v>Waarde van de bepaling volgens Casagrande van de mv (1/MPa) bij trap 7</v>
      </c>
      <c r="O280" t="str">
        <v>Double</v>
      </c>
      <c r="P280">
        <v>0</v>
      </c>
      <c r="Q280" t="str">
        <v>SD CASAGRANDE MV TRAP7</v>
      </c>
      <c r="R280" t="str">
        <v>[1/MPa]</v>
      </c>
      <c r="S280" t="str">
        <f t="shared" si="73"/>
        <v>OK</v>
      </c>
      <c r="T280" t="str">
        <f t="shared" si="67"/>
        <v>OK</v>
      </c>
      <c r="U280" t="str">
        <f t="shared" si="68"/>
        <v>OK</v>
      </c>
      <c r="V280" t="str">
        <f t="shared" si="69"/>
        <v>OK</v>
      </c>
      <c r="W280" t="str">
        <f t="shared" si="70"/>
        <v>OK</v>
      </c>
      <c r="X280" t="str">
        <f t="shared" si="71"/>
        <v>OK</v>
      </c>
      <c r="Y280" t="str">
        <f t="shared" si="72"/>
        <v>OK</v>
      </c>
      <c r="Z280">
        <v>275</v>
      </c>
      <c r="AA280">
        <v>277</v>
      </c>
      <c r="AB280" t="s">
        <v>2462</v>
      </c>
      <c r="AC280" t="s">
        <v>276</v>
      </c>
      <c r="AD280" t="s">
        <v>479</v>
      </c>
      <c r="AE280" t="s">
        <v>743</v>
      </c>
      <c r="AG280" t="s">
        <v>897</v>
      </c>
      <c r="AI280" t="s">
        <v>2559</v>
      </c>
      <c r="AJ280" t="s">
        <v>1411</v>
      </c>
      <c r="AK280" t="s">
        <v>2462</v>
      </c>
      <c r="AL280" t="s">
        <v>2463</v>
      </c>
      <c r="AN280" t="str">
        <f t="shared" si="74"/>
        <v>OK</v>
      </c>
      <c r="AO280" t="str">
        <f t="shared" si="75"/>
        <v>OK</v>
      </c>
      <c r="AP280" t="str">
        <f t="shared" si="76"/>
        <v>OK</v>
      </c>
      <c r="AR280" t="str">
        <f t="shared" si="77"/>
        <v>OK</v>
      </c>
      <c r="AS280" t="str">
        <f t="shared" si="78"/>
        <v>OK</v>
      </c>
      <c r="AT280" t="str">
        <f t="shared" si="79"/>
        <v>NOK</v>
      </c>
      <c r="AU280" t="str">
        <f t="shared" si="80"/>
        <v>OK</v>
      </c>
      <c r="AV280" t="str">
        <f t="shared" si="81"/>
        <v>OK</v>
      </c>
      <c r="AW280" t="str">
        <f t="shared" si="82"/>
        <v>OK</v>
      </c>
    </row>
    <row r="281" spans="1:49">
      <c r="A281">
        <f>Dbase_velden_versie4_2!A277</f>
        <v>277</v>
      </c>
      <c r="B281" t="str">
        <f>Dbase_velden_versie4_2!B277</f>
        <v>SD_CASAGRANDE_MV_TRAP8</v>
      </c>
      <c r="C281" t="str">
        <f>Dbase_velden_versie4_2!C277</f>
        <v>1/MPa</v>
      </c>
      <c r="D281" t="str">
        <f>Dbase_velden_versie4_2!D277</f>
        <v>Waarde van de bepaling volgens Casagrande van de mv (1/MPa) bij trap 8</v>
      </c>
      <c r="E281" t="str">
        <f>Dbase_velden_versie4_2!E277</f>
        <v>Double</v>
      </c>
      <c r="F281">
        <f>Dbase_velden_versie4_2!F277</f>
        <v>0</v>
      </c>
      <c r="G281" t="str">
        <f>Dbase_velden_versie4_2!G277</f>
        <v>SD CASAGRANDE MV TRAP8</v>
      </c>
      <c r="H281" t="str">
        <f>Dbase_velden_versie4_2!H277</f>
        <v>[1/MPa]</v>
      </c>
      <c r="I281" t="str">
        <f>Dbase_velden_versie4_2!I277</f>
        <v>SD</v>
      </c>
      <c r="J281" t="str">
        <f>Dbase_velden_versie4_2!J277</f>
        <v>Samendrukkingsproef</v>
      </c>
      <c r="K281">
        <v>277</v>
      </c>
      <c r="L281" t="str">
        <v>SD_CASAGRANDE_MV_TRAP8</v>
      </c>
      <c r="M281" t="str">
        <v>1/MPa</v>
      </c>
      <c r="N281" t="str">
        <v>Waarde van de bepaling volgens Casagrande van de mv (1/MPa) bij trap 8</v>
      </c>
      <c r="O281" t="str">
        <v>Double</v>
      </c>
      <c r="P281">
        <v>0</v>
      </c>
      <c r="Q281" t="str">
        <v>SD CASAGRANDE MV TRAP8</v>
      </c>
      <c r="R281" t="str">
        <v>[1/MPa]</v>
      </c>
      <c r="S281" t="str">
        <f t="shared" si="73"/>
        <v>OK</v>
      </c>
      <c r="T281" t="str">
        <f t="shared" si="67"/>
        <v>OK</v>
      </c>
      <c r="U281" t="str">
        <f t="shared" si="68"/>
        <v>OK</v>
      </c>
      <c r="V281" t="str">
        <f t="shared" si="69"/>
        <v>OK</v>
      </c>
      <c r="W281" t="str">
        <f t="shared" si="70"/>
        <v>OK</v>
      </c>
      <c r="X281" t="str">
        <f t="shared" si="71"/>
        <v>OK</v>
      </c>
      <c r="Y281" t="str">
        <f t="shared" si="72"/>
        <v>OK</v>
      </c>
      <c r="Z281">
        <v>276</v>
      </c>
      <c r="AA281">
        <v>278</v>
      </c>
      <c r="AB281" t="s">
        <v>2462</v>
      </c>
      <c r="AC281" t="s">
        <v>277</v>
      </c>
      <c r="AD281" t="s">
        <v>479</v>
      </c>
      <c r="AE281" t="s">
        <v>744</v>
      </c>
      <c r="AG281" t="s">
        <v>897</v>
      </c>
      <c r="AI281" t="s">
        <v>2560</v>
      </c>
      <c r="AJ281" t="s">
        <v>1411</v>
      </c>
      <c r="AK281" t="s">
        <v>2462</v>
      </c>
      <c r="AL281" t="s">
        <v>2463</v>
      </c>
      <c r="AN281" t="str">
        <f t="shared" si="74"/>
        <v>OK</v>
      </c>
      <c r="AO281" t="str">
        <f t="shared" si="75"/>
        <v>OK</v>
      </c>
      <c r="AP281" t="str">
        <f t="shared" si="76"/>
        <v>OK</v>
      </c>
      <c r="AR281" t="str">
        <f t="shared" si="77"/>
        <v>OK</v>
      </c>
      <c r="AS281" t="str">
        <f t="shared" si="78"/>
        <v>OK</v>
      </c>
      <c r="AT281" t="str">
        <f t="shared" si="79"/>
        <v>NOK</v>
      </c>
      <c r="AU281" t="str">
        <f t="shared" si="80"/>
        <v>OK</v>
      </c>
      <c r="AV281" t="str">
        <f t="shared" si="81"/>
        <v>OK</v>
      </c>
      <c r="AW281" t="str">
        <f t="shared" si="82"/>
        <v>OK</v>
      </c>
    </row>
    <row r="282" spans="1:49">
      <c r="A282">
        <f>Dbase_velden_versie4_2!A278</f>
        <v>278</v>
      </c>
      <c r="B282" t="str">
        <f>Dbase_velden_versie4_2!B278</f>
        <v>SD_CASAGRANDE_MV_TRAP9</v>
      </c>
      <c r="C282" t="str">
        <f>Dbase_velden_versie4_2!C278</f>
        <v>1/MPa</v>
      </c>
      <c r="D282" t="str">
        <f>Dbase_velden_versie4_2!D278</f>
        <v>Waarde van de bepaling volgens Casagrande van de mv (1/MPa) bij trap 9</v>
      </c>
      <c r="E282" t="str">
        <f>Dbase_velden_versie4_2!E278</f>
        <v>Double</v>
      </c>
      <c r="F282">
        <f>Dbase_velden_versie4_2!F278</f>
        <v>0</v>
      </c>
      <c r="G282" t="str">
        <f>Dbase_velden_versie4_2!G278</f>
        <v>SD CASAGRANDE MV TRAP9</v>
      </c>
      <c r="H282" t="str">
        <f>Dbase_velden_versie4_2!H278</f>
        <v>[1/MPa]</v>
      </c>
      <c r="I282" t="str">
        <f>Dbase_velden_versie4_2!I278</f>
        <v>SD</v>
      </c>
      <c r="J282" t="str">
        <f>Dbase_velden_versie4_2!J278</f>
        <v>Samendrukkingsproef</v>
      </c>
      <c r="K282">
        <v>278</v>
      </c>
      <c r="L282" t="str">
        <v>SD_CASAGRANDE_MV_TRAP9</v>
      </c>
      <c r="M282" t="str">
        <v>1/MPa</v>
      </c>
      <c r="N282" t="str">
        <v>Waarde van de bepaling volgens Casagrande van de mv (1/MPa) bij trap 9</v>
      </c>
      <c r="O282" t="str">
        <v>Double</v>
      </c>
      <c r="P282">
        <v>0</v>
      </c>
      <c r="Q282" t="str">
        <v>SD CASAGRANDE MV TRAP9</v>
      </c>
      <c r="R282" t="str">
        <v>[1/MPa]</v>
      </c>
      <c r="S282" t="str">
        <f t="shared" si="73"/>
        <v>OK</v>
      </c>
      <c r="T282" t="str">
        <f t="shared" si="67"/>
        <v>OK</v>
      </c>
      <c r="U282" t="str">
        <f t="shared" si="68"/>
        <v>OK</v>
      </c>
      <c r="V282" t="str">
        <f t="shared" si="69"/>
        <v>OK</v>
      </c>
      <c r="W282" t="str">
        <f t="shared" si="70"/>
        <v>OK</v>
      </c>
      <c r="X282" t="str">
        <f t="shared" si="71"/>
        <v>OK</v>
      </c>
      <c r="Y282" t="str">
        <f t="shared" si="72"/>
        <v>OK</v>
      </c>
      <c r="Z282">
        <v>277</v>
      </c>
      <c r="AA282">
        <v>279</v>
      </c>
      <c r="AB282" t="s">
        <v>2462</v>
      </c>
      <c r="AC282" t="s">
        <v>278</v>
      </c>
      <c r="AD282" t="s">
        <v>479</v>
      </c>
      <c r="AE282" t="s">
        <v>745</v>
      </c>
      <c r="AG282" t="s">
        <v>897</v>
      </c>
      <c r="AI282" t="s">
        <v>2561</v>
      </c>
      <c r="AJ282" t="s">
        <v>1411</v>
      </c>
      <c r="AK282" t="s">
        <v>2462</v>
      </c>
      <c r="AL282" t="s">
        <v>2463</v>
      </c>
      <c r="AN282" t="str">
        <f t="shared" si="74"/>
        <v>OK</v>
      </c>
      <c r="AO282" t="str">
        <f t="shared" si="75"/>
        <v>OK</v>
      </c>
      <c r="AP282" t="str">
        <f t="shared" si="76"/>
        <v>OK</v>
      </c>
      <c r="AR282" t="str">
        <f t="shared" si="77"/>
        <v>OK</v>
      </c>
      <c r="AS282" t="str">
        <f t="shared" si="78"/>
        <v>OK</v>
      </c>
      <c r="AT282" t="str">
        <f t="shared" si="79"/>
        <v>NOK</v>
      </c>
      <c r="AU282" t="str">
        <f t="shared" si="80"/>
        <v>OK</v>
      </c>
      <c r="AV282" t="str">
        <f t="shared" si="81"/>
        <v>OK</v>
      </c>
      <c r="AW282" t="str">
        <f t="shared" si="82"/>
        <v>OK</v>
      </c>
    </row>
    <row r="283" spans="1:49">
      <c r="A283">
        <f>Dbase_velden_versie4_2!A279</f>
        <v>279</v>
      </c>
      <c r="B283" t="str">
        <f>Dbase_velden_versie4_2!B279</f>
        <v>SD_CASAGRANDE_SPANNING_CV10_TRAP2</v>
      </c>
      <c r="C283" t="str">
        <f>Dbase_velden_versie4_2!C279</f>
        <v>kPa</v>
      </c>
      <c r="D283" t="str">
        <f>Dbase_velden_versie4_2!D279</f>
        <v>spanning bij cv;2</v>
      </c>
      <c r="E283" t="str">
        <f>Dbase_velden_versie4_2!E279</f>
        <v>Double</v>
      </c>
      <c r="F283">
        <f>Dbase_velden_versie4_2!F279</f>
        <v>0</v>
      </c>
      <c r="G283" t="str">
        <f>Dbase_velden_versie4_2!G279</f>
        <v>SD CASAGRANDE SPANNING CV10 TRAP2</v>
      </c>
      <c r="H283" t="str">
        <f>Dbase_velden_versie4_2!H279</f>
        <v>[kPa]</v>
      </c>
      <c r="I283" t="str">
        <f>Dbase_velden_versie4_2!I279</f>
        <v>SD</v>
      </c>
      <c r="J283" t="str">
        <f>Dbase_velden_versie4_2!J279</f>
        <v>Samendrukkingsproef</v>
      </c>
      <c r="K283">
        <v>279</v>
      </c>
      <c r="L283" t="str">
        <v>SD_CASAGRANDE_SPANNING_CV10_TRAP2</v>
      </c>
      <c r="M283" t="str">
        <v>kPa</v>
      </c>
      <c r="N283" t="str">
        <v>spanning bij cv;2</v>
      </c>
      <c r="O283" t="str">
        <v>Double</v>
      </c>
      <c r="P283">
        <v>0</v>
      </c>
      <c r="Q283" t="str">
        <v>SD CASAGRANDE SPANNING CV10 TRAP2</v>
      </c>
      <c r="R283" t="str">
        <v>[kPa]</v>
      </c>
      <c r="S283" t="str">
        <f t="shared" si="73"/>
        <v>OK</v>
      </c>
      <c r="T283" t="str">
        <f t="shared" si="67"/>
        <v>OK</v>
      </c>
      <c r="U283" t="str">
        <f t="shared" si="68"/>
        <v>OK</v>
      </c>
      <c r="V283" t="str">
        <f t="shared" si="69"/>
        <v>OK</v>
      </c>
      <c r="W283" t="str">
        <f t="shared" si="70"/>
        <v>OK</v>
      </c>
      <c r="X283" t="str">
        <f t="shared" si="71"/>
        <v>OK</v>
      </c>
      <c r="Y283" t="str">
        <f t="shared" si="72"/>
        <v>OK</v>
      </c>
      <c r="Z283">
        <v>278</v>
      </c>
      <c r="AA283">
        <v>280</v>
      </c>
      <c r="AB283" t="s">
        <v>2462</v>
      </c>
      <c r="AC283" t="s">
        <v>279</v>
      </c>
      <c r="AD283" t="s">
        <v>470</v>
      </c>
      <c r="AE283" t="s">
        <v>746</v>
      </c>
      <c r="AG283" t="s">
        <v>897</v>
      </c>
      <c r="AI283" t="s">
        <v>2562</v>
      </c>
      <c r="AJ283" t="s">
        <v>1402</v>
      </c>
      <c r="AK283" t="s">
        <v>2462</v>
      </c>
      <c r="AL283" t="s">
        <v>2463</v>
      </c>
      <c r="AN283" t="str">
        <f t="shared" si="74"/>
        <v>OK</v>
      </c>
      <c r="AO283" t="str">
        <f t="shared" si="75"/>
        <v>OK</v>
      </c>
      <c r="AP283" t="str">
        <f t="shared" si="76"/>
        <v>OK</v>
      </c>
      <c r="AR283" t="str">
        <f t="shared" si="77"/>
        <v>OK</v>
      </c>
      <c r="AS283" t="str">
        <f t="shared" si="78"/>
        <v>OK</v>
      </c>
      <c r="AT283" t="str">
        <f t="shared" si="79"/>
        <v>NOK</v>
      </c>
      <c r="AU283" t="str">
        <f t="shared" si="80"/>
        <v>OK</v>
      </c>
      <c r="AV283" t="str">
        <f t="shared" si="81"/>
        <v>OK</v>
      </c>
      <c r="AW283" t="str">
        <f t="shared" si="82"/>
        <v>OK</v>
      </c>
    </row>
    <row r="284" spans="1:49">
      <c r="A284">
        <f>Dbase_velden_versie4_2!A280</f>
        <v>280</v>
      </c>
      <c r="B284" t="str">
        <f>Dbase_velden_versie4_2!B280</f>
        <v>SD_CASAGRANDE_SPANNING_CV10_TRAP3</v>
      </c>
      <c r="C284" t="str">
        <f>Dbase_velden_versie4_2!C280</f>
        <v>kPa</v>
      </c>
      <c r="D284" t="str">
        <f>Dbase_velden_versie4_2!D280</f>
        <v>spanning bij cv;3</v>
      </c>
      <c r="E284" t="str">
        <f>Dbase_velden_versie4_2!E280</f>
        <v>Double</v>
      </c>
      <c r="F284">
        <f>Dbase_velden_versie4_2!F280</f>
        <v>0</v>
      </c>
      <c r="G284" t="str">
        <f>Dbase_velden_versie4_2!G280</f>
        <v>SD CASAGRANDE SPANNING CV10 TRAP3</v>
      </c>
      <c r="H284" t="str">
        <f>Dbase_velden_versie4_2!H280</f>
        <v>[kPa]</v>
      </c>
      <c r="I284" t="str">
        <f>Dbase_velden_versie4_2!I280</f>
        <v>SD</v>
      </c>
      <c r="J284" t="str">
        <f>Dbase_velden_versie4_2!J280</f>
        <v>Samendrukkingsproef</v>
      </c>
      <c r="K284">
        <v>280</v>
      </c>
      <c r="L284" t="str">
        <v>SD_CASAGRANDE_SPANNING_CV10_TRAP3</v>
      </c>
      <c r="M284" t="str">
        <v>kPa</v>
      </c>
      <c r="N284" t="str">
        <v>spanning bij cv;3</v>
      </c>
      <c r="O284" t="str">
        <v>Double</v>
      </c>
      <c r="P284">
        <v>0</v>
      </c>
      <c r="Q284" t="str">
        <v>SD CASAGRANDE SPANNING CV10 TRAP3</v>
      </c>
      <c r="R284" t="str">
        <v>[kPa]</v>
      </c>
      <c r="S284" t="str">
        <f t="shared" si="73"/>
        <v>OK</v>
      </c>
      <c r="T284" t="str">
        <f t="shared" si="67"/>
        <v>OK</v>
      </c>
      <c r="U284" t="str">
        <f t="shared" si="68"/>
        <v>OK</v>
      </c>
      <c r="V284" t="str">
        <f t="shared" si="69"/>
        <v>OK</v>
      </c>
      <c r="W284" t="str">
        <f t="shared" si="70"/>
        <v>OK</v>
      </c>
      <c r="X284" t="str">
        <f t="shared" si="71"/>
        <v>OK</v>
      </c>
      <c r="Y284" t="str">
        <f t="shared" si="72"/>
        <v>OK</v>
      </c>
      <c r="Z284">
        <v>279</v>
      </c>
      <c r="AA284">
        <v>281</v>
      </c>
      <c r="AB284" t="s">
        <v>2462</v>
      </c>
      <c r="AC284" t="s">
        <v>280</v>
      </c>
      <c r="AD284" t="s">
        <v>470</v>
      </c>
      <c r="AE284" t="s">
        <v>747</v>
      </c>
      <c r="AG284" t="s">
        <v>897</v>
      </c>
      <c r="AI284" t="s">
        <v>2563</v>
      </c>
      <c r="AJ284" t="s">
        <v>1402</v>
      </c>
      <c r="AK284" t="s">
        <v>2462</v>
      </c>
      <c r="AL284" t="s">
        <v>2463</v>
      </c>
      <c r="AN284" t="str">
        <f t="shared" si="74"/>
        <v>OK</v>
      </c>
      <c r="AO284" t="str">
        <f t="shared" si="75"/>
        <v>OK</v>
      </c>
      <c r="AP284" t="str">
        <f t="shared" si="76"/>
        <v>OK</v>
      </c>
      <c r="AR284" t="str">
        <f t="shared" si="77"/>
        <v>OK</v>
      </c>
      <c r="AS284" t="str">
        <f t="shared" si="78"/>
        <v>OK</v>
      </c>
      <c r="AT284" t="str">
        <f t="shared" si="79"/>
        <v>NOK</v>
      </c>
      <c r="AU284" t="str">
        <f t="shared" si="80"/>
        <v>OK</v>
      </c>
      <c r="AV284" t="str">
        <f t="shared" si="81"/>
        <v>OK</v>
      </c>
      <c r="AW284" t="str">
        <f t="shared" si="82"/>
        <v>OK</v>
      </c>
    </row>
    <row r="285" spans="1:49">
      <c r="A285">
        <f>Dbase_velden_versie4_2!A281</f>
        <v>281</v>
      </c>
      <c r="B285" t="str">
        <f>Dbase_velden_versie4_2!B281</f>
        <v>SD_CASAGRANDE_SPANNING_CV10_TRAP4</v>
      </c>
      <c r="C285" t="str">
        <f>Dbase_velden_versie4_2!C281</f>
        <v>kPa</v>
      </c>
      <c r="D285" t="str">
        <f>Dbase_velden_versie4_2!D281</f>
        <v>spanning bij cv;4</v>
      </c>
      <c r="E285" t="str">
        <f>Dbase_velden_versie4_2!E281</f>
        <v>Double</v>
      </c>
      <c r="F285">
        <f>Dbase_velden_versie4_2!F281</f>
        <v>0</v>
      </c>
      <c r="G285" t="str">
        <f>Dbase_velden_versie4_2!G281</f>
        <v>SD CASAGRANDE SPANNING CV10 TRAP4</v>
      </c>
      <c r="H285" t="str">
        <f>Dbase_velden_versie4_2!H281</f>
        <v>[kPa]</v>
      </c>
      <c r="I285" t="str">
        <f>Dbase_velden_versie4_2!I281</f>
        <v>SD</v>
      </c>
      <c r="J285" t="str">
        <f>Dbase_velden_versie4_2!J281</f>
        <v>Samendrukkingsproef</v>
      </c>
      <c r="K285">
        <v>281</v>
      </c>
      <c r="L285" t="str">
        <v>SD_CASAGRANDE_SPANNING_CV10_TRAP4</v>
      </c>
      <c r="M285" t="str">
        <v>kPa</v>
      </c>
      <c r="N285" t="str">
        <v>spanning bij cv;4</v>
      </c>
      <c r="O285" t="str">
        <v>Double</v>
      </c>
      <c r="P285">
        <v>0</v>
      </c>
      <c r="Q285" t="str">
        <v>SD CASAGRANDE SPANNING CV10 TRAP4</v>
      </c>
      <c r="R285" t="str">
        <v>[kPa]</v>
      </c>
      <c r="S285" t="str">
        <f t="shared" si="73"/>
        <v>OK</v>
      </c>
      <c r="T285" t="str">
        <f t="shared" si="67"/>
        <v>OK</v>
      </c>
      <c r="U285" t="str">
        <f t="shared" si="68"/>
        <v>OK</v>
      </c>
      <c r="V285" t="str">
        <f t="shared" si="69"/>
        <v>OK</v>
      </c>
      <c r="W285" t="str">
        <f t="shared" si="70"/>
        <v>OK</v>
      </c>
      <c r="X285" t="str">
        <f t="shared" si="71"/>
        <v>OK</v>
      </c>
      <c r="Y285" t="str">
        <f t="shared" si="72"/>
        <v>OK</v>
      </c>
      <c r="Z285">
        <v>280</v>
      </c>
      <c r="AA285">
        <v>282</v>
      </c>
      <c r="AB285" t="s">
        <v>2462</v>
      </c>
      <c r="AC285" t="s">
        <v>281</v>
      </c>
      <c r="AD285" t="s">
        <v>470</v>
      </c>
      <c r="AE285" t="s">
        <v>748</v>
      </c>
      <c r="AG285" t="s">
        <v>897</v>
      </c>
      <c r="AI285" t="s">
        <v>2564</v>
      </c>
      <c r="AJ285" t="s">
        <v>1402</v>
      </c>
      <c r="AK285" t="s">
        <v>2462</v>
      </c>
      <c r="AL285" t="s">
        <v>2463</v>
      </c>
      <c r="AN285" t="str">
        <f t="shared" si="74"/>
        <v>OK</v>
      </c>
      <c r="AO285" t="str">
        <f t="shared" si="75"/>
        <v>OK</v>
      </c>
      <c r="AP285" t="str">
        <f t="shared" si="76"/>
        <v>OK</v>
      </c>
      <c r="AR285" t="str">
        <f t="shared" si="77"/>
        <v>OK</v>
      </c>
      <c r="AS285" t="str">
        <f t="shared" si="78"/>
        <v>OK</v>
      </c>
      <c r="AT285" t="str">
        <f t="shared" si="79"/>
        <v>NOK</v>
      </c>
      <c r="AU285" t="str">
        <f t="shared" si="80"/>
        <v>OK</v>
      </c>
      <c r="AV285" t="str">
        <f t="shared" si="81"/>
        <v>OK</v>
      </c>
      <c r="AW285" t="str">
        <f t="shared" si="82"/>
        <v>OK</v>
      </c>
    </row>
    <row r="286" spans="1:49">
      <c r="A286">
        <f>Dbase_velden_versie4_2!A282</f>
        <v>282</v>
      </c>
      <c r="B286" t="str">
        <f>Dbase_velden_versie4_2!B282</f>
        <v>SD_CASAGRANDE_SPANNING_CV10_TRAP5</v>
      </c>
      <c r="C286" t="str">
        <f>Dbase_velden_versie4_2!C282</f>
        <v>kPa</v>
      </c>
      <c r="D286" t="str">
        <f>Dbase_velden_versie4_2!D282</f>
        <v>spanning bij cv;5</v>
      </c>
      <c r="E286" t="str">
        <f>Dbase_velden_versie4_2!E282</f>
        <v>Double</v>
      </c>
      <c r="F286">
        <f>Dbase_velden_versie4_2!F282</f>
        <v>0</v>
      </c>
      <c r="G286" t="str">
        <f>Dbase_velden_versie4_2!G282</f>
        <v>SD CASAGRANDE SPANNING CV10 TRAP5</v>
      </c>
      <c r="H286" t="str">
        <f>Dbase_velden_versie4_2!H282</f>
        <v>[kPa]</v>
      </c>
      <c r="I286" t="str">
        <f>Dbase_velden_versie4_2!I282</f>
        <v>SD</v>
      </c>
      <c r="J286" t="str">
        <f>Dbase_velden_versie4_2!J282</f>
        <v>Samendrukkingsproef</v>
      </c>
      <c r="K286">
        <v>282</v>
      </c>
      <c r="L286" t="str">
        <v>SD_CASAGRANDE_SPANNING_CV10_TRAP5</v>
      </c>
      <c r="M286" t="str">
        <v>kPa</v>
      </c>
      <c r="N286" t="str">
        <v>spanning bij cv;5</v>
      </c>
      <c r="O286" t="str">
        <v>Double</v>
      </c>
      <c r="P286">
        <v>0</v>
      </c>
      <c r="Q286" t="str">
        <v>SD CASAGRANDE SPANNING CV10 TRAP5</v>
      </c>
      <c r="R286" t="str">
        <v>[kPa]</v>
      </c>
      <c r="S286" t="str">
        <f t="shared" si="73"/>
        <v>OK</v>
      </c>
      <c r="T286" t="str">
        <f t="shared" si="67"/>
        <v>OK</v>
      </c>
      <c r="U286" t="str">
        <f t="shared" si="68"/>
        <v>OK</v>
      </c>
      <c r="V286" t="str">
        <f t="shared" si="69"/>
        <v>OK</v>
      </c>
      <c r="W286" t="str">
        <f t="shared" si="70"/>
        <v>OK</v>
      </c>
      <c r="X286" t="str">
        <f t="shared" si="71"/>
        <v>OK</v>
      </c>
      <c r="Y286" t="str">
        <f t="shared" si="72"/>
        <v>OK</v>
      </c>
      <c r="Z286">
        <v>281</v>
      </c>
      <c r="AA286">
        <v>283</v>
      </c>
      <c r="AB286" t="s">
        <v>2462</v>
      </c>
      <c r="AC286" t="s">
        <v>282</v>
      </c>
      <c r="AD286" t="s">
        <v>470</v>
      </c>
      <c r="AE286" t="s">
        <v>749</v>
      </c>
      <c r="AG286" t="s">
        <v>897</v>
      </c>
      <c r="AI286" t="s">
        <v>2565</v>
      </c>
      <c r="AJ286" t="s">
        <v>1402</v>
      </c>
      <c r="AK286" t="s">
        <v>2462</v>
      </c>
      <c r="AL286" t="s">
        <v>2463</v>
      </c>
      <c r="AN286" t="str">
        <f t="shared" si="74"/>
        <v>OK</v>
      </c>
      <c r="AO286" t="str">
        <f t="shared" si="75"/>
        <v>OK</v>
      </c>
      <c r="AP286" t="str">
        <f t="shared" si="76"/>
        <v>OK</v>
      </c>
      <c r="AR286" t="str">
        <f t="shared" si="77"/>
        <v>OK</v>
      </c>
      <c r="AS286" t="str">
        <f t="shared" si="78"/>
        <v>OK</v>
      </c>
      <c r="AT286" t="str">
        <f t="shared" si="79"/>
        <v>NOK</v>
      </c>
      <c r="AU286" t="str">
        <f t="shared" si="80"/>
        <v>OK</v>
      </c>
      <c r="AV286" t="str">
        <f t="shared" si="81"/>
        <v>OK</v>
      </c>
      <c r="AW286" t="str">
        <f t="shared" si="82"/>
        <v>OK</v>
      </c>
    </row>
    <row r="287" spans="1:49">
      <c r="A287">
        <f>Dbase_velden_versie4_2!A283</f>
        <v>283</v>
      </c>
      <c r="B287" t="str">
        <f>Dbase_velden_versie4_2!B283</f>
        <v>SD_CASAGRANDE_SPANNING_CV10_TRAP6</v>
      </c>
      <c r="C287" t="str">
        <f>Dbase_velden_versie4_2!C283</f>
        <v>kPa</v>
      </c>
      <c r="D287" t="str">
        <f>Dbase_velden_versie4_2!D283</f>
        <v>spanning bij cv;6</v>
      </c>
      <c r="E287" t="str">
        <f>Dbase_velden_versie4_2!E283</f>
        <v>Double</v>
      </c>
      <c r="F287">
        <f>Dbase_velden_versie4_2!F283</f>
        <v>0</v>
      </c>
      <c r="G287" t="str">
        <f>Dbase_velden_versie4_2!G283</f>
        <v>SD CASAGRANDE SPANNING CV10 TRAP6</v>
      </c>
      <c r="H287" t="str">
        <f>Dbase_velden_versie4_2!H283</f>
        <v>[kPa]</v>
      </c>
      <c r="I287" t="str">
        <f>Dbase_velden_versie4_2!I283</f>
        <v>SD</v>
      </c>
      <c r="J287" t="str">
        <f>Dbase_velden_versie4_2!J283</f>
        <v>Samendrukkingsproef</v>
      </c>
      <c r="K287">
        <v>283</v>
      </c>
      <c r="L287" t="str">
        <v>SD_CASAGRANDE_SPANNING_CV10_TRAP6</v>
      </c>
      <c r="M287" t="str">
        <v>kPa</v>
      </c>
      <c r="N287" t="str">
        <v>spanning bij cv;6</v>
      </c>
      <c r="O287" t="str">
        <v>Double</v>
      </c>
      <c r="P287">
        <v>0</v>
      </c>
      <c r="Q287" t="str">
        <v>SD CASAGRANDE SPANNING CV10 TRAP6</v>
      </c>
      <c r="R287" t="str">
        <v>[kPa]</v>
      </c>
      <c r="S287" t="str">
        <f t="shared" si="73"/>
        <v>OK</v>
      </c>
      <c r="T287" t="str">
        <f t="shared" si="67"/>
        <v>OK</v>
      </c>
      <c r="U287" t="str">
        <f t="shared" si="68"/>
        <v>OK</v>
      </c>
      <c r="V287" t="str">
        <f t="shared" si="69"/>
        <v>OK</v>
      </c>
      <c r="W287" t="str">
        <f t="shared" si="70"/>
        <v>OK</v>
      </c>
      <c r="X287" t="str">
        <f t="shared" si="71"/>
        <v>OK</v>
      </c>
      <c r="Y287" t="str">
        <f t="shared" si="72"/>
        <v>OK</v>
      </c>
      <c r="Z287">
        <v>282</v>
      </c>
      <c r="AA287">
        <v>284</v>
      </c>
      <c r="AB287" t="s">
        <v>2462</v>
      </c>
      <c r="AC287" t="s">
        <v>283</v>
      </c>
      <c r="AD287" t="s">
        <v>470</v>
      </c>
      <c r="AE287" t="s">
        <v>750</v>
      </c>
      <c r="AG287" t="s">
        <v>897</v>
      </c>
      <c r="AI287" t="s">
        <v>2566</v>
      </c>
      <c r="AJ287" t="s">
        <v>1402</v>
      </c>
      <c r="AK287" t="s">
        <v>2462</v>
      </c>
      <c r="AL287" t="s">
        <v>2463</v>
      </c>
      <c r="AN287" t="str">
        <f t="shared" si="74"/>
        <v>OK</v>
      </c>
      <c r="AO287" t="str">
        <f t="shared" si="75"/>
        <v>OK</v>
      </c>
      <c r="AP287" t="str">
        <f t="shared" si="76"/>
        <v>OK</v>
      </c>
      <c r="AR287" t="str">
        <f t="shared" si="77"/>
        <v>OK</v>
      </c>
      <c r="AS287" t="str">
        <f t="shared" si="78"/>
        <v>OK</v>
      </c>
      <c r="AT287" t="str">
        <f t="shared" si="79"/>
        <v>NOK</v>
      </c>
      <c r="AU287" t="str">
        <f t="shared" si="80"/>
        <v>OK</v>
      </c>
      <c r="AV287" t="str">
        <f t="shared" si="81"/>
        <v>OK</v>
      </c>
      <c r="AW287" t="str">
        <f t="shared" si="82"/>
        <v>OK</v>
      </c>
    </row>
    <row r="288" spans="1:49">
      <c r="A288">
        <f>Dbase_velden_versie4_2!A284</f>
        <v>284</v>
      </c>
      <c r="B288" t="str">
        <f>Dbase_velden_versie4_2!B284</f>
        <v>SD_CASAGRANDE_SPANNING_CV10_TRAP7</v>
      </c>
      <c r="C288" t="str">
        <f>Dbase_velden_versie4_2!C284</f>
        <v>kPa</v>
      </c>
      <c r="D288" t="str">
        <f>Dbase_velden_versie4_2!D284</f>
        <v>spanning bij cv;7</v>
      </c>
      <c r="E288" t="str">
        <f>Dbase_velden_versie4_2!E284</f>
        <v>Double</v>
      </c>
      <c r="F288">
        <f>Dbase_velden_versie4_2!F284</f>
        <v>0</v>
      </c>
      <c r="G288" t="str">
        <f>Dbase_velden_versie4_2!G284</f>
        <v>SD CASAGRANDE SPANNING CV10 TRAP7</v>
      </c>
      <c r="H288" t="str">
        <f>Dbase_velden_versie4_2!H284</f>
        <v>[kPa]</v>
      </c>
      <c r="I288" t="str">
        <f>Dbase_velden_versie4_2!I284</f>
        <v>SD</v>
      </c>
      <c r="J288" t="str">
        <f>Dbase_velden_versie4_2!J284</f>
        <v>Samendrukkingsproef</v>
      </c>
      <c r="K288">
        <v>284</v>
      </c>
      <c r="L288" t="str">
        <v>SD_CASAGRANDE_SPANNING_CV10_TRAP7</v>
      </c>
      <c r="M288" t="str">
        <v>kPa</v>
      </c>
      <c r="N288" t="str">
        <v>spanning bij cv;7</v>
      </c>
      <c r="O288" t="str">
        <v>Double</v>
      </c>
      <c r="P288">
        <v>0</v>
      </c>
      <c r="Q288" t="str">
        <v>SD CASAGRANDE SPANNING CV10 TRAP7</v>
      </c>
      <c r="R288" t="str">
        <v>[kPa]</v>
      </c>
      <c r="S288" t="str">
        <f t="shared" si="73"/>
        <v>OK</v>
      </c>
      <c r="T288" t="str">
        <f t="shared" si="67"/>
        <v>OK</v>
      </c>
      <c r="U288" t="str">
        <f t="shared" si="68"/>
        <v>OK</v>
      </c>
      <c r="V288" t="str">
        <f t="shared" si="69"/>
        <v>OK</v>
      </c>
      <c r="W288" t="str">
        <f t="shared" si="70"/>
        <v>OK</v>
      </c>
      <c r="X288" t="str">
        <f t="shared" si="71"/>
        <v>OK</v>
      </c>
      <c r="Y288" t="str">
        <f t="shared" si="72"/>
        <v>OK</v>
      </c>
      <c r="Z288">
        <v>283</v>
      </c>
      <c r="AA288">
        <v>285</v>
      </c>
      <c r="AB288" t="s">
        <v>2462</v>
      </c>
      <c r="AC288" t="s">
        <v>284</v>
      </c>
      <c r="AD288" t="s">
        <v>470</v>
      </c>
      <c r="AE288" t="s">
        <v>751</v>
      </c>
      <c r="AG288" t="s">
        <v>897</v>
      </c>
      <c r="AI288" t="s">
        <v>2567</v>
      </c>
      <c r="AJ288" t="s">
        <v>1402</v>
      </c>
      <c r="AK288" t="s">
        <v>2462</v>
      </c>
      <c r="AL288" t="s">
        <v>2463</v>
      </c>
      <c r="AN288" t="str">
        <f t="shared" si="74"/>
        <v>OK</v>
      </c>
      <c r="AO288" t="str">
        <f t="shared" si="75"/>
        <v>OK</v>
      </c>
      <c r="AP288" t="str">
        <f t="shared" si="76"/>
        <v>OK</v>
      </c>
      <c r="AR288" t="str">
        <f t="shared" si="77"/>
        <v>OK</v>
      </c>
      <c r="AS288" t="str">
        <f t="shared" si="78"/>
        <v>OK</v>
      </c>
      <c r="AT288" t="str">
        <f t="shared" si="79"/>
        <v>NOK</v>
      </c>
      <c r="AU288" t="str">
        <f t="shared" si="80"/>
        <v>OK</v>
      </c>
      <c r="AV288" t="str">
        <f t="shared" si="81"/>
        <v>OK</v>
      </c>
      <c r="AW288" t="str">
        <f t="shared" si="82"/>
        <v>OK</v>
      </c>
    </row>
    <row r="289" spans="1:49">
      <c r="A289">
        <f>Dbase_velden_versie4_2!A285</f>
        <v>285</v>
      </c>
      <c r="B289" t="str">
        <f>Dbase_velden_versie4_2!B285</f>
        <v>SD_CASAGRANDE_SPANNING_CV10_TRAP8</v>
      </c>
      <c r="C289" t="str">
        <f>Dbase_velden_versie4_2!C285</f>
        <v>kPa</v>
      </c>
      <c r="D289" t="str">
        <f>Dbase_velden_versie4_2!D285</f>
        <v>spanning bij cv;8</v>
      </c>
      <c r="E289" t="str">
        <f>Dbase_velden_versie4_2!E285</f>
        <v>Double</v>
      </c>
      <c r="F289">
        <f>Dbase_velden_versie4_2!F285</f>
        <v>0</v>
      </c>
      <c r="G289" t="str">
        <f>Dbase_velden_versie4_2!G285</f>
        <v>SD CASAGRANDE SPANNING CV10 TRAP8</v>
      </c>
      <c r="H289" t="str">
        <f>Dbase_velden_versie4_2!H285</f>
        <v>[kPa]</v>
      </c>
      <c r="I289" t="str">
        <f>Dbase_velden_versie4_2!I285</f>
        <v>SD</v>
      </c>
      <c r="J289" t="str">
        <f>Dbase_velden_versie4_2!J285</f>
        <v>Samendrukkingsproef</v>
      </c>
      <c r="K289">
        <v>285</v>
      </c>
      <c r="L289" t="str">
        <v>SD_CASAGRANDE_SPANNING_CV10_TRAP8</v>
      </c>
      <c r="M289" t="str">
        <v>kPa</v>
      </c>
      <c r="N289" t="str">
        <v>spanning bij cv;8</v>
      </c>
      <c r="O289" t="str">
        <v>Double</v>
      </c>
      <c r="P289">
        <v>0</v>
      </c>
      <c r="Q289" t="str">
        <v>SD CASAGRANDE SPANNING CV10 TRAP8</v>
      </c>
      <c r="R289" t="str">
        <v>[kPa]</v>
      </c>
      <c r="S289" t="str">
        <f t="shared" si="73"/>
        <v>OK</v>
      </c>
      <c r="T289" t="str">
        <f t="shared" si="67"/>
        <v>OK</v>
      </c>
      <c r="U289" t="str">
        <f t="shared" si="68"/>
        <v>OK</v>
      </c>
      <c r="V289" t="str">
        <f t="shared" si="69"/>
        <v>OK</v>
      </c>
      <c r="W289" t="str">
        <f t="shared" si="70"/>
        <v>OK</v>
      </c>
      <c r="X289" t="str">
        <f t="shared" si="71"/>
        <v>OK</v>
      </c>
      <c r="Y289" t="str">
        <f t="shared" si="72"/>
        <v>OK</v>
      </c>
      <c r="Z289">
        <v>284</v>
      </c>
      <c r="AA289">
        <v>286</v>
      </c>
      <c r="AB289" t="s">
        <v>2462</v>
      </c>
      <c r="AC289" t="s">
        <v>285</v>
      </c>
      <c r="AD289" t="s">
        <v>470</v>
      </c>
      <c r="AE289" t="s">
        <v>752</v>
      </c>
      <c r="AG289" t="s">
        <v>897</v>
      </c>
      <c r="AI289" t="s">
        <v>2568</v>
      </c>
      <c r="AJ289" t="s">
        <v>1402</v>
      </c>
      <c r="AK289" t="s">
        <v>2462</v>
      </c>
      <c r="AL289" t="s">
        <v>2463</v>
      </c>
      <c r="AN289" t="str">
        <f t="shared" si="74"/>
        <v>OK</v>
      </c>
      <c r="AO289" t="str">
        <f t="shared" si="75"/>
        <v>OK</v>
      </c>
      <c r="AP289" t="str">
        <f t="shared" si="76"/>
        <v>OK</v>
      </c>
      <c r="AR289" t="str">
        <f t="shared" si="77"/>
        <v>OK</v>
      </c>
      <c r="AS289" t="str">
        <f t="shared" si="78"/>
        <v>OK</v>
      </c>
      <c r="AT289" t="str">
        <f t="shared" si="79"/>
        <v>NOK</v>
      </c>
      <c r="AU289" t="str">
        <f t="shared" si="80"/>
        <v>OK</v>
      </c>
      <c r="AV289" t="str">
        <f t="shared" si="81"/>
        <v>OK</v>
      </c>
      <c r="AW289" t="str">
        <f t="shared" si="82"/>
        <v>OK</v>
      </c>
    </row>
    <row r="290" spans="1:49">
      <c r="A290">
        <f>Dbase_velden_versie4_2!A286</f>
        <v>286</v>
      </c>
      <c r="B290" t="str">
        <f>Dbase_velden_versie4_2!B286</f>
        <v>SD_CASAGRANDE_SPANNING_CV10_TRAP9</v>
      </c>
      <c r="C290" t="str">
        <f>Dbase_velden_versie4_2!C286</f>
        <v>kPa</v>
      </c>
      <c r="D290" t="str">
        <f>Dbase_velden_versie4_2!D286</f>
        <v>spanning bij cv;9</v>
      </c>
      <c r="E290" t="str">
        <f>Dbase_velden_versie4_2!E286</f>
        <v>Double</v>
      </c>
      <c r="F290">
        <f>Dbase_velden_versie4_2!F286</f>
        <v>0</v>
      </c>
      <c r="G290" t="str">
        <f>Dbase_velden_versie4_2!G286</f>
        <v>SD CASAGRANDE SPANNING CV10 TRAP9</v>
      </c>
      <c r="H290" t="str">
        <f>Dbase_velden_versie4_2!H286</f>
        <v>[kPa]</v>
      </c>
      <c r="I290" t="str">
        <f>Dbase_velden_versie4_2!I286</f>
        <v>SD</v>
      </c>
      <c r="J290" t="str">
        <f>Dbase_velden_versie4_2!J286</f>
        <v>Samendrukkingsproef</v>
      </c>
      <c r="K290">
        <v>286</v>
      </c>
      <c r="L290" t="str">
        <v>SD_CASAGRANDE_SPANNING_CV10_TRAP9</v>
      </c>
      <c r="M290" t="str">
        <v>kPa</v>
      </c>
      <c r="N290" t="str">
        <v>spanning bij cv;9</v>
      </c>
      <c r="O290" t="str">
        <v>Double</v>
      </c>
      <c r="P290">
        <v>0</v>
      </c>
      <c r="Q290" t="str">
        <v>SD CASAGRANDE SPANNING CV10 TRAP9</v>
      </c>
      <c r="R290" t="str">
        <v>[kPa]</v>
      </c>
      <c r="S290" t="str">
        <f t="shared" si="73"/>
        <v>OK</v>
      </c>
      <c r="T290" t="str">
        <f t="shared" si="67"/>
        <v>OK</v>
      </c>
      <c r="U290" t="str">
        <f t="shared" si="68"/>
        <v>OK</v>
      </c>
      <c r="V290" t="str">
        <f t="shared" si="69"/>
        <v>OK</v>
      </c>
      <c r="W290" t="str">
        <f t="shared" si="70"/>
        <v>OK</v>
      </c>
      <c r="X290" t="str">
        <f t="shared" si="71"/>
        <v>OK</v>
      </c>
      <c r="Y290" t="str">
        <f t="shared" si="72"/>
        <v>OK</v>
      </c>
      <c r="Z290">
        <v>285</v>
      </c>
      <c r="AA290">
        <v>287</v>
      </c>
      <c r="AB290" t="s">
        <v>2462</v>
      </c>
      <c r="AC290" t="s">
        <v>286</v>
      </c>
      <c r="AD290" t="s">
        <v>470</v>
      </c>
      <c r="AE290" t="s">
        <v>753</v>
      </c>
      <c r="AG290" t="s">
        <v>897</v>
      </c>
      <c r="AI290" t="s">
        <v>2569</v>
      </c>
      <c r="AJ290" t="s">
        <v>1402</v>
      </c>
      <c r="AK290" t="s">
        <v>2462</v>
      </c>
      <c r="AL290" t="s">
        <v>2463</v>
      </c>
      <c r="AN290" t="str">
        <f t="shared" si="74"/>
        <v>OK</v>
      </c>
      <c r="AO290" t="str">
        <f t="shared" si="75"/>
        <v>OK</v>
      </c>
      <c r="AP290" t="str">
        <f t="shared" si="76"/>
        <v>OK</v>
      </c>
      <c r="AR290" t="str">
        <f t="shared" si="77"/>
        <v>OK</v>
      </c>
      <c r="AS290" t="str">
        <f t="shared" si="78"/>
        <v>OK</v>
      </c>
      <c r="AT290" t="str">
        <f t="shared" si="79"/>
        <v>NOK</v>
      </c>
      <c r="AU290" t="str">
        <f t="shared" si="80"/>
        <v>OK</v>
      </c>
      <c r="AV290" t="str">
        <f t="shared" si="81"/>
        <v>OK</v>
      </c>
      <c r="AW290" t="str">
        <f t="shared" si="82"/>
        <v>OK</v>
      </c>
    </row>
    <row r="291" spans="1:49">
      <c r="A291">
        <f>Dbase_velden_versie4_2!A287</f>
        <v>287</v>
      </c>
      <c r="B291" t="str">
        <f>Dbase_velden_versie4_2!B287</f>
        <v>SD_TAYLOR_CV10_TRAP2</v>
      </c>
      <c r="C291" t="str">
        <f>Dbase_velden_versie4_2!C287</f>
        <v>m2/s</v>
      </c>
      <c r="D291" t="str">
        <f>Dbase_velden_versie4_2!D287</f>
        <v>Waarde van de bepaling volgens Taylor van de Cv; 10 (m2/s) bij trap 2</v>
      </c>
      <c r="E291" t="str">
        <f>Dbase_velden_versie4_2!E287</f>
        <v>Double</v>
      </c>
      <c r="F291">
        <f>Dbase_velden_versie4_2!F287</f>
        <v>0</v>
      </c>
      <c r="G291" t="str">
        <f>Dbase_velden_versie4_2!G287</f>
        <v>SD TAYLOR CV10 TRAP2</v>
      </c>
      <c r="H291" t="str">
        <f>Dbase_velden_versie4_2!H287</f>
        <v>[m2/s]</v>
      </c>
      <c r="I291" t="str">
        <f>Dbase_velden_versie4_2!I287</f>
        <v>SD</v>
      </c>
      <c r="J291" t="str">
        <f>Dbase_velden_versie4_2!J287</f>
        <v>Samendrukkingsproef</v>
      </c>
      <c r="K291">
        <v>287</v>
      </c>
      <c r="L291" t="str">
        <v>SD_TAYLOR_CV10_TRAP2</v>
      </c>
      <c r="M291" t="str">
        <v>m2/s</v>
      </c>
      <c r="N291" t="str">
        <v>Waarde van de bepaling volgens Taylor van de Cv; 10 (m2/s) bij trap 2</v>
      </c>
      <c r="O291" t="str">
        <v>Double</v>
      </c>
      <c r="P291">
        <v>0</v>
      </c>
      <c r="Q291" t="str">
        <v>SD TAYLOR CV10 TRAP2</v>
      </c>
      <c r="R291" t="str">
        <v>[m2/s]</v>
      </c>
      <c r="S291" t="str">
        <f t="shared" si="73"/>
        <v>OK</v>
      </c>
      <c r="T291" t="str">
        <f t="shared" si="67"/>
        <v>OK</v>
      </c>
      <c r="U291" t="str">
        <f t="shared" si="68"/>
        <v>OK</v>
      </c>
      <c r="V291" t="str">
        <f t="shared" si="69"/>
        <v>OK</v>
      </c>
      <c r="W291" t="str">
        <f t="shared" si="70"/>
        <v>OK</v>
      </c>
      <c r="X291" t="str">
        <f t="shared" si="71"/>
        <v>OK</v>
      </c>
      <c r="Y291" t="str">
        <f t="shared" si="72"/>
        <v>OK</v>
      </c>
      <c r="Z291">
        <v>286</v>
      </c>
      <c r="AA291">
        <v>288</v>
      </c>
      <c r="AB291" t="s">
        <v>2462</v>
      </c>
      <c r="AC291" t="s">
        <v>287</v>
      </c>
      <c r="AD291" t="s">
        <v>478</v>
      </c>
      <c r="AE291" t="s">
        <v>754</v>
      </c>
      <c r="AG291" t="s">
        <v>897</v>
      </c>
      <c r="AI291" t="s">
        <v>2570</v>
      </c>
      <c r="AJ291" t="s">
        <v>1410</v>
      </c>
      <c r="AK291" t="s">
        <v>2462</v>
      </c>
      <c r="AL291" t="s">
        <v>2463</v>
      </c>
      <c r="AN291" t="str">
        <f t="shared" si="74"/>
        <v>OK</v>
      </c>
      <c r="AO291" t="str">
        <f t="shared" si="75"/>
        <v>OK</v>
      </c>
      <c r="AP291" t="str">
        <f t="shared" si="76"/>
        <v>OK</v>
      </c>
      <c r="AR291" t="str">
        <f t="shared" si="77"/>
        <v>OK</v>
      </c>
      <c r="AS291" t="str">
        <f t="shared" si="78"/>
        <v>OK</v>
      </c>
      <c r="AT291" t="str">
        <f t="shared" si="79"/>
        <v>NOK</v>
      </c>
      <c r="AU291" t="str">
        <f t="shared" si="80"/>
        <v>OK</v>
      </c>
      <c r="AV291" t="str">
        <f t="shared" si="81"/>
        <v>OK</v>
      </c>
      <c r="AW291" t="str">
        <f t="shared" si="82"/>
        <v>OK</v>
      </c>
    </row>
    <row r="292" spans="1:49">
      <c r="A292">
        <f>Dbase_velden_versie4_2!A288</f>
        <v>288</v>
      </c>
      <c r="B292" t="str">
        <f>Dbase_velden_versie4_2!B288</f>
        <v>SD_TAYLOR_CV10_TRAP3</v>
      </c>
      <c r="C292" t="str">
        <f>Dbase_velden_versie4_2!C288</f>
        <v>m2/s</v>
      </c>
      <c r="D292" t="str">
        <f>Dbase_velden_versie4_2!D288</f>
        <v>Waarde van de bepaling volgens Taylor van de Cv; 10 (m2/s) bij trap 3</v>
      </c>
      <c r="E292" t="str">
        <f>Dbase_velden_versie4_2!E288</f>
        <v>Double</v>
      </c>
      <c r="F292">
        <f>Dbase_velden_versie4_2!F288</f>
        <v>0</v>
      </c>
      <c r="G292" t="str">
        <f>Dbase_velden_versie4_2!G288</f>
        <v>SD TAYLOR CV10 TRAP3</v>
      </c>
      <c r="H292" t="str">
        <f>Dbase_velden_versie4_2!H288</f>
        <v>[m2/s]</v>
      </c>
      <c r="I292" t="str">
        <f>Dbase_velden_versie4_2!I288</f>
        <v>SD</v>
      </c>
      <c r="J292" t="str">
        <f>Dbase_velden_versie4_2!J288</f>
        <v>Samendrukkingsproef</v>
      </c>
      <c r="K292">
        <v>288</v>
      </c>
      <c r="L292" t="str">
        <v>SD_TAYLOR_CV10_TRAP3</v>
      </c>
      <c r="M292" t="str">
        <v>m2/s</v>
      </c>
      <c r="N292" t="str">
        <v>Waarde van de bepaling volgens Taylor van de Cv; 10 (m2/s) bij trap 3</v>
      </c>
      <c r="O292" t="str">
        <v>Double</v>
      </c>
      <c r="P292">
        <v>0</v>
      </c>
      <c r="Q292" t="str">
        <v>SD TAYLOR CV10 TRAP3</v>
      </c>
      <c r="R292" t="str">
        <v>[m2/s]</v>
      </c>
      <c r="S292" t="str">
        <f t="shared" si="73"/>
        <v>OK</v>
      </c>
      <c r="T292" t="str">
        <f t="shared" si="67"/>
        <v>OK</v>
      </c>
      <c r="U292" t="str">
        <f t="shared" si="68"/>
        <v>OK</v>
      </c>
      <c r="V292" t="str">
        <f t="shared" si="69"/>
        <v>OK</v>
      </c>
      <c r="W292" t="str">
        <f t="shared" si="70"/>
        <v>OK</v>
      </c>
      <c r="X292" t="str">
        <f t="shared" si="71"/>
        <v>OK</v>
      </c>
      <c r="Y292" t="str">
        <f t="shared" si="72"/>
        <v>OK</v>
      </c>
      <c r="Z292">
        <v>287</v>
      </c>
      <c r="AA292">
        <v>289</v>
      </c>
      <c r="AB292" t="s">
        <v>2462</v>
      </c>
      <c r="AC292" t="s">
        <v>288</v>
      </c>
      <c r="AD292" t="s">
        <v>478</v>
      </c>
      <c r="AE292" t="s">
        <v>755</v>
      </c>
      <c r="AG292" t="s">
        <v>897</v>
      </c>
      <c r="AI292" t="s">
        <v>2571</v>
      </c>
      <c r="AJ292" t="s">
        <v>1410</v>
      </c>
      <c r="AK292" t="s">
        <v>2462</v>
      </c>
      <c r="AL292" t="s">
        <v>2463</v>
      </c>
      <c r="AN292" t="str">
        <f t="shared" si="74"/>
        <v>OK</v>
      </c>
      <c r="AO292" t="str">
        <f t="shared" si="75"/>
        <v>OK</v>
      </c>
      <c r="AP292" t="str">
        <f t="shared" si="76"/>
        <v>OK</v>
      </c>
      <c r="AR292" t="str">
        <f t="shared" si="77"/>
        <v>OK</v>
      </c>
      <c r="AS292" t="str">
        <f t="shared" si="78"/>
        <v>OK</v>
      </c>
      <c r="AT292" t="str">
        <f t="shared" si="79"/>
        <v>NOK</v>
      </c>
      <c r="AU292" t="str">
        <f t="shared" si="80"/>
        <v>OK</v>
      </c>
      <c r="AV292" t="str">
        <f t="shared" si="81"/>
        <v>OK</v>
      </c>
      <c r="AW292" t="str">
        <f t="shared" si="82"/>
        <v>OK</v>
      </c>
    </row>
    <row r="293" spans="1:49">
      <c r="A293">
        <f>Dbase_velden_versie4_2!A289</f>
        <v>289</v>
      </c>
      <c r="B293" t="str">
        <f>Dbase_velden_versie4_2!B289</f>
        <v>SD_TAYLOR_CV10_TRAP4</v>
      </c>
      <c r="C293" t="str">
        <f>Dbase_velden_versie4_2!C289</f>
        <v>m2/s</v>
      </c>
      <c r="D293" t="str">
        <f>Dbase_velden_versie4_2!D289</f>
        <v>Waarde van de bepaling volgens Taylor van de Cv; 10 (m2/s) bij trap 4</v>
      </c>
      <c r="E293" t="str">
        <f>Dbase_velden_versie4_2!E289</f>
        <v>Double</v>
      </c>
      <c r="F293">
        <f>Dbase_velden_versie4_2!F289</f>
        <v>0</v>
      </c>
      <c r="G293" t="str">
        <f>Dbase_velden_versie4_2!G289</f>
        <v>SD TAYLOR CV10 TRAP4</v>
      </c>
      <c r="H293" t="str">
        <f>Dbase_velden_versie4_2!H289</f>
        <v>[m2/s]</v>
      </c>
      <c r="I293" t="str">
        <f>Dbase_velden_versie4_2!I289</f>
        <v>SD</v>
      </c>
      <c r="J293" t="str">
        <f>Dbase_velden_versie4_2!J289</f>
        <v>Samendrukkingsproef</v>
      </c>
      <c r="K293">
        <v>289</v>
      </c>
      <c r="L293" t="str">
        <v>SD_TAYLOR_CV10_TRAP4</v>
      </c>
      <c r="M293" t="str">
        <v>m2/s</v>
      </c>
      <c r="N293" t="str">
        <v>Waarde van de bepaling volgens Taylor van de Cv; 10 (m2/s) bij trap 4</v>
      </c>
      <c r="O293" t="str">
        <v>Double</v>
      </c>
      <c r="P293">
        <v>0</v>
      </c>
      <c r="Q293" t="str">
        <v>SD TAYLOR CV10 TRAP4</v>
      </c>
      <c r="R293" t="str">
        <v>[m2/s]</v>
      </c>
      <c r="S293" t="str">
        <f t="shared" si="73"/>
        <v>OK</v>
      </c>
      <c r="T293" t="str">
        <f t="shared" si="67"/>
        <v>OK</v>
      </c>
      <c r="U293" t="str">
        <f t="shared" si="68"/>
        <v>OK</v>
      </c>
      <c r="V293" t="str">
        <f t="shared" si="69"/>
        <v>OK</v>
      </c>
      <c r="W293" t="str">
        <f t="shared" si="70"/>
        <v>OK</v>
      </c>
      <c r="X293" t="str">
        <f t="shared" si="71"/>
        <v>OK</v>
      </c>
      <c r="Y293" t="str">
        <f t="shared" si="72"/>
        <v>OK</v>
      </c>
      <c r="Z293">
        <v>288</v>
      </c>
      <c r="AA293">
        <v>290</v>
      </c>
      <c r="AB293" t="s">
        <v>2462</v>
      </c>
      <c r="AC293" t="s">
        <v>289</v>
      </c>
      <c r="AD293" t="s">
        <v>478</v>
      </c>
      <c r="AE293" t="s">
        <v>756</v>
      </c>
      <c r="AG293" t="s">
        <v>897</v>
      </c>
      <c r="AI293" t="s">
        <v>2572</v>
      </c>
      <c r="AJ293" t="s">
        <v>1410</v>
      </c>
      <c r="AK293" t="s">
        <v>2462</v>
      </c>
      <c r="AL293" t="s">
        <v>2463</v>
      </c>
      <c r="AN293" t="str">
        <f t="shared" si="74"/>
        <v>OK</v>
      </c>
      <c r="AO293" t="str">
        <f t="shared" si="75"/>
        <v>OK</v>
      </c>
      <c r="AP293" t="str">
        <f t="shared" si="76"/>
        <v>OK</v>
      </c>
      <c r="AR293" t="str">
        <f t="shared" si="77"/>
        <v>OK</v>
      </c>
      <c r="AS293" t="str">
        <f t="shared" si="78"/>
        <v>OK</v>
      </c>
      <c r="AT293" t="str">
        <f t="shared" si="79"/>
        <v>NOK</v>
      </c>
      <c r="AU293" t="str">
        <f t="shared" si="80"/>
        <v>OK</v>
      </c>
      <c r="AV293" t="str">
        <f t="shared" si="81"/>
        <v>OK</v>
      </c>
      <c r="AW293" t="str">
        <f t="shared" si="82"/>
        <v>OK</v>
      </c>
    </row>
    <row r="294" spans="1:49">
      <c r="A294">
        <f>Dbase_velden_versie4_2!A290</f>
        <v>290</v>
      </c>
      <c r="B294" t="str">
        <f>Dbase_velden_versie4_2!B290</f>
        <v>SD_TAYLOR_CV10_TRAP5</v>
      </c>
      <c r="C294" t="str">
        <f>Dbase_velden_versie4_2!C290</f>
        <v>m2/s</v>
      </c>
      <c r="D294" t="str">
        <f>Dbase_velden_versie4_2!D290</f>
        <v>Waarde van de bepaling volgens Taylor van de Cv; 10 (m2/s) bij trap 5</v>
      </c>
      <c r="E294" t="str">
        <f>Dbase_velden_versie4_2!E290</f>
        <v>Double</v>
      </c>
      <c r="F294">
        <f>Dbase_velden_versie4_2!F290</f>
        <v>0</v>
      </c>
      <c r="G294" t="str">
        <f>Dbase_velden_versie4_2!G290</f>
        <v>SD TAYLOR CV10 TRAP5</v>
      </c>
      <c r="H294" t="str">
        <f>Dbase_velden_versie4_2!H290</f>
        <v>[m2/s]</v>
      </c>
      <c r="I294" t="str">
        <f>Dbase_velden_versie4_2!I290</f>
        <v>SD</v>
      </c>
      <c r="J294" t="str">
        <f>Dbase_velden_versie4_2!J290</f>
        <v>Samendrukkingsproef</v>
      </c>
      <c r="K294">
        <v>290</v>
      </c>
      <c r="L294" t="str">
        <v>SD_TAYLOR_CV10_TRAP5</v>
      </c>
      <c r="M294" t="str">
        <v>m2/s</v>
      </c>
      <c r="N294" t="str">
        <v>Waarde van de bepaling volgens Taylor van de Cv; 10 (m2/s) bij trap 5</v>
      </c>
      <c r="O294" t="str">
        <v>Double</v>
      </c>
      <c r="P294">
        <v>0</v>
      </c>
      <c r="Q294" t="str">
        <v>SD TAYLOR CV10 TRAP5</v>
      </c>
      <c r="R294" t="str">
        <v>[m2/s]</v>
      </c>
      <c r="S294" t="str">
        <f t="shared" si="73"/>
        <v>OK</v>
      </c>
      <c r="T294" t="str">
        <f t="shared" si="67"/>
        <v>OK</v>
      </c>
      <c r="U294" t="str">
        <f t="shared" si="68"/>
        <v>OK</v>
      </c>
      <c r="V294" t="str">
        <f t="shared" si="69"/>
        <v>OK</v>
      </c>
      <c r="W294" t="str">
        <f t="shared" si="70"/>
        <v>OK</v>
      </c>
      <c r="X294" t="str">
        <f t="shared" si="71"/>
        <v>OK</v>
      </c>
      <c r="Y294" t="str">
        <f t="shared" si="72"/>
        <v>OK</v>
      </c>
      <c r="Z294">
        <v>289</v>
      </c>
      <c r="AA294">
        <v>291</v>
      </c>
      <c r="AB294" t="s">
        <v>2462</v>
      </c>
      <c r="AC294" t="s">
        <v>290</v>
      </c>
      <c r="AD294" t="s">
        <v>478</v>
      </c>
      <c r="AE294" t="s">
        <v>757</v>
      </c>
      <c r="AG294" t="s">
        <v>897</v>
      </c>
      <c r="AI294" t="s">
        <v>2573</v>
      </c>
      <c r="AJ294" t="s">
        <v>1410</v>
      </c>
      <c r="AK294" t="s">
        <v>2462</v>
      </c>
      <c r="AL294" t="s">
        <v>2463</v>
      </c>
      <c r="AN294" t="str">
        <f t="shared" si="74"/>
        <v>OK</v>
      </c>
      <c r="AO294" t="str">
        <f t="shared" si="75"/>
        <v>OK</v>
      </c>
      <c r="AP294" t="str">
        <f t="shared" si="76"/>
        <v>OK</v>
      </c>
      <c r="AR294" t="str">
        <f t="shared" si="77"/>
        <v>OK</v>
      </c>
      <c r="AS294" t="str">
        <f t="shared" si="78"/>
        <v>OK</v>
      </c>
      <c r="AT294" t="str">
        <f t="shared" si="79"/>
        <v>NOK</v>
      </c>
      <c r="AU294" t="str">
        <f t="shared" si="80"/>
        <v>OK</v>
      </c>
      <c r="AV294" t="str">
        <f t="shared" si="81"/>
        <v>OK</v>
      </c>
      <c r="AW294" t="str">
        <f t="shared" si="82"/>
        <v>OK</v>
      </c>
    </row>
    <row r="295" spans="1:49">
      <c r="A295">
        <f>Dbase_velden_versie4_2!A291</f>
        <v>291</v>
      </c>
      <c r="B295" t="str">
        <f>Dbase_velden_versie4_2!B291</f>
        <v>SD_TAYLOR_CV10_TRAP6</v>
      </c>
      <c r="C295" t="str">
        <f>Dbase_velden_versie4_2!C291</f>
        <v>m2/s</v>
      </c>
      <c r="D295" t="str">
        <f>Dbase_velden_versie4_2!D291</f>
        <v>Waarde van de bepaling volgens Taylor van de Cv; 10 (m2/s) bij trap 6</v>
      </c>
      <c r="E295" t="str">
        <f>Dbase_velden_versie4_2!E291</f>
        <v>Double</v>
      </c>
      <c r="F295">
        <f>Dbase_velden_versie4_2!F291</f>
        <v>0</v>
      </c>
      <c r="G295" t="str">
        <f>Dbase_velden_versie4_2!G291</f>
        <v>SD TAYLOR CV10 TRAP6</v>
      </c>
      <c r="H295" t="str">
        <f>Dbase_velden_versie4_2!H291</f>
        <v>[m2/s]</v>
      </c>
      <c r="I295" t="str">
        <f>Dbase_velden_versie4_2!I291</f>
        <v>SD</v>
      </c>
      <c r="J295" t="str">
        <f>Dbase_velden_versie4_2!J291</f>
        <v>Samendrukkingsproef</v>
      </c>
      <c r="K295">
        <v>291</v>
      </c>
      <c r="L295" t="str">
        <v>SD_TAYLOR_CV10_TRAP6</v>
      </c>
      <c r="M295" t="str">
        <v>m2/s</v>
      </c>
      <c r="N295" t="str">
        <v>Waarde van de bepaling volgens Taylor van de Cv; 10 (m2/s) bij trap 6</v>
      </c>
      <c r="O295" t="str">
        <v>Double</v>
      </c>
      <c r="P295">
        <v>0</v>
      </c>
      <c r="Q295" t="str">
        <v>SD TAYLOR CV10 TRAP6</v>
      </c>
      <c r="R295" t="str">
        <v>[m2/s]</v>
      </c>
      <c r="S295" t="str">
        <f t="shared" si="73"/>
        <v>OK</v>
      </c>
      <c r="T295" t="str">
        <f t="shared" si="67"/>
        <v>OK</v>
      </c>
      <c r="U295" t="str">
        <f t="shared" si="68"/>
        <v>OK</v>
      </c>
      <c r="V295" t="str">
        <f t="shared" si="69"/>
        <v>OK</v>
      </c>
      <c r="W295" t="str">
        <f t="shared" si="70"/>
        <v>OK</v>
      </c>
      <c r="X295" t="str">
        <f t="shared" si="71"/>
        <v>OK</v>
      </c>
      <c r="Y295" t="str">
        <f t="shared" si="72"/>
        <v>OK</v>
      </c>
      <c r="Z295">
        <v>290</v>
      </c>
      <c r="AA295">
        <v>292</v>
      </c>
      <c r="AB295" t="s">
        <v>2462</v>
      </c>
      <c r="AC295" t="s">
        <v>291</v>
      </c>
      <c r="AD295" t="s">
        <v>478</v>
      </c>
      <c r="AE295" t="s">
        <v>758</v>
      </c>
      <c r="AG295" t="s">
        <v>897</v>
      </c>
      <c r="AI295" t="s">
        <v>2574</v>
      </c>
      <c r="AJ295" t="s">
        <v>1410</v>
      </c>
      <c r="AK295" t="s">
        <v>2462</v>
      </c>
      <c r="AL295" t="s">
        <v>2463</v>
      </c>
      <c r="AN295" t="str">
        <f t="shared" si="74"/>
        <v>OK</v>
      </c>
      <c r="AO295" t="str">
        <f t="shared" si="75"/>
        <v>OK</v>
      </c>
      <c r="AP295" t="str">
        <f t="shared" si="76"/>
        <v>OK</v>
      </c>
      <c r="AR295" t="str">
        <f t="shared" si="77"/>
        <v>OK</v>
      </c>
      <c r="AS295" t="str">
        <f t="shared" si="78"/>
        <v>OK</v>
      </c>
      <c r="AT295" t="str">
        <f t="shared" si="79"/>
        <v>NOK</v>
      </c>
      <c r="AU295" t="str">
        <f t="shared" si="80"/>
        <v>OK</v>
      </c>
      <c r="AV295" t="str">
        <f t="shared" si="81"/>
        <v>OK</v>
      </c>
      <c r="AW295" t="str">
        <f t="shared" si="82"/>
        <v>OK</v>
      </c>
    </row>
    <row r="296" spans="1:49">
      <c r="A296">
        <f>Dbase_velden_versie4_2!A292</f>
        <v>292</v>
      </c>
      <c r="B296" t="str">
        <f>Dbase_velden_versie4_2!B292</f>
        <v>SD_TAYLOR_CV10_TRAP7</v>
      </c>
      <c r="C296" t="str">
        <f>Dbase_velden_versie4_2!C292</f>
        <v>m2/s</v>
      </c>
      <c r="D296" t="str">
        <f>Dbase_velden_versie4_2!D292</f>
        <v>Waarde van de bepaling volgens Taylor van de Cv; 10 (m2/s) bij trap 7</v>
      </c>
      <c r="E296" t="str">
        <f>Dbase_velden_versie4_2!E292</f>
        <v>Double</v>
      </c>
      <c r="F296">
        <f>Dbase_velden_versie4_2!F292</f>
        <v>0</v>
      </c>
      <c r="G296" t="str">
        <f>Dbase_velden_versie4_2!G292</f>
        <v>SD TAYLOR CV10 TRAP7</v>
      </c>
      <c r="H296" t="str">
        <f>Dbase_velden_versie4_2!H292</f>
        <v>[m2/s]</v>
      </c>
      <c r="I296" t="str">
        <f>Dbase_velden_versie4_2!I292</f>
        <v>SD</v>
      </c>
      <c r="J296" t="str">
        <f>Dbase_velden_versie4_2!J292</f>
        <v>Samendrukkingsproef</v>
      </c>
      <c r="K296">
        <v>292</v>
      </c>
      <c r="L296" t="str">
        <v>SD_TAYLOR_CV10_TRAP7</v>
      </c>
      <c r="M296" t="str">
        <v>m2/s</v>
      </c>
      <c r="N296" t="str">
        <v>Waarde van de bepaling volgens Taylor van de Cv; 10 (m2/s) bij trap 7</v>
      </c>
      <c r="O296" t="str">
        <v>Double</v>
      </c>
      <c r="P296">
        <v>0</v>
      </c>
      <c r="Q296" t="str">
        <v>SD TAYLOR CV10 TRAP7</v>
      </c>
      <c r="R296" t="str">
        <v>[m2/s]</v>
      </c>
      <c r="S296" t="str">
        <f t="shared" si="73"/>
        <v>OK</v>
      </c>
      <c r="T296" t="str">
        <f t="shared" si="67"/>
        <v>OK</v>
      </c>
      <c r="U296" t="str">
        <f t="shared" si="68"/>
        <v>OK</v>
      </c>
      <c r="V296" t="str">
        <f t="shared" si="69"/>
        <v>OK</v>
      </c>
      <c r="W296" t="str">
        <f t="shared" si="70"/>
        <v>OK</v>
      </c>
      <c r="X296" t="str">
        <f t="shared" si="71"/>
        <v>OK</v>
      </c>
      <c r="Y296" t="str">
        <f t="shared" si="72"/>
        <v>OK</v>
      </c>
      <c r="Z296">
        <v>291</v>
      </c>
      <c r="AA296">
        <v>293</v>
      </c>
      <c r="AB296" t="s">
        <v>2462</v>
      </c>
      <c r="AC296" t="s">
        <v>292</v>
      </c>
      <c r="AD296" t="s">
        <v>478</v>
      </c>
      <c r="AE296" t="s">
        <v>759</v>
      </c>
      <c r="AG296" t="s">
        <v>897</v>
      </c>
      <c r="AI296" t="s">
        <v>2575</v>
      </c>
      <c r="AJ296" t="s">
        <v>1410</v>
      </c>
      <c r="AK296" t="s">
        <v>2462</v>
      </c>
      <c r="AL296" t="s">
        <v>2463</v>
      </c>
      <c r="AN296" t="str">
        <f t="shared" si="74"/>
        <v>OK</v>
      </c>
      <c r="AO296" t="str">
        <f t="shared" si="75"/>
        <v>OK</v>
      </c>
      <c r="AP296" t="str">
        <f t="shared" si="76"/>
        <v>OK</v>
      </c>
      <c r="AR296" t="str">
        <f t="shared" si="77"/>
        <v>OK</v>
      </c>
      <c r="AS296" t="str">
        <f t="shared" si="78"/>
        <v>OK</v>
      </c>
      <c r="AT296" t="str">
        <f t="shared" si="79"/>
        <v>NOK</v>
      </c>
      <c r="AU296" t="str">
        <f t="shared" si="80"/>
        <v>OK</v>
      </c>
      <c r="AV296" t="str">
        <f t="shared" si="81"/>
        <v>OK</v>
      </c>
      <c r="AW296" t="str">
        <f t="shared" si="82"/>
        <v>OK</v>
      </c>
    </row>
    <row r="297" spans="1:49">
      <c r="A297">
        <f>Dbase_velden_versie4_2!A293</f>
        <v>293</v>
      </c>
      <c r="B297" t="str">
        <f>Dbase_velden_versie4_2!B293</f>
        <v>SD_TAYLOR_CV10_TRAP8</v>
      </c>
      <c r="C297" t="str">
        <f>Dbase_velden_versie4_2!C293</f>
        <v>m2/s</v>
      </c>
      <c r="D297" t="str">
        <f>Dbase_velden_versie4_2!D293</f>
        <v>Waarde van de bepaling volgens Taylor van de Cv; 10 (m2/s) bij trap 8</v>
      </c>
      <c r="E297" t="str">
        <f>Dbase_velden_versie4_2!E293</f>
        <v>Double</v>
      </c>
      <c r="F297">
        <f>Dbase_velden_versie4_2!F293</f>
        <v>0</v>
      </c>
      <c r="G297" t="str">
        <f>Dbase_velden_versie4_2!G293</f>
        <v>SD TAYLOR CV10 TRAP8</v>
      </c>
      <c r="H297" t="str">
        <f>Dbase_velden_versie4_2!H293</f>
        <v>[m2/s]</v>
      </c>
      <c r="I297" t="str">
        <f>Dbase_velden_versie4_2!I293</f>
        <v>SD</v>
      </c>
      <c r="J297" t="str">
        <f>Dbase_velden_versie4_2!J293</f>
        <v>Samendrukkingsproef</v>
      </c>
      <c r="K297">
        <v>293</v>
      </c>
      <c r="L297" t="str">
        <v>SD_TAYLOR_CV10_TRAP8</v>
      </c>
      <c r="M297" t="str">
        <v>m2/s</v>
      </c>
      <c r="N297" t="str">
        <v>Waarde van de bepaling volgens Taylor van de Cv; 10 (m2/s) bij trap 8</v>
      </c>
      <c r="O297" t="str">
        <v>Double</v>
      </c>
      <c r="P297">
        <v>0</v>
      </c>
      <c r="Q297" t="str">
        <v>SD TAYLOR CV10 TRAP8</v>
      </c>
      <c r="R297" t="str">
        <v>[m2/s]</v>
      </c>
      <c r="S297" t="str">
        <f t="shared" si="73"/>
        <v>OK</v>
      </c>
      <c r="T297" t="str">
        <f t="shared" si="67"/>
        <v>OK</v>
      </c>
      <c r="U297" t="str">
        <f t="shared" si="68"/>
        <v>OK</v>
      </c>
      <c r="V297" t="str">
        <f t="shared" si="69"/>
        <v>OK</v>
      </c>
      <c r="W297" t="str">
        <f t="shared" si="70"/>
        <v>OK</v>
      </c>
      <c r="X297" t="str">
        <f t="shared" si="71"/>
        <v>OK</v>
      </c>
      <c r="Y297" t="str">
        <f t="shared" si="72"/>
        <v>OK</v>
      </c>
      <c r="Z297">
        <v>292</v>
      </c>
      <c r="AA297">
        <v>294</v>
      </c>
      <c r="AB297" t="s">
        <v>2462</v>
      </c>
      <c r="AC297" t="s">
        <v>293</v>
      </c>
      <c r="AD297" t="s">
        <v>478</v>
      </c>
      <c r="AE297" t="s">
        <v>760</v>
      </c>
      <c r="AG297" t="s">
        <v>897</v>
      </c>
      <c r="AI297" t="s">
        <v>2576</v>
      </c>
      <c r="AJ297" t="s">
        <v>1410</v>
      </c>
      <c r="AK297" t="s">
        <v>2462</v>
      </c>
      <c r="AL297" t="s">
        <v>2463</v>
      </c>
      <c r="AN297" t="str">
        <f t="shared" si="74"/>
        <v>OK</v>
      </c>
      <c r="AO297" t="str">
        <f t="shared" si="75"/>
        <v>OK</v>
      </c>
      <c r="AP297" t="str">
        <f t="shared" si="76"/>
        <v>OK</v>
      </c>
      <c r="AR297" t="str">
        <f t="shared" si="77"/>
        <v>OK</v>
      </c>
      <c r="AS297" t="str">
        <f t="shared" si="78"/>
        <v>OK</v>
      </c>
      <c r="AT297" t="str">
        <f t="shared" si="79"/>
        <v>NOK</v>
      </c>
      <c r="AU297" t="str">
        <f t="shared" si="80"/>
        <v>OK</v>
      </c>
      <c r="AV297" t="str">
        <f t="shared" si="81"/>
        <v>OK</v>
      </c>
      <c r="AW297" t="str">
        <f t="shared" si="82"/>
        <v>OK</v>
      </c>
    </row>
    <row r="298" spans="1:49">
      <c r="A298">
        <f>Dbase_velden_versie4_2!A294</f>
        <v>294</v>
      </c>
      <c r="B298" t="str">
        <f>Dbase_velden_versie4_2!B294</f>
        <v>SD_TAYLOR_CV10_TRAP9</v>
      </c>
      <c r="C298" t="str">
        <f>Dbase_velden_versie4_2!C294</f>
        <v>m2/s</v>
      </c>
      <c r="D298" t="str">
        <f>Dbase_velden_versie4_2!D294</f>
        <v>Waarde van de bepaling volgens Taylor van de Cv; 10 (m2/s) bij trap 9</v>
      </c>
      <c r="E298" t="str">
        <f>Dbase_velden_versie4_2!E294</f>
        <v>Double</v>
      </c>
      <c r="F298">
        <f>Dbase_velden_versie4_2!F294</f>
        <v>0</v>
      </c>
      <c r="G298" t="str">
        <f>Dbase_velden_versie4_2!G294</f>
        <v>SD TAYLOR CV10 TRAP9</v>
      </c>
      <c r="H298" t="str">
        <f>Dbase_velden_versie4_2!H294</f>
        <v>[m2/s]</v>
      </c>
      <c r="I298" t="str">
        <f>Dbase_velden_versie4_2!I294</f>
        <v>SD</v>
      </c>
      <c r="J298" t="str">
        <f>Dbase_velden_versie4_2!J294</f>
        <v>Samendrukkingsproef</v>
      </c>
      <c r="K298">
        <v>294</v>
      </c>
      <c r="L298" t="str">
        <v>SD_TAYLOR_CV10_TRAP9</v>
      </c>
      <c r="M298" t="str">
        <v>m2/s</v>
      </c>
      <c r="N298" t="str">
        <v>Waarde van de bepaling volgens Taylor van de Cv; 10 (m2/s) bij trap 9</v>
      </c>
      <c r="O298" t="str">
        <v>Double</v>
      </c>
      <c r="P298">
        <v>0</v>
      </c>
      <c r="Q298" t="str">
        <v>SD TAYLOR CV10 TRAP9</v>
      </c>
      <c r="R298" t="str">
        <v>[m2/s]</v>
      </c>
      <c r="S298" t="str">
        <f t="shared" si="73"/>
        <v>OK</v>
      </c>
      <c r="T298" t="str">
        <f t="shared" si="67"/>
        <v>OK</v>
      </c>
      <c r="U298" t="str">
        <f t="shared" si="68"/>
        <v>OK</v>
      </c>
      <c r="V298" t="str">
        <f t="shared" si="69"/>
        <v>OK</v>
      </c>
      <c r="W298" t="str">
        <f t="shared" si="70"/>
        <v>OK</v>
      </c>
      <c r="X298" t="str">
        <f t="shared" si="71"/>
        <v>OK</v>
      </c>
      <c r="Y298" t="str">
        <f t="shared" si="72"/>
        <v>OK</v>
      </c>
      <c r="Z298">
        <v>293</v>
      </c>
      <c r="AA298">
        <v>295</v>
      </c>
      <c r="AB298" t="s">
        <v>2462</v>
      </c>
      <c r="AC298" t="s">
        <v>294</v>
      </c>
      <c r="AD298" t="s">
        <v>478</v>
      </c>
      <c r="AE298" t="s">
        <v>761</v>
      </c>
      <c r="AG298" t="s">
        <v>897</v>
      </c>
      <c r="AI298" t="s">
        <v>2577</v>
      </c>
      <c r="AJ298" t="s">
        <v>1410</v>
      </c>
      <c r="AK298" t="s">
        <v>2462</v>
      </c>
      <c r="AL298" t="s">
        <v>2463</v>
      </c>
      <c r="AN298" t="str">
        <f t="shared" si="74"/>
        <v>OK</v>
      </c>
      <c r="AO298" t="str">
        <f t="shared" si="75"/>
        <v>OK</v>
      </c>
      <c r="AP298" t="str">
        <f t="shared" si="76"/>
        <v>OK</v>
      </c>
      <c r="AR298" t="str">
        <f t="shared" si="77"/>
        <v>OK</v>
      </c>
      <c r="AS298" t="str">
        <f t="shared" si="78"/>
        <v>OK</v>
      </c>
      <c r="AT298" t="str">
        <f t="shared" si="79"/>
        <v>NOK</v>
      </c>
      <c r="AU298" t="str">
        <f t="shared" si="80"/>
        <v>OK</v>
      </c>
      <c r="AV298" t="str">
        <f t="shared" si="81"/>
        <v>OK</v>
      </c>
      <c r="AW298" t="str">
        <f t="shared" si="82"/>
        <v>OK</v>
      </c>
    </row>
    <row r="299" spans="1:49">
      <c r="A299">
        <f>Dbase_velden_versie4_2!A295</f>
        <v>295</v>
      </c>
      <c r="B299" t="str">
        <f>Dbase_velden_versie4_2!B295</f>
        <v>SD_TAYLOR_K10_TRAP2</v>
      </c>
      <c r="C299" t="str">
        <f>Dbase_velden_versie4_2!C295</f>
        <v>m/s</v>
      </c>
      <c r="D299" t="str">
        <f>Dbase_velden_versie4_2!D295</f>
        <v>Waarde van de bepaling volgens Taylor van de k10 (m/s) bij trap 2</v>
      </c>
      <c r="E299" t="str">
        <f>Dbase_velden_versie4_2!E295</f>
        <v>Double</v>
      </c>
      <c r="F299">
        <f>Dbase_velden_versie4_2!F295</f>
        <v>0</v>
      </c>
      <c r="G299" t="str">
        <f>Dbase_velden_versie4_2!G295</f>
        <v>SD TAYLOR K10 TRAP2</v>
      </c>
      <c r="H299" t="str">
        <f>Dbase_velden_versie4_2!H295</f>
        <v>[m/s]</v>
      </c>
      <c r="I299" t="str">
        <f>Dbase_velden_versie4_2!I295</f>
        <v>SD</v>
      </c>
      <c r="J299" t="str">
        <f>Dbase_velden_versie4_2!J295</f>
        <v>Samendrukkingsproef</v>
      </c>
      <c r="K299">
        <v>295</v>
      </c>
      <c r="L299" t="str">
        <v>SD_TAYLOR_K10_TRAP2</v>
      </c>
      <c r="M299" t="str">
        <v>m/s</v>
      </c>
      <c r="N299" t="str">
        <v>Waarde van de bepaling volgens Taylor van de k10 (m/s) bij trap 2</v>
      </c>
      <c r="O299" t="str">
        <v>Double</v>
      </c>
      <c r="P299">
        <v>0</v>
      </c>
      <c r="Q299" t="str">
        <v>SD TAYLOR K10 TRAP2</v>
      </c>
      <c r="R299" t="str">
        <v>[m/s]</v>
      </c>
      <c r="S299" t="str">
        <f t="shared" si="73"/>
        <v>OK</v>
      </c>
      <c r="T299" t="str">
        <f t="shared" si="67"/>
        <v>OK</v>
      </c>
      <c r="U299" t="str">
        <f t="shared" si="68"/>
        <v>OK</v>
      </c>
      <c r="V299" t="str">
        <f t="shared" si="69"/>
        <v>OK</v>
      </c>
      <c r="W299" t="str">
        <f t="shared" si="70"/>
        <v>OK</v>
      </c>
      <c r="X299" t="str">
        <f t="shared" si="71"/>
        <v>OK</v>
      </c>
      <c r="Y299" t="str">
        <f t="shared" si="72"/>
        <v>OK</v>
      </c>
      <c r="Z299">
        <v>294</v>
      </c>
      <c r="AA299">
        <v>296</v>
      </c>
      <c r="AB299" t="s">
        <v>2462</v>
      </c>
      <c r="AC299" t="s">
        <v>295</v>
      </c>
      <c r="AD299" t="s">
        <v>471</v>
      </c>
      <c r="AE299" t="s">
        <v>762</v>
      </c>
      <c r="AG299" t="s">
        <v>897</v>
      </c>
      <c r="AI299" t="s">
        <v>2578</v>
      </c>
      <c r="AJ299" t="s">
        <v>1403</v>
      </c>
      <c r="AK299" t="s">
        <v>2462</v>
      </c>
      <c r="AL299" t="s">
        <v>2463</v>
      </c>
      <c r="AN299" t="str">
        <f t="shared" si="74"/>
        <v>OK</v>
      </c>
      <c r="AO299" t="str">
        <f t="shared" si="75"/>
        <v>OK</v>
      </c>
      <c r="AP299" t="str">
        <f t="shared" si="76"/>
        <v>OK</v>
      </c>
      <c r="AR299" t="str">
        <f t="shared" si="77"/>
        <v>OK</v>
      </c>
      <c r="AS299" t="str">
        <f t="shared" si="78"/>
        <v>OK</v>
      </c>
      <c r="AT299" t="str">
        <f t="shared" si="79"/>
        <v>NOK</v>
      </c>
      <c r="AU299" t="str">
        <f t="shared" si="80"/>
        <v>OK</v>
      </c>
      <c r="AV299" t="str">
        <f t="shared" si="81"/>
        <v>OK</v>
      </c>
      <c r="AW299" t="str">
        <f t="shared" si="82"/>
        <v>OK</v>
      </c>
    </row>
    <row r="300" spans="1:49">
      <c r="A300">
        <f>Dbase_velden_versie4_2!A296</f>
        <v>296</v>
      </c>
      <c r="B300" t="str">
        <f>Dbase_velden_versie4_2!B296</f>
        <v>SD_TAYLOR_K10_TRAP3</v>
      </c>
      <c r="C300" t="str">
        <f>Dbase_velden_versie4_2!C296</f>
        <v>m/s</v>
      </c>
      <c r="D300" t="str">
        <f>Dbase_velden_versie4_2!D296</f>
        <v>Waarde van de bepaling volgens Taylor van de k10 (m/s) bij trap 3</v>
      </c>
      <c r="E300" t="str">
        <f>Dbase_velden_versie4_2!E296</f>
        <v>Double</v>
      </c>
      <c r="F300">
        <f>Dbase_velden_versie4_2!F296</f>
        <v>0</v>
      </c>
      <c r="G300" t="str">
        <f>Dbase_velden_versie4_2!G296</f>
        <v>SD TAYLOR K10 TRAP3</v>
      </c>
      <c r="H300" t="str">
        <f>Dbase_velden_versie4_2!H296</f>
        <v>[m/s]</v>
      </c>
      <c r="I300" t="str">
        <f>Dbase_velden_versie4_2!I296</f>
        <v>SD</v>
      </c>
      <c r="J300" t="str">
        <f>Dbase_velden_versie4_2!J296</f>
        <v>Samendrukkingsproef</v>
      </c>
      <c r="K300">
        <v>296</v>
      </c>
      <c r="L300" t="str">
        <v>SD_TAYLOR_K10_TRAP3</v>
      </c>
      <c r="M300" t="str">
        <v>m/s</v>
      </c>
      <c r="N300" t="str">
        <v>Waarde van de bepaling volgens Taylor van de k10 (m/s) bij trap 3</v>
      </c>
      <c r="O300" t="str">
        <v>Double</v>
      </c>
      <c r="P300">
        <v>0</v>
      </c>
      <c r="Q300" t="str">
        <v>SD TAYLOR K10 TRAP3</v>
      </c>
      <c r="R300" t="str">
        <v>[m/s]</v>
      </c>
      <c r="S300" t="str">
        <f t="shared" si="73"/>
        <v>OK</v>
      </c>
      <c r="T300" t="str">
        <f t="shared" si="67"/>
        <v>OK</v>
      </c>
      <c r="U300" t="str">
        <f t="shared" si="68"/>
        <v>OK</v>
      </c>
      <c r="V300" t="str">
        <f t="shared" si="69"/>
        <v>OK</v>
      </c>
      <c r="W300" t="str">
        <f t="shared" si="70"/>
        <v>OK</v>
      </c>
      <c r="X300" t="str">
        <f t="shared" si="71"/>
        <v>OK</v>
      </c>
      <c r="Y300" t="str">
        <f t="shared" si="72"/>
        <v>OK</v>
      </c>
      <c r="Z300">
        <v>295</v>
      </c>
      <c r="AA300">
        <v>297</v>
      </c>
      <c r="AB300" t="s">
        <v>2462</v>
      </c>
      <c r="AC300" t="s">
        <v>296</v>
      </c>
      <c r="AD300" t="s">
        <v>471</v>
      </c>
      <c r="AE300" t="s">
        <v>763</v>
      </c>
      <c r="AG300" t="s">
        <v>897</v>
      </c>
      <c r="AI300" t="s">
        <v>2579</v>
      </c>
      <c r="AJ300" t="s">
        <v>1403</v>
      </c>
      <c r="AK300" t="s">
        <v>2462</v>
      </c>
      <c r="AL300" t="s">
        <v>2463</v>
      </c>
      <c r="AN300" t="str">
        <f t="shared" si="74"/>
        <v>OK</v>
      </c>
      <c r="AO300" t="str">
        <f t="shared" si="75"/>
        <v>OK</v>
      </c>
      <c r="AP300" t="str">
        <f t="shared" si="76"/>
        <v>OK</v>
      </c>
      <c r="AR300" t="str">
        <f t="shared" si="77"/>
        <v>OK</v>
      </c>
      <c r="AS300" t="str">
        <f t="shared" si="78"/>
        <v>OK</v>
      </c>
      <c r="AT300" t="str">
        <f t="shared" si="79"/>
        <v>NOK</v>
      </c>
      <c r="AU300" t="str">
        <f t="shared" si="80"/>
        <v>OK</v>
      </c>
      <c r="AV300" t="str">
        <f t="shared" si="81"/>
        <v>OK</v>
      </c>
      <c r="AW300" t="str">
        <f t="shared" si="82"/>
        <v>OK</v>
      </c>
    </row>
    <row r="301" spans="1:49">
      <c r="A301">
        <f>Dbase_velden_versie4_2!A297</f>
        <v>297</v>
      </c>
      <c r="B301" t="str">
        <f>Dbase_velden_versie4_2!B297</f>
        <v>SD_TAYLOR_K10_TRAP4</v>
      </c>
      <c r="C301" t="str">
        <f>Dbase_velden_versie4_2!C297</f>
        <v>m/s</v>
      </c>
      <c r="D301" t="str">
        <f>Dbase_velden_versie4_2!D297</f>
        <v>Waarde van de bepaling volgens Taylor van de k10 (m/s) bij trap 4</v>
      </c>
      <c r="E301" t="str">
        <f>Dbase_velden_versie4_2!E297</f>
        <v>Double</v>
      </c>
      <c r="F301">
        <f>Dbase_velden_versie4_2!F297</f>
        <v>0</v>
      </c>
      <c r="G301" t="str">
        <f>Dbase_velden_versie4_2!G297</f>
        <v>SD TAYLOR K10 TRAP4</v>
      </c>
      <c r="H301" t="str">
        <f>Dbase_velden_versie4_2!H297</f>
        <v>[m/s]</v>
      </c>
      <c r="I301" t="str">
        <f>Dbase_velden_versie4_2!I297</f>
        <v>SD</v>
      </c>
      <c r="J301" t="str">
        <f>Dbase_velden_versie4_2!J297</f>
        <v>Samendrukkingsproef</v>
      </c>
      <c r="K301">
        <v>297</v>
      </c>
      <c r="L301" t="str">
        <v>SD_TAYLOR_K10_TRAP4</v>
      </c>
      <c r="M301" t="str">
        <v>m/s</v>
      </c>
      <c r="N301" t="str">
        <v>Waarde van de bepaling volgens Taylor van de k10 (m/s) bij trap 4</v>
      </c>
      <c r="O301" t="str">
        <v>Double</v>
      </c>
      <c r="P301">
        <v>0</v>
      </c>
      <c r="Q301" t="str">
        <v>SD TAYLOR K10 TRAP4</v>
      </c>
      <c r="R301" t="str">
        <v>[m/s]</v>
      </c>
      <c r="S301" t="str">
        <f t="shared" si="73"/>
        <v>OK</v>
      </c>
      <c r="T301" t="str">
        <f t="shared" si="67"/>
        <v>OK</v>
      </c>
      <c r="U301" t="str">
        <f t="shared" si="68"/>
        <v>OK</v>
      </c>
      <c r="V301" t="str">
        <f t="shared" si="69"/>
        <v>OK</v>
      </c>
      <c r="W301" t="str">
        <f t="shared" si="70"/>
        <v>OK</v>
      </c>
      <c r="X301" t="str">
        <f t="shared" si="71"/>
        <v>OK</v>
      </c>
      <c r="Y301" t="str">
        <f t="shared" si="72"/>
        <v>OK</v>
      </c>
      <c r="Z301">
        <v>296</v>
      </c>
      <c r="AA301">
        <v>298</v>
      </c>
      <c r="AB301" t="s">
        <v>2462</v>
      </c>
      <c r="AC301" t="s">
        <v>297</v>
      </c>
      <c r="AD301" t="s">
        <v>471</v>
      </c>
      <c r="AE301" t="s">
        <v>764</v>
      </c>
      <c r="AG301" t="s">
        <v>897</v>
      </c>
      <c r="AI301" t="s">
        <v>2580</v>
      </c>
      <c r="AJ301" t="s">
        <v>1403</v>
      </c>
      <c r="AK301" t="s">
        <v>2462</v>
      </c>
      <c r="AL301" t="s">
        <v>2463</v>
      </c>
      <c r="AN301" t="str">
        <f t="shared" si="74"/>
        <v>OK</v>
      </c>
      <c r="AO301" t="str">
        <f t="shared" si="75"/>
        <v>OK</v>
      </c>
      <c r="AP301" t="str">
        <f t="shared" si="76"/>
        <v>OK</v>
      </c>
      <c r="AR301" t="str">
        <f t="shared" si="77"/>
        <v>OK</v>
      </c>
      <c r="AS301" t="str">
        <f t="shared" si="78"/>
        <v>OK</v>
      </c>
      <c r="AT301" t="str">
        <f t="shared" si="79"/>
        <v>NOK</v>
      </c>
      <c r="AU301" t="str">
        <f t="shared" si="80"/>
        <v>OK</v>
      </c>
      <c r="AV301" t="str">
        <f t="shared" si="81"/>
        <v>OK</v>
      </c>
      <c r="AW301" t="str">
        <f t="shared" si="82"/>
        <v>OK</v>
      </c>
    </row>
    <row r="302" spans="1:49">
      <c r="A302">
        <f>Dbase_velden_versie4_2!A298</f>
        <v>298</v>
      </c>
      <c r="B302" t="str">
        <f>Dbase_velden_versie4_2!B298</f>
        <v>SD_TAYLOR_K10_TRAP5</v>
      </c>
      <c r="C302" t="str">
        <f>Dbase_velden_versie4_2!C298</f>
        <v>m/s</v>
      </c>
      <c r="D302" t="str">
        <f>Dbase_velden_versie4_2!D298</f>
        <v>Waarde van de bepaling volgens Taylor van de k10 (m/s) bij trap 5</v>
      </c>
      <c r="E302" t="str">
        <f>Dbase_velden_versie4_2!E298</f>
        <v>Double</v>
      </c>
      <c r="F302">
        <f>Dbase_velden_versie4_2!F298</f>
        <v>0</v>
      </c>
      <c r="G302" t="str">
        <f>Dbase_velden_versie4_2!G298</f>
        <v>SD TAYLOR K10 TRAP5</v>
      </c>
      <c r="H302" t="str">
        <f>Dbase_velden_versie4_2!H298</f>
        <v>[m/s]</v>
      </c>
      <c r="I302" t="str">
        <f>Dbase_velden_versie4_2!I298</f>
        <v>SD</v>
      </c>
      <c r="J302" t="str">
        <f>Dbase_velden_versie4_2!J298</f>
        <v>Samendrukkingsproef</v>
      </c>
      <c r="K302">
        <v>298</v>
      </c>
      <c r="L302" t="str">
        <v>SD_TAYLOR_K10_TRAP5</v>
      </c>
      <c r="M302" t="str">
        <v>m/s</v>
      </c>
      <c r="N302" t="str">
        <v>Waarde van de bepaling volgens Taylor van de k10 (m/s) bij trap 5</v>
      </c>
      <c r="O302" t="str">
        <v>Double</v>
      </c>
      <c r="P302">
        <v>0</v>
      </c>
      <c r="Q302" t="str">
        <v>SD TAYLOR K10 TRAP5</v>
      </c>
      <c r="R302" t="str">
        <v>[m/s]</v>
      </c>
      <c r="S302" t="str">
        <f t="shared" si="73"/>
        <v>OK</v>
      </c>
      <c r="T302" t="str">
        <f t="shared" si="67"/>
        <v>OK</v>
      </c>
      <c r="U302" t="str">
        <f t="shared" si="68"/>
        <v>OK</v>
      </c>
      <c r="V302" t="str">
        <f t="shared" si="69"/>
        <v>OK</v>
      </c>
      <c r="W302" t="str">
        <f t="shared" si="70"/>
        <v>OK</v>
      </c>
      <c r="X302" t="str">
        <f t="shared" si="71"/>
        <v>OK</v>
      </c>
      <c r="Y302" t="str">
        <f t="shared" si="72"/>
        <v>OK</v>
      </c>
      <c r="Z302">
        <v>297</v>
      </c>
      <c r="AA302">
        <v>299</v>
      </c>
      <c r="AB302" t="s">
        <v>2462</v>
      </c>
      <c r="AC302" t="s">
        <v>298</v>
      </c>
      <c r="AD302" t="s">
        <v>471</v>
      </c>
      <c r="AE302" t="s">
        <v>765</v>
      </c>
      <c r="AG302" t="s">
        <v>897</v>
      </c>
      <c r="AI302" t="s">
        <v>2581</v>
      </c>
      <c r="AJ302" t="s">
        <v>1403</v>
      </c>
      <c r="AK302" t="s">
        <v>2462</v>
      </c>
      <c r="AL302" t="s">
        <v>2463</v>
      </c>
      <c r="AN302" t="str">
        <f t="shared" si="74"/>
        <v>OK</v>
      </c>
      <c r="AO302" t="str">
        <f t="shared" si="75"/>
        <v>OK</v>
      </c>
      <c r="AP302" t="str">
        <f t="shared" si="76"/>
        <v>OK</v>
      </c>
      <c r="AR302" t="str">
        <f t="shared" si="77"/>
        <v>OK</v>
      </c>
      <c r="AS302" t="str">
        <f t="shared" si="78"/>
        <v>OK</v>
      </c>
      <c r="AT302" t="str">
        <f t="shared" si="79"/>
        <v>NOK</v>
      </c>
      <c r="AU302" t="str">
        <f t="shared" si="80"/>
        <v>OK</v>
      </c>
      <c r="AV302" t="str">
        <f t="shared" si="81"/>
        <v>OK</v>
      </c>
      <c r="AW302" t="str">
        <f t="shared" si="82"/>
        <v>OK</v>
      </c>
    </row>
    <row r="303" spans="1:49">
      <c r="A303">
        <f>Dbase_velden_versie4_2!A299</f>
        <v>299</v>
      </c>
      <c r="B303" t="str">
        <f>Dbase_velden_versie4_2!B299</f>
        <v>SD_TAYLOR_K10_TRAP6</v>
      </c>
      <c r="C303" t="str">
        <f>Dbase_velden_versie4_2!C299</f>
        <v>m/s</v>
      </c>
      <c r="D303" t="str">
        <f>Dbase_velden_versie4_2!D299</f>
        <v>Waarde van de bepaling volgens Taylor van de k10 (m/s) bij trap 6</v>
      </c>
      <c r="E303" t="str">
        <f>Dbase_velden_versie4_2!E299</f>
        <v>Double</v>
      </c>
      <c r="F303">
        <f>Dbase_velden_versie4_2!F299</f>
        <v>0</v>
      </c>
      <c r="G303" t="str">
        <f>Dbase_velden_versie4_2!G299</f>
        <v>SD TAYLOR K10 TRAP6</v>
      </c>
      <c r="H303" t="str">
        <f>Dbase_velden_versie4_2!H299</f>
        <v>[m/s]</v>
      </c>
      <c r="I303" t="str">
        <f>Dbase_velden_versie4_2!I299</f>
        <v>SD</v>
      </c>
      <c r="J303" t="str">
        <f>Dbase_velden_versie4_2!J299</f>
        <v>Samendrukkingsproef</v>
      </c>
      <c r="K303">
        <v>299</v>
      </c>
      <c r="L303" t="str">
        <v>SD_TAYLOR_K10_TRAP6</v>
      </c>
      <c r="M303" t="str">
        <v>m/s</v>
      </c>
      <c r="N303" t="str">
        <v>Waarde van de bepaling volgens Taylor van de k10 (m/s) bij trap 6</v>
      </c>
      <c r="O303" t="str">
        <v>Double</v>
      </c>
      <c r="P303">
        <v>0</v>
      </c>
      <c r="Q303" t="str">
        <v>SD TAYLOR K10 TRAP6</v>
      </c>
      <c r="R303" t="str">
        <v>[m/s]</v>
      </c>
      <c r="S303" t="str">
        <f t="shared" si="73"/>
        <v>OK</v>
      </c>
      <c r="T303" t="str">
        <f t="shared" si="67"/>
        <v>OK</v>
      </c>
      <c r="U303" t="str">
        <f t="shared" si="68"/>
        <v>OK</v>
      </c>
      <c r="V303" t="str">
        <f t="shared" si="69"/>
        <v>OK</v>
      </c>
      <c r="W303" t="str">
        <f t="shared" si="70"/>
        <v>OK</v>
      </c>
      <c r="X303" t="str">
        <f t="shared" si="71"/>
        <v>OK</v>
      </c>
      <c r="Y303" t="str">
        <f t="shared" si="72"/>
        <v>OK</v>
      </c>
      <c r="Z303">
        <v>298</v>
      </c>
      <c r="AA303">
        <v>300</v>
      </c>
      <c r="AB303" t="s">
        <v>2462</v>
      </c>
      <c r="AC303" t="s">
        <v>299</v>
      </c>
      <c r="AD303" t="s">
        <v>471</v>
      </c>
      <c r="AE303" t="s">
        <v>766</v>
      </c>
      <c r="AG303" t="s">
        <v>897</v>
      </c>
      <c r="AI303" t="s">
        <v>2582</v>
      </c>
      <c r="AJ303" t="s">
        <v>1403</v>
      </c>
      <c r="AK303" t="s">
        <v>2462</v>
      </c>
      <c r="AL303" t="s">
        <v>2463</v>
      </c>
      <c r="AN303" t="str">
        <f t="shared" si="74"/>
        <v>OK</v>
      </c>
      <c r="AO303" t="str">
        <f t="shared" si="75"/>
        <v>OK</v>
      </c>
      <c r="AP303" t="str">
        <f t="shared" si="76"/>
        <v>OK</v>
      </c>
      <c r="AR303" t="str">
        <f t="shared" si="77"/>
        <v>OK</v>
      </c>
      <c r="AS303" t="str">
        <f t="shared" si="78"/>
        <v>OK</v>
      </c>
      <c r="AT303" t="str">
        <f t="shared" si="79"/>
        <v>NOK</v>
      </c>
      <c r="AU303" t="str">
        <f t="shared" si="80"/>
        <v>OK</v>
      </c>
      <c r="AV303" t="str">
        <f t="shared" si="81"/>
        <v>OK</v>
      </c>
      <c r="AW303" t="str">
        <f t="shared" si="82"/>
        <v>OK</v>
      </c>
    </row>
    <row r="304" spans="1:49">
      <c r="A304">
        <f>Dbase_velden_versie4_2!A300</f>
        <v>300</v>
      </c>
      <c r="B304" t="str">
        <f>Dbase_velden_versie4_2!B300</f>
        <v>SD_TAYLOR_K10_TRAP7</v>
      </c>
      <c r="C304" t="str">
        <f>Dbase_velden_versie4_2!C300</f>
        <v>m/s</v>
      </c>
      <c r="D304" t="str">
        <f>Dbase_velden_versie4_2!D300</f>
        <v>Waarde van de bepaling volgens Taylor van de k10 (m/s) bij trap 7</v>
      </c>
      <c r="E304" t="str">
        <f>Dbase_velden_versie4_2!E300</f>
        <v>Double</v>
      </c>
      <c r="F304">
        <f>Dbase_velden_versie4_2!F300</f>
        <v>0</v>
      </c>
      <c r="G304" t="str">
        <f>Dbase_velden_versie4_2!G300</f>
        <v>SD TAYLOR K10 TRAP7</v>
      </c>
      <c r="H304" t="str">
        <f>Dbase_velden_versie4_2!H300</f>
        <v>[m/s]</v>
      </c>
      <c r="I304" t="str">
        <f>Dbase_velden_versie4_2!I300</f>
        <v>SD</v>
      </c>
      <c r="J304" t="str">
        <f>Dbase_velden_versie4_2!J300</f>
        <v>Samendrukkingsproef</v>
      </c>
      <c r="K304">
        <v>300</v>
      </c>
      <c r="L304" t="str">
        <v>SD_TAYLOR_K10_TRAP7</v>
      </c>
      <c r="M304" t="str">
        <v>m/s</v>
      </c>
      <c r="N304" t="str">
        <v>Waarde van de bepaling volgens Taylor van de k10 (m/s) bij trap 7</v>
      </c>
      <c r="O304" t="str">
        <v>Double</v>
      </c>
      <c r="P304">
        <v>0</v>
      </c>
      <c r="Q304" t="str">
        <v>SD TAYLOR K10 TRAP7</v>
      </c>
      <c r="R304" t="str">
        <v>[m/s]</v>
      </c>
      <c r="S304" t="str">
        <f t="shared" si="73"/>
        <v>OK</v>
      </c>
      <c r="T304" t="str">
        <f t="shared" si="67"/>
        <v>OK</v>
      </c>
      <c r="U304" t="str">
        <f t="shared" si="68"/>
        <v>OK</v>
      </c>
      <c r="V304" t="str">
        <f t="shared" si="69"/>
        <v>OK</v>
      </c>
      <c r="W304" t="str">
        <f t="shared" si="70"/>
        <v>OK</v>
      </c>
      <c r="X304" t="str">
        <f t="shared" si="71"/>
        <v>OK</v>
      </c>
      <c r="Y304" t="str">
        <f t="shared" si="72"/>
        <v>OK</v>
      </c>
      <c r="Z304">
        <v>299</v>
      </c>
      <c r="AA304">
        <v>301</v>
      </c>
      <c r="AB304" t="s">
        <v>2462</v>
      </c>
      <c r="AC304" t="s">
        <v>300</v>
      </c>
      <c r="AD304" t="s">
        <v>471</v>
      </c>
      <c r="AE304" t="s">
        <v>767</v>
      </c>
      <c r="AG304" t="s">
        <v>897</v>
      </c>
      <c r="AI304" t="s">
        <v>2583</v>
      </c>
      <c r="AJ304" t="s">
        <v>1403</v>
      </c>
      <c r="AK304" t="s">
        <v>2462</v>
      </c>
      <c r="AL304" t="s">
        <v>2463</v>
      </c>
      <c r="AN304" t="str">
        <f t="shared" si="74"/>
        <v>OK</v>
      </c>
      <c r="AO304" t="str">
        <f t="shared" si="75"/>
        <v>OK</v>
      </c>
      <c r="AP304" t="str">
        <f t="shared" si="76"/>
        <v>OK</v>
      </c>
      <c r="AR304" t="str">
        <f t="shared" si="77"/>
        <v>OK</v>
      </c>
      <c r="AS304" t="str">
        <f t="shared" si="78"/>
        <v>OK</v>
      </c>
      <c r="AT304" t="str">
        <f t="shared" si="79"/>
        <v>NOK</v>
      </c>
      <c r="AU304" t="str">
        <f t="shared" si="80"/>
        <v>OK</v>
      </c>
      <c r="AV304" t="str">
        <f t="shared" si="81"/>
        <v>OK</v>
      </c>
      <c r="AW304" t="str">
        <f t="shared" si="82"/>
        <v>OK</v>
      </c>
    </row>
    <row r="305" spans="1:49">
      <c r="A305">
        <f>Dbase_velden_versie4_2!A301</f>
        <v>301</v>
      </c>
      <c r="B305" t="str">
        <f>Dbase_velden_versie4_2!B301</f>
        <v>SD_TAYLOR_K10_TRAP8</v>
      </c>
      <c r="C305" t="str">
        <f>Dbase_velden_versie4_2!C301</f>
        <v>m/s</v>
      </c>
      <c r="D305" t="str">
        <f>Dbase_velden_versie4_2!D301</f>
        <v>Waarde van de bepaling volgens Taylor van de k10 (m/s) bij trap 8</v>
      </c>
      <c r="E305" t="str">
        <f>Dbase_velden_versie4_2!E301</f>
        <v>Double</v>
      </c>
      <c r="F305">
        <f>Dbase_velden_versie4_2!F301</f>
        <v>0</v>
      </c>
      <c r="G305" t="str">
        <f>Dbase_velden_versie4_2!G301</f>
        <v>SD TAYLOR K10 TRAP8</v>
      </c>
      <c r="H305" t="str">
        <f>Dbase_velden_versie4_2!H301</f>
        <v>[m/s]</v>
      </c>
      <c r="I305" t="str">
        <f>Dbase_velden_versie4_2!I301</f>
        <v>SD</v>
      </c>
      <c r="J305" t="str">
        <f>Dbase_velden_versie4_2!J301</f>
        <v>Samendrukkingsproef</v>
      </c>
      <c r="K305">
        <v>301</v>
      </c>
      <c r="L305" t="str">
        <v>SD_TAYLOR_K10_TRAP8</v>
      </c>
      <c r="M305" t="str">
        <v>m/s</v>
      </c>
      <c r="N305" t="str">
        <v>Waarde van de bepaling volgens Taylor van de k10 (m/s) bij trap 8</v>
      </c>
      <c r="O305" t="str">
        <v>Double</v>
      </c>
      <c r="P305">
        <v>0</v>
      </c>
      <c r="Q305" t="str">
        <v>SD TAYLOR K10 TRAP8</v>
      </c>
      <c r="R305" t="str">
        <v>[m/s]</v>
      </c>
      <c r="S305" t="str">
        <f t="shared" si="73"/>
        <v>OK</v>
      </c>
      <c r="T305" t="str">
        <f t="shared" si="67"/>
        <v>OK</v>
      </c>
      <c r="U305" t="str">
        <f t="shared" si="68"/>
        <v>OK</v>
      </c>
      <c r="V305" t="str">
        <f t="shared" si="69"/>
        <v>OK</v>
      </c>
      <c r="W305" t="str">
        <f t="shared" si="70"/>
        <v>OK</v>
      </c>
      <c r="X305" t="str">
        <f t="shared" si="71"/>
        <v>OK</v>
      </c>
      <c r="Y305" t="str">
        <f t="shared" si="72"/>
        <v>OK</v>
      </c>
      <c r="Z305">
        <v>300</v>
      </c>
      <c r="AA305">
        <v>302</v>
      </c>
      <c r="AB305" t="s">
        <v>2462</v>
      </c>
      <c r="AC305" t="s">
        <v>301</v>
      </c>
      <c r="AD305" t="s">
        <v>471</v>
      </c>
      <c r="AE305" t="s">
        <v>768</v>
      </c>
      <c r="AG305" t="s">
        <v>897</v>
      </c>
      <c r="AI305" t="s">
        <v>2584</v>
      </c>
      <c r="AJ305" t="s">
        <v>1403</v>
      </c>
      <c r="AK305" t="s">
        <v>2462</v>
      </c>
      <c r="AL305" t="s">
        <v>2463</v>
      </c>
      <c r="AN305" t="str">
        <f t="shared" si="74"/>
        <v>OK</v>
      </c>
      <c r="AO305" t="str">
        <f t="shared" si="75"/>
        <v>OK</v>
      </c>
      <c r="AP305" t="str">
        <f t="shared" si="76"/>
        <v>OK</v>
      </c>
      <c r="AR305" t="str">
        <f t="shared" si="77"/>
        <v>OK</v>
      </c>
      <c r="AS305" t="str">
        <f t="shared" si="78"/>
        <v>OK</v>
      </c>
      <c r="AT305" t="str">
        <f t="shared" si="79"/>
        <v>NOK</v>
      </c>
      <c r="AU305" t="str">
        <f t="shared" si="80"/>
        <v>OK</v>
      </c>
      <c r="AV305" t="str">
        <f t="shared" si="81"/>
        <v>OK</v>
      </c>
      <c r="AW305" t="str">
        <f t="shared" si="82"/>
        <v>OK</v>
      </c>
    </row>
    <row r="306" spans="1:49">
      <c r="A306">
        <f>Dbase_velden_versie4_2!A302</f>
        <v>302</v>
      </c>
      <c r="B306" t="str">
        <f>Dbase_velden_versie4_2!B302</f>
        <v>SD_TAYLOR_K10_TRAP9</v>
      </c>
      <c r="C306" t="str">
        <f>Dbase_velden_versie4_2!C302</f>
        <v>m/s</v>
      </c>
      <c r="D306" t="str">
        <f>Dbase_velden_versie4_2!D302</f>
        <v>Waarde van de bepaling volgens Taylor van de k10 (m/s) bij trap 9</v>
      </c>
      <c r="E306" t="str">
        <f>Dbase_velden_versie4_2!E302</f>
        <v>Double</v>
      </c>
      <c r="F306">
        <f>Dbase_velden_versie4_2!F302</f>
        <v>0</v>
      </c>
      <c r="G306" t="str">
        <f>Dbase_velden_versie4_2!G302</f>
        <v>SD TAYLOR K10 TRAP9</v>
      </c>
      <c r="H306" t="str">
        <f>Dbase_velden_versie4_2!H302</f>
        <v>[m/s]</v>
      </c>
      <c r="I306" t="str">
        <f>Dbase_velden_versie4_2!I302</f>
        <v>SD</v>
      </c>
      <c r="J306" t="str">
        <f>Dbase_velden_versie4_2!J302</f>
        <v>Samendrukkingsproef</v>
      </c>
      <c r="K306">
        <v>302</v>
      </c>
      <c r="L306" t="str">
        <v>SD_TAYLOR_K10_TRAP9</v>
      </c>
      <c r="M306" t="str">
        <v>m/s</v>
      </c>
      <c r="N306" t="str">
        <v>Waarde van de bepaling volgens Taylor van de k10 (m/s) bij trap 9</v>
      </c>
      <c r="O306" t="str">
        <v>Double</v>
      </c>
      <c r="P306">
        <v>0</v>
      </c>
      <c r="Q306" t="str">
        <v>SD TAYLOR K10 TRAP9</v>
      </c>
      <c r="R306" t="str">
        <v>[m/s]</v>
      </c>
      <c r="S306" t="str">
        <f t="shared" si="73"/>
        <v>OK</v>
      </c>
      <c r="T306" t="str">
        <f t="shared" si="67"/>
        <v>OK</v>
      </c>
      <c r="U306" t="str">
        <f t="shared" si="68"/>
        <v>OK</v>
      </c>
      <c r="V306" t="str">
        <f t="shared" si="69"/>
        <v>OK</v>
      </c>
      <c r="W306" t="str">
        <f t="shared" si="70"/>
        <v>OK</v>
      </c>
      <c r="X306" t="str">
        <f t="shared" si="71"/>
        <v>OK</v>
      </c>
      <c r="Y306" t="str">
        <f t="shared" si="72"/>
        <v>OK</v>
      </c>
      <c r="Z306">
        <v>301</v>
      </c>
      <c r="AA306">
        <v>303</v>
      </c>
      <c r="AB306" t="s">
        <v>2462</v>
      </c>
      <c r="AC306" t="s">
        <v>302</v>
      </c>
      <c r="AD306" t="s">
        <v>471</v>
      </c>
      <c r="AE306" t="s">
        <v>769</v>
      </c>
      <c r="AG306" t="s">
        <v>897</v>
      </c>
      <c r="AI306" t="s">
        <v>2585</v>
      </c>
      <c r="AJ306" t="s">
        <v>1403</v>
      </c>
      <c r="AK306" t="s">
        <v>2462</v>
      </c>
      <c r="AL306" t="s">
        <v>2463</v>
      </c>
      <c r="AN306" t="str">
        <f t="shared" si="74"/>
        <v>OK</v>
      </c>
      <c r="AO306" t="str">
        <f t="shared" si="75"/>
        <v>OK</v>
      </c>
      <c r="AP306" t="str">
        <f t="shared" si="76"/>
        <v>OK</v>
      </c>
      <c r="AR306" t="str">
        <f t="shared" si="77"/>
        <v>OK</v>
      </c>
      <c r="AS306" t="str">
        <f t="shared" si="78"/>
        <v>OK</v>
      </c>
      <c r="AT306" t="str">
        <f t="shared" si="79"/>
        <v>NOK</v>
      </c>
      <c r="AU306" t="str">
        <f t="shared" si="80"/>
        <v>OK</v>
      </c>
      <c r="AV306" t="str">
        <f t="shared" si="81"/>
        <v>OK</v>
      </c>
      <c r="AW306" t="str">
        <f t="shared" si="82"/>
        <v>OK</v>
      </c>
    </row>
    <row r="307" spans="1:49">
      <c r="A307">
        <f>Dbase_velden_versie4_2!A303</f>
        <v>303</v>
      </c>
      <c r="B307" t="str">
        <f>Dbase_velden_versie4_2!B303</f>
        <v>SD_TAYLOR_MV_TRAP2</v>
      </c>
      <c r="C307" t="str">
        <f>Dbase_velden_versie4_2!C303</f>
        <v>1/MPa</v>
      </c>
      <c r="D307" t="str">
        <f>Dbase_velden_versie4_2!D303</f>
        <v>Waarde van de bepaling volgens Taylor van de mv (1/MPa) bij trap 2</v>
      </c>
      <c r="E307" t="str">
        <f>Dbase_velden_versie4_2!E303</f>
        <v>Double</v>
      </c>
      <c r="F307">
        <f>Dbase_velden_versie4_2!F303</f>
        <v>0</v>
      </c>
      <c r="G307" t="str">
        <f>Dbase_velden_versie4_2!G303</f>
        <v>SD TAYLOR MV TRAP2</v>
      </c>
      <c r="H307" t="str">
        <f>Dbase_velden_versie4_2!H303</f>
        <v>[1/MPa]</v>
      </c>
      <c r="I307" t="str">
        <f>Dbase_velden_versie4_2!I303</f>
        <v>SD</v>
      </c>
      <c r="J307" t="str">
        <f>Dbase_velden_versie4_2!J303</f>
        <v>Samendrukkingsproef</v>
      </c>
      <c r="K307">
        <v>303</v>
      </c>
      <c r="L307" t="str">
        <v>SD_TAYLOR_MV_TRAP2</v>
      </c>
      <c r="M307" t="str">
        <v>1/MPa</v>
      </c>
      <c r="N307" t="str">
        <v>Waarde van de bepaling volgens Taylor van de mv (1/MPa) bij trap 2</v>
      </c>
      <c r="O307" t="str">
        <v>Double</v>
      </c>
      <c r="P307">
        <v>0</v>
      </c>
      <c r="Q307" t="str">
        <v>SD TAYLOR MV TRAP2</v>
      </c>
      <c r="R307" t="str">
        <v>[1/MPa]</v>
      </c>
      <c r="S307" t="str">
        <f t="shared" si="73"/>
        <v>OK</v>
      </c>
      <c r="T307" t="str">
        <f t="shared" si="67"/>
        <v>OK</v>
      </c>
      <c r="U307" t="str">
        <f t="shared" si="68"/>
        <v>OK</v>
      </c>
      <c r="V307" t="str">
        <f t="shared" si="69"/>
        <v>OK</v>
      </c>
      <c r="W307" t="str">
        <f t="shared" si="70"/>
        <v>OK</v>
      </c>
      <c r="X307" t="str">
        <f t="shared" si="71"/>
        <v>OK</v>
      </c>
      <c r="Y307" t="str">
        <f t="shared" si="72"/>
        <v>OK</v>
      </c>
      <c r="Z307">
        <v>302</v>
      </c>
      <c r="AA307">
        <v>304</v>
      </c>
      <c r="AB307" t="s">
        <v>2462</v>
      </c>
      <c r="AC307" t="s">
        <v>303</v>
      </c>
      <c r="AD307" t="s">
        <v>479</v>
      </c>
      <c r="AE307" t="s">
        <v>770</v>
      </c>
      <c r="AG307" t="s">
        <v>897</v>
      </c>
      <c r="AI307" t="s">
        <v>2586</v>
      </c>
      <c r="AJ307" t="s">
        <v>1411</v>
      </c>
      <c r="AK307" t="s">
        <v>2462</v>
      </c>
      <c r="AL307" t="s">
        <v>2463</v>
      </c>
      <c r="AN307" t="str">
        <f t="shared" si="74"/>
        <v>OK</v>
      </c>
      <c r="AO307" t="str">
        <f t="shared" si="75"/>
        <v>OK</v>
      </c>
      <c r="AP307" t="str">
        <f t="shared" si="76"/>
        <v>OK</v>
      </c>
      <c r="AR307" t="str">
        <f t="shared" si="77"/>
        <v>OK</v>
      </c>
      <c r="AS307" t="str">
        <f t="shared" si="78"/>
        <v>OK</v>
      </c>
      <c r="AT307" t="str">
        <f t="shared" si="79"/>
        <v>NOK</v>
      </c>
      <c r="AU307" t="str">
        <f t="shared" si="80"/>
        <v>OK</v>
      </c>
      <c r="AV307" t="str">
        <f t="shared" si="81"/>
        <v>OK</v>
      </c>
      <c r="AW307" t="str">
        <f t="shared" si="82"/>
        <v>OK</v>
      </c>
    </row>
    <row r="308" spans="1:49">
      <c r="A308">
        <f>Dbase_velden_versie4_2!A304</f>
        <v>304</v>
      </c>
      <c r="B308" t="str">
        <f>Dbase_velden_versie4_2!B304</f>
        <v>SD_TAYLOR_MV_TRAP3</v>
      </c>
      <c r="C308" t="str">
        <f>Dbase_velden_versie4_2!C304</f>
        <v>1/MPa</v>
      </c>
      <c r="D308" t="str">
        <f>Dbase_velden_versie4_2!D304</f>
        <v>Waarde van de bepaling volgens Taylor van de mv (1/MPa) bij trap 3</v>
      </c>
      <c r="E308" t="str">
        <f>Dbase_velden_versie4_2!E304</f>
        <v>Double</v>
      </c>
      <c r="F308">
        <f>Dbase_velden_versie4_2!F304</f>
        <v>0</v>
      </c>
      <c r="G308" t="str">
        <f>Dbase_velden_versie4_2!G304</f>
        <v>SD TAYLOR MV TRAP3</v>
      </c>
      <c r="H308" t="str">
        <f>Dbase_velden_versie4_2!H304</f>
        <v>[1/MPa]</v>
      </c>
      <c r="I308" t="str">
        <f>Dbase_velden_versie4_2!I304</f>
        <v>SD</v>
      </c>
      <c r="J308" t="str">
        <f>Dbase_velden_versie4_2!J304</f>
        <v>Samendrukkingsproef</v>
      </c>
      <c r="K308">
        <v>304</v>
      </c>
      <c r="L308" t="str">
        <v>SD_TAYLOR_MV_TRAP3</v>
      </c>
      <c r="M308" t="str">
        <v>1/MPa</v>
      </c>
      <c r="N308" t="str">
        <v>Waarde van de bepaling volgens Taylor van de mv (1/MPa) bij trap 3</v>
      </c>
      <c r="O308" t="str">
        <v>Double</v>
      </c>
      <c r="P308">
        <v>0</v>
      </c>
      <c r="Q308" t="str">
        <v>SD TAYLOR MV TRAP3</v>
      </c>
      <c r="R308" t="str">
        <v>[1/MPa]</v>
      </c>
      <c r="S308" t="str">
        <f t="shared" si="73"/>
        <v>OK</v>
      </c>
      <c r="T308" t="str">
        <f t="shared" si="67"/>
        <v>OK</v>
      </c>
      <c r="U308" t="str">
        <f t="shared" si="68"/>
        <v>OK</v>
      </c>
      <c r="V308" t="str">
        <f t="shared" si="69"/>
        <v>OK</v>
      </c>
      <c r="W308" t="str">
        <f t="shared" si="70"/>
        <v>OK</v>
      </c>
      <c r="X308" t="str">
        <f t="shared" si="71"/>
        <v>OK</v>
      </c>
      <c r="Y308" t="str">
        <f t="shared" si="72"/>
        <v>OK</v>
      </c>
      <c r="Z308">
        <v>303</v>
      </c>
      <c r="AA308">
        <v>305</v>
      </c>
      <c r="AB308" t="s">
        <v>2462</v>
      </c>
      <c r="AC308" t="s">
        <v>304</v>
      </c>
      <c r="AD308" t="s">
        <v>479</v>
      </c>
      <c r="AE308" t="s">
        <v>771</v>
      </c>
      <c r="AG308" t="s">
        <v>897</v>
      </c>
      <c r="AI308" t="s">
        <v>2587</v>
      </c>
      <c r="AJ308" t="s">
        <v>1411</v>
      </c>
      <c r="AK308" t="s">
        <v>2462</v>
      </c>
      <c r="AL308" t="s">
        <v>2463</v>
      </c>
      <c r="AN308" t="str">
        <f t="shared" si="74"/>
        <v>OK</v>
      </c>
      <c r="AO308" t="str">
        <f t="shared" si="75"/>
        <v>OK</v>
      </c>
      <c r="AP308" t="str">
        <f t="shared" si="76"/>
        <v>OK</v>
      </c>
      <c r="AR308" t="str">
        <f t="shared" si="77"/>
        <v>OK</v>
      </c>
      <c r="AS308" t="str">
        <f t="shared" si="78"/>
        <v>OK</v>
      </c>
      <c r="AT308" t="str">
        <f t="shared" si="79"/>
        <v>NOK</v>
      </c>
      <c r="AU308" t="str">
        <f t="shared" si="80"/>
        <v>OK</v>
      </c>
      <c r="AV308" t="str">
        <f t="shared" si="81"/>
        <v>OK</v>
      </c>
      <c r="AW308" t="str">
        <f t="shared" si="82"/>
        <v>OK</v>
      </c>
    </row>
    <row r="309" spans="1:49">
      <c r="A309">
        <f>Dbase_velden_versie4_2!A305</f>
        <v>305</v>
      </c>
      <c r="B309" t="str">
        <f>Dbase_velden_versie4_2!B305</f>
        <v>SD_TAYLOR_MV_TRAP4</v>
      </c>
      <c r="C309" t="str">
        <f>Dbase_velden_versie4_2!C305</f>
        <v>1/MPa</v>
      </c>
      <c r="D309" t="str">
        <f>Dbase_velden_versie4_2!D305</f>
        <v>Waarde van de bepaling volgens Taylor van de mv (1/MPa) bij trap 4</v>
      </c>
      <c r="E309" t="str">
        <f>Dbase_velden_versie4_2!E305</f>
        <v>Double</v>
      </c>
      <c r="F309">
        <f>Dbase_velden_versie4_2!F305</f>
        <v>0</v>
      </c>
      <c r="G309" t="str">
        <f>Dbase_velden_versie4_2!G305</f>
        <v>SD TAYLOR MV TRAP4</v>
      </c>
      <c r="H309" t="str">
        <f>Dbase_velden_versie4_2!H305</f>
        <v>[1/MPa]</v>
      </c>
      <c r="I309" t="str">
        <f>Dbase_velden_versie4_2!I305</f>
        <v>SD</v>
      </c>
      <c r="J309" t="str">
        <f>Dbase_velden_versie4_2!J305</f>
        <v>Samendrukkingsproef</v>
      </c>
      <c r="K309">
        <v>305</v>
      </c>
      <c r="L309" t="str">
        <v>SD_TAYLOR_MV_TRAP4</v>
      </c>
      <c r="M309" t="str">
        <v>1/MPa</v>
      </c>
      <c r="N309" t="str">
        <v>Waarde van de bepaling volgens Taylor van de mv (1/MPa) bij trap 4</v>
      </c>
      <c r="O309" t="str">
        <v>Double</v>
      </c>
      <c r="P309">
        <v>0</v>
      </c>
      <c r="Q309" t="str">
        <v>SD TAYLOR MV TRAP4</v>
      </c>
      <c r="R309" t="str">
        <v>[1/MPa]</v>
      </c>
      <c r="S309" t="str">
        <f t="shared" si="73"/>
        <v>OK</v>
      </c>
      <c r="T309" t="str">
        <f t="shared" si="67"/>
        <v>OK</v>
      </c>
      <c r="U309" t="str">
        <f t="shared" si="68"/>
        <v>OK</v>
      </c>
      <c r="V309" t="str">
        <f t="shared" si="69"/>
        <v>OK</v>
      </c>
      <c r="W309" t="str">
        <f t="shared" si="70"/>
        <v>OK</v>
      </c>
      <c r="X309" t="str">
        <f t="shared" si="71"/>
        <v>OK</v>
      </c>
      <c r="Y309" t="str">
        <f t="shared" si="72"/>
        <v>OK</v>
      </c>
      <c r="Z309">
        <v>304</v>
      </c>
      <c r="AA309">
        <v>306</v>
      </c>
      <c r="AB309" t="s">
        <v>2462</v>
      </c>
      <c r="AC309" t="s">
        <v>305</v>
      </c>
      <c r="AD309" t="s">
        <v>479</v>
      </c>
      <c r="AE309" t="s">
        <v>772</v>
      </c>
      <c r="AG309" t="s">
        <v>897</v>
      </c>
      <c r="AI309" t="s">
        <v>2588</v>
      </c>
      <c r="AJ309" t="s">
        <v>1411</v>
      </c>
      <c r="AK309" t="s">
        <v>2462</v>
      </c>
      <c r="AL309" t="s">
        <v>2463</v>
      </c>
      <c r="AN309" t="str">
        <f t="shared" si="74"/>
        <v>OK</v>
      </c>
      <c r="AO309" t="str">
        <f t="shared" si="75"/>
        <v>OK</v>
      </c>
      <c r="AP309" t="str">
        <f t="shared" si="76"/>
        <v>OK</v>
      </c>
      <c r="AR309" t="str">
        <f t="shared" si="77"/>
        <v>OK</v>
      </c>
      <c r="AS309" t="str">
        <f t="shared" si="78"/>
        <v>OK</v>
      </c>
      <c r="AT309" t="str">
        <f t="shared" si="79"/>
        <v>NOK</v>
      </c>
      <c r="AU309" t="str">
        <f t="shared" si="80"/>
        <v>OK</v>
      </c>
      <c r="AV309" t="str">
        <f t="shared" si="81"/>
        <v>OK</v>
      </c>
      <c r="AW309" t="str">
        <f t="shared" si="82"/>
        <v>OK</v>
      </c>
    </row>
    <row r="310" spans="1:49">
      <c r="A310">
        <f>Dbase_velden_versie4_2!A306</f>
        <v>306</v>
      </c>
      <c r="B310" t="str">
        <f>Dbase_velden_versie4_2!B306</f>
        <v>SD_TAYLOR_MV_TRAP5</v>
      </c>
      <c r="C310" t="str">
        <f>Dbase_velden_versie4_2!C306</f>
        <v>1/MPa</v>
      </c>
      <c r="D310" t="str">
        <f>Dbase_velden_versie4_2!D306</f>
        <v>Waarde van de bepaling volgens Taylor van de mv (1/MPa) bij trap 5</v>
      </c>
      <c r="E310" t="str">
        <f>Dbase_velden_versie4_2!E306</f>
        <v>Double</v>
      </c>
      <c r="F310">
        <f>Dbase_velden_versie4_2!F306</f>
        <v>0</v>
      </c>
      <c r="G310" t="str">
        <f>Dbase_velden_versie4_2!G306</f>
        <v>SD TAYLOR MV TRAP5</v>
      </c>
      <c r="H310" t="str">
        <f>Dbase_velden_versie4_2!H306</f>
        <v>[1/MPa]</v>
      </c>
      <c r="I310" t="str">
        <f>Dbase_velden_versie4_2!I306</f>
        <v>SD</v>
      </c>
      <c r="J310" t="str">
        <f>Dbase_velden_versie4_2!J306</f>
        <v>Samendrukkingsproef</v>
      </c>
      <c r="K310">
        <v>306</v>
      </c>
      <c r="L310" t="str">
        <v>SD_TAYLOR_MV_TRAP5</v>
      </c>
      <c r="M310" t="str">
        <v>1/MPa</v>
      </c>
      <c r="N310" t="str">
        <v>Waarde van de bepaling volgens Taylor van de mv (1/MPa) bij trap 5</v>
      </c>
      <c r="O310" t="str">
        <v>Double</v>
      </c>
      <c r="P310">
        <v>0</v>
      </c>
      <c r="Q310" t="str">
        <v>SD TAYLOR MV TRAP5</v>
      </c>
      <c r="R310" t="str">
        <v>[1/MPa]</v>
      </c>
      <c r="S310" t="str">
        <f t="shared" si="73"/>
        <v>OK</v>
      </c>
      <c r="T310" t="str">
        <f t="shared" si="67"/>
        <v>OK</v>
      </c>
      <c r="U310" t="str">
        <f t="shared" si="68"/>
        <v>OK</v>
      </c>
      <c r="V310" t="str">
        <f t="shared" si="69"/>
        <v>OK</v>
      </c>
      <c r="W310" t="str">
        <f t="shared" si="70"/>
        <v>OK</v>
      </c>
      <c r="X310" t="str">
        <f t="shared" si="71"/>
        <v>OK</v>
      </c>
      <c r="Y310" t="str">
        <f t="shared" si="72"/>
        <v>OK</v>
      </c>
      <c r="Z310">
        <v>305</v>
      </c>
      <c r="AA310">
        <v>307</v>
      </c>
      <c r="AB310" t="s">
        <v>2462</v>
      </c>
      <c r="AC310" t="s">
        <v>306</v>
      </c>
      <c r="AD310" t="s">
        <v>479</v>
      </c>
      <c r="AE310" t="s">
        <v>773</v>
      </c>
      <c r="AG310" t="s">
        <v>897</v>
      </c>
      <c r="AI310" t="s">
        <v>2589</v>
      </c>
      <c r="AJ310" t="s">
        <v>1411</v>
      </c>
      <c r="AK310" t="s">
        <v>2462</v>
      </c>
      <c r="AL310" t="s">
        <v>2463</v>
      </c>
      <c r="AN310" t="str">
        <f t="shared" si="74"/>
        <v>OK</v>
      </c>
      <c r="AO310" t="str">
        <f t="shared" si="75"/>
        <v>OK</v>
      </c>
      <c r="AP310" t="str">
        <f t="shared" si="76"/>
        <v>OK</v>
      </c>
      <c r="AR310" t="str">
        <f t="shared" si="77"/>
        <v>OK</v>
      </c>
      <c r="AS310" t="str">
        <f t="shared" si="78"/>
        <v>OK</v>
      </c>
      <c r="AT310" t="str">
        <f t="shared" si="79"/>
        <v>NOK</v>
      </c>
      <c r="AU310" t="str">
        <f t="shared" si="80"/>
        <v>OK</v>
      </c>
      <c r="AV310" t="str">
        <f t="shared" si="81"/>
        <v>OK</v>
      </c>
      <c r="AW310" t="str">
        <f t="shared" si="82"/>
        <v>OK</v>
      </c>
    </row>
    <row r="311" spans="1:49">
      <c r="A311">
        <f>Dbase_velden_versie4_2!A307</f>
        <v>307</v>
      </c>
      <c r="B311" t="str">
        <f>Dbase_velden_versie4_2!B307</f>
        <v>SD_TAYLOR_MV_TRAP6</v>
      </c>
      <c r="C311" t="str">
        <f>Dbase_velden_versie4_2!C307</f>
        <v>1/MPa</v>
      </c>
      <c r="D311" t="str">
        <f>Dbase_velden_versie4_2!D307</f>
        <v>Waarde van de bepaling volgens Taylor van de mv (1/MPa) bij trap 6</v>
      </c>
      <c r="E311" t="str">
        <f>Dbase_velden_versie4_2!E307</f>
        <v>Double</v>
      </c>
      <c r="F311">
        <f>Dbase_velden_versie4_2!F307</f>
        <v>0</v>
      </c>
      <c r="G311" t="str">
        <f>Dbase_velden_versie4_2!G307</f>
        <v>SD TAYLOR MV TRAP6</v>
      </c>
      <c r="H311" t="str">
        <f>Dbase_velden_versie4_2!H307</f>
        <v>[1/MPa]</v>
      </c>
      <c r="I311" t="str">
        <f>Dbase_velden_versie4_2!I307</f>
        <v>SD</v>
      </c>
      <c r="J311" t="str">
        <f>Dbase_velden_versie4_2!J307</f>
        <v>Samendrukkingsproef</v>
      </c>
      <c r="K311">
        <v>307</v>
      </c>
      <c r="L311" t="str">
        <v>SD_TAYLOR_MV_TRAP6</v>
      </c>
      <c r="M311" t="str">
        <v>1/MPa</v>
      </c>
      <c r="N311" t="str">
        <v>Waarde van de bepaling volgens Taylor van de mv (1/MPa) bij trap 6</v>
      </c>
      <c r="O311" t="str">
        <v>Double</v>
      </c>
      <c r="P311">
        <v>0</v>
      </c>
      <c r="Q311" t="str">
        <v>SD TAYLOR MV TRAP6</v>
      </c>
      <c r="R311" t="str">
        <v>[1/MPa]</v>
      </c>
      <c r="S311" t="str">
        <f t="shared" si="73"/>
        <v>OK</v>
      </c>
      <c r="T311" t="str">
        <f t="shared" si="67"/>
        <v>OK</v>
      </c>
      <c r="U311" t="str">
        <f t="shared" si="68"/>
        <v>OK</v>
      </c>
      <c r="V311" t="str">
        <f t="shared" si="69"/>
        <v>OK</v>
      </c>
      <c r="W311" t="str">
        <f t="shared" si="70"/>
        <v>OK</v>
      </c>
      <c r="X311" t="str">
        <f t="shared" si="71"/>
        <v>OK</v>
      </c>
      <c r="Y311" t="str">
        <f t="shared" si="72"/>
        <v>OK</v>
      </c>
      <c r="Z311">
        <v>306</v>
      </c>
      <c r="AA311">
        <v>308</v>
      </c>
      <c r="AB311" t="s">
        <v>2462</v>
      </c>
      <c r="AC311" t="s">
        <v>307</v>
      </c>
      <c r="AD311" t="s">
        <v>479</v>
      </c>
      <c r="AE311" t="s">
        <v>774</v>
      </c>
      <c r="AG311" t="s">
        <v>897</v>
      </c>
      <c r="AI311" t="s">
        <v>2590</v>
      </c>
      <c r="AJ311" t="s">
        <v>1411</v>
      </c>
      <c r="AK311" t="s">
        <v>2462</v>
      </c>
      <c r="AL311" t="s">
        <v>2463</v>
      </c>
      <c r="AN311" t="str">
        <f t="shared" si="74"/>
        <v>OK</v>
      </c>
      <c r="AO311" t="str">
        <f t="shared" si="75"/>
        <v>OK</v>
      </c>
      <c r="AP311" t="str">
        <f t="shared" si="76"/>
        <v>OK</v>
      </c>
      <c r="AR311" t="str">
        <f t="shared" si="77"/>
        <v>OK</v>
      </c>
      <c r="AS311" t="str">
        <f t="shared" si="78"/>
        <v>OK</v>
      </c>
      <c r="AT311" t="str">
        <f t="shared" si="79"/>
        <v>NOK</v>
      </c>
      <c r="AU311" t="str">
        <f t="shared" si="80"/>
        <v>OK</v>
      </c>
      <c r="AV311" t="str">
        <f t="shared" si="81"/>
        <v>OK</v>
      </c>
      <c r="AW311" t="str">
        <f t="shared" si="82"/>
        <v>OK</v>
      </c>
    </row>
    <row r="312" spans="1:49">
      <c r="A312">
        <f>Dbase_velden_versie4_2!A308</f>
        <v>308</v>
      </c>
      <c r="B312" t="str">
        <f>Dbase_velden_versie4_2!B308</f>
        <v>SD_TAYLOR_MV_TRAP7</v>
      </c>
      <c r="C312" t="str">
        <f>Dbase_velden_versie4_2!C308</f>
        <v>1/MPa</v>
      </c>
      <c r="D312" t="str">
        <f>Dbase_velden_versie4_2!D308</f>
        <v>Waarde van de bepaling volgens Taylor van de mv (1/MPa) bij trap 7</v>
      </c>
      <c r="E312" t="str">
        <f>Dbase_velden_versie4_2!E308</f>
        <v>Double</v>
      </c>
      <c r="F312">
        <f>Dbase_velden_versie4_2!F308</f>
        <v>0</v>
      </c>
      <c r="G312" t="str">
        <f>Dbase_velden_versie4_2!G308</f>
        <v>SD TAYLOR MV TRAP7</v>
      </c>
      <c r="H312" t="str">
        <f>Dbase_velden_versie4_2!H308</f>
        <v>[1/MPa]</v>
      </c>
      <c r="I312" t="str">
        <f>Dbase_velden_versie4_2!I308</f>
        <v>SD</v>
      </c>
      <c r="J312" t="str">
        <f>Dbase_velden_versie4_2!J308</f>
        <v>Samendrukkingsproef</v>
      </c>
      <c r="K312">
        <v>308</v>
      </c>
      <c r="L312" t="str">
        <v>SD_TAYLOR_MV_TRAP7</v>
      </c>
      <c r="M312" t="str">
        <v>1/MPa</v>
      </c>
      <c r="N312" t="str">
        <v>Waarde van de bepaling volgens Taylor van de mv (1/MPa) bij trap 7</v>
      </c>
      <c r="O312" t="str">
        <v>Double</v>
      </c>
      <c r="P312">
        <v>0</v>
      </c>
      <c r="Q312" t="str">
        <v>SD TAYLOR MV TRAP7</v>
      </c>
      <c r="R312" t="str">
        <v>[1/MPa]</v>
      </c>
      <c r="S312" t="str">
        <f t="shared" si="73"/>
        <v>OK</v>
      </c>
      <c r="T312" t="str">
        <f t="shared" si="67"/>
        <v>OK</v>
      </c>
      <c r="U312" t="str">
        <f t="shared" si="68"/>
        <v>OK</v>
      </c>
      <c r="V312" t="str">
        <f t="shared" si="69"/>
        <v>OK</v>
      </c>
      <c r="W312" t="str">
        <f t="shared" si="70"/>
        <v>OK</v>
      </c>
      <c r="X312" t="str">
        <f t="shared" si="71"/>
        <v>OK</v>
      </c>
      <c r="Y312" t="str">
        <f t="shared" si="72"/>
        <v>OK</v>
      </c>
      <c r="Z312">
        <v>307</v>
      </c>
      <c r="AA312">
        <v>309</v>
      </c>
      <c r="AB312" t="s">
        <v>2462</v>
      </c>
      <c r="AC312" t="s">
        <v>308</v>
      </c>
      <c r="AD312" t="s">
        <v>479</v>
      </c>
      <c r="AE312" t="s">
        <v>775</v>
      </c>
      <c r="AG312" t="s">
        <v>897</v>
      </c>
      <c r="AI312" t="s">
        <v>2591</v>
      </c>
      <c r="AJ312" t="s">
        <v>1411</v>
      </c>
      <c r="AK312" t="s">
        <v>2462</v>
      </c>
      <c r="AL312" t="s">
        <v>2463</v>
      </c>
      <c r="AN312" t="str">
        <f t="shared" si="74"/>
        <v>OK</v>
      </c>
      <c r="AO312" t="str">
        <f t="shared" si="75"/>
        <v>OK</v>
      </c>
      <c r="AP312" t="str">
        <f t="shared" si="76"/>
        <v>OK</v>
      </c>
      <c r="AR312" t="str">
        <f t="shared" si="77"/>
        <v>OK</v>
      </c>
      <c r="AS312" t="str">
        <f t="shared" si="78"/>
        <v>OK</v>
      </c>
      <c r="AT312" t="str">
        <f t="shared" si="79"/>
        <v>NOK</v>
      </c>
      <c r="AU312" t="str">
        <f t="shared" si="80"/>
        <v>OK</v>
      </c>
      <c r="AV312" t="str">
        <f t="shared" si="81"/>
        <v>OK</v>
      </c>
      <c r="AW312" t="str">
        <f t="shared" si="82"/>
        <v>OK</v>
      </c>
    </row>
    <row r="313" spans="1:49">
      <c r="A313">
        <f>Dbase_velden_versie4_2!A309</f>
        <v>309</v>
      </c>
      <c r="B313" t="str">
        <f>Dbase_velden_versie4_2!B309</f>
        <v>SD_TAYLOR_MV_TRAP8</v>
      </c>
      <c r="C313" t="str">
        <f>Dbase_velden_versie4_2!C309</f>
        <v>1/MPa</v>
      </c>
      <c r="D313" t="str">
        <f>Dbase_velden_versie4_2!D309</f>
        <v>Waarde van de bepaling volgens Taylor van de mv (1/MPa) bij trap 8</v>
      </c>
      <c r="E313" t="str">
        <f>Dbase_velden_versie4_2!E309</f>
        <v>Double</v>
      </c>
      <c r="F313">
        <f>Dbase_velden_versie4_2!F309</f>
        <v>0</v>
      </c>
      <c r="G313" t="str">
        <f>Dbase_velden_versie4_2!G309</f>
        <v>SD TAYLOR MV TRAP8</v>
      </c>
      <c r="H313" t="str">
        <f>Dbase_velden_versie4_2!H309</f>
        <v>[1/MPa]</v>
      </c>
      <c r="I313" t="str">
        <f>Dbase_velden_versie4_2!I309</f>
        <v>SD</v>
      </c>
      <c r="J313" t="str">
        <f>Dbase_velden_versie4_2!J309</f>
        <v>Samendrukkingsproef</v>
      </c>
      <c r="K313">
        <v>309</v>
      </c>
      <c r="L313" t="str">
        <v>SD_TAYLOR_MV_TRAP8</v>
      </c>
      <c r="M313" t="str">
        <v>1/MPa</v>
      </c>
      <c r="N313" t="str">
        <v>Waarde van de bepaling volgens Taylor van de mv (1/MPa) bij trap 8</v>
      </c>
      <c r="O313" t="str">
        <v>Double</v>
      </c>
      <c r="P313">
        <v>0</v>
      </c>
      <c r="Q313" t="str">
        <v>SD TAYLOR MV TRAP8</v>
      </c>
      <c r="R313" t="str">
        <v>[1/MPa]</v>
      </c>
      <c r="S313" t="str">
        <f t="shared" si="73"/>
        <v>OK</v>
      </c>
      <c r="T313" t="str">
        <f t="shared" si="67"/>
        <v>OK</v>
      </c>
      <c r="U313" t="str">
        <f t="shared" si="68"/>
        <v>OK</v>
      </c>
      <c r="V313" t="str">
        <f t="shared" si="69"/>
        <v>OK</v>
      </c>
      <c r="W313" t="str">
        <f t="shared" si="70"/>
        <v>OK</v>
      </c>
      <c r="X313" t="str">
        <f t="shared" si="71"/>
        <v>OK</v>
      </c>
      <c r="Y313" t="str">
        <f t="shared" si="72"/>
        <v>OK</v>
      </c>
      <c r="Z313">
        <v>308</v>
      </c>
      <c r="AA313">
        <v>310</v>
      </c>
      <c r="AB313" t="s">
        <v>2462</v>
      </c>
      <c r="AC313" t="s">
        <v>309</v>
      </c>
      <c r="AD313" t="s">
        <v>479</v>
      </c>
      <c r="AE313" t="s">
        <v>776</v>
      </c>
      <c r="AG313" t="s">
        <v>897</v>
      </c>
      <c r="AI313" t="s">
        <v>2592</v>
      </c>
      <c r="AJ313" t="s">
        <v>1411</v>
      </c>
      <c r="AK313" t="s">
        <v>2462</v>
      </c>
      <c r="AL313" t="s">
        <v>2463</v>
      </c>
      <c r="AN313" t="str">
        <f t="shared" si="74"/>
        <v>OK</v>
      </c>
      <c r="AO313" t="str">
        <f t="shared" si="75"/>
        <v>OK</v>
      </c>
      <c r="AP313" t="str">
        <f t="shared" si="76"/>
        <v>OK</v>
      </c>
      <c r="AR313" t="str">
        <f t="shared" si="77"/>
        <v>OK</v>
      </c>
      <c r="AS313" t="str">
        <f t="shared" si="78"/>
        <v>OK</v>
      </c>
      <c r="AT313" t="str">
        <f t="shared" si="79"/>
        <v>NOK</v>
      </c>
      <c r="AU313" t="str">
        <f t="shared" si="80"/>
        <v>OK</v>
      </c>
      <c r="AV313" t="str">
        <f t="shared" si="81"/>
        <v>OK</v>
      </c>
      <c r="AW313" t="str">
        <f t="shared" si="82"/>
        <v>OK</v>
      </c>
    </row>
    <row r="314" spans="1:49">
      <c r="A314">
        <f>Dbase_velden_versie4_2!A310</f>
        <v>310</v>
      </c>
      <c r="B314" t="str">
        <f>Dbase_velden_versie4_2!B310</f>
        <v>SD_TAYLOR_MV_TRAP9</v>
      </c>
      <c r="C314" t="str">
        <f>Dbase_velden_versie4_2!C310</f>
        <v>1/MPa</v>
      </c>
      <c r="D314" t="str">
        <f>Dbase_velden_versie4_2!D310</f>
        <v>Waarde van de bepaling volgens Taylor van de mv (1/MPa) bij trap 9</v>
      </c>
      <c r="E314" t="str">
        <f>Dbase_velden_versie4_2!E310</f>
        <v>Double</v>
      </c>
      <c r="F314">
        <f>Dbase_velden_versie4_2!F310</f>
        <v>0</v>
      </c>
      <c r="G314" t="str">
        <f>Dbase_velden_versie4_2!G310</f>
        <v>SD TAYLOR MV TRAP9</v>
      </c>
      <c r="H314" t="str">
        <f>Dbase_velden_versie4_2!H310</f>
        <v>[1/MPa]</v>
      </c>
      <c r="I314" t="str">
        <f>Dbase_velden_versie4_2!I310</f>
        <v>SD</v>
      </c>
      <c r="J314" t="str">
        <f>Dbase_velden_versie4_2!J310</f>
        <v>Samendrukkingsproef</v>
      </c>
      <c r="K314">
        <v>310</v>
      </c>
      <c r="L314" t="str">
        <v>SD_TAYLOR_MV_TRAP9</v>
      </c>
      <c r="M314" t="str">
        <v>1/MPa</v>
      </c>
      <c r="N314" t="str">
        <v>Waarde van de bepaling volgens Taylor van de mv (1/MPa) bij trap 9</v>
      </c>
      <c r="O314" t="str">
        <v>Double</v>
      </c>
      <c r="P314">
        <v>0</v>
      </c>
      <c r="Q314" t="str">
        <v>SD TAYLOR MV TRAP9</v>
      </c>
      <c r="R314" t="str">
        <v>[1/MPa]</v>
      </c>
      <c r="S314" t="str">
        <f t="shared" si="73"/>
        <v>OK</v>
      </c>
      <c r="T314" t="str">
        <f t="shared" si="67"/>
        <v>OK</v>
      </c>
      <c r="U314" t="str">
        <f t="shared" si="68"/>
        <v>OK</v>
      </c>
      <c r="V314" t="str">
        <f t="shared" si="69"/>
        <v>OK</v>
      </c>
      <c r="W314" t="str">
        <f t="shared" si="70"/>
        <v>OK</v>
      </c>
      <c r="X314" t="str">
        <f t="shared" si="71"/>
        <v>OK</v>
      </c>
      <c r="Y314" t="str">
        <f t="shared" si="72"/>
        <v>OK</v>
      </c>
      <c r="Z314">
        <v>309</v>
      </c>
      <c r="AA314">
        <v>311</v>
      </c>
      <c r="AB314" t="s">
        <v>2462</v>
      </c>
      <c r="AC314" t="s">
        <v>310</v>
      </c>
      <c r="AD314" t="s">
        <v>479</v>
      </c>
      <c r="AE314" t="s">
        <v>777</v>
      </c>
      <c r="AG314" t="s">
        <v>897</v>
      </c>
      <c r="AI314" t="s">
        <v>2593</v>
      </c>
      <c r="AJ314" t="s">
        <v>1411</v>
      </c>
      <c r="AK314" t="s">
        <v>2462</v>
      </c>
      <c r="AL314" t="s">
        <v>2463</v>
      </c>
      <c r="AN314" t="str">
        <f t="shared" si="74"/>
        <v>OK</v>
      </c>
      <c r="AO314" t="str">
        <f t="shared" si="75"/>
        <v>OK</v>
      </c>
      <c r="AP314" t="str">
        <f t="shared" si="76"/>
        <v>OK</v>
      </c>
      <c r="AR314" t="str">
        <f t="shared" si="77"/>
        <v>OK</v>
      </c>
      <c r="AS314" t="str">
        <f t="shared" si="78"/>
        <v>OK</v>
      </c>
      <c r="AT314" t="str">
        <f t="shared" si="79"/>
        <v>NOK</v>
      </c>
      <c r="AU314" t="str">
        <f t="shared" si="80"/>
        <v>OK</v>
      </c>
      <c r="AV314" t="str">
        <f t="shared" si="81"/>
        <v>OK</v>
      </c>
      <c r="AW314" t="str">
        <f t="shared" si="82"/>
        <v>OK</v>
      </c>
    </row>
    <row r="315" spans="1:49">
      <c r="A315">
        <f>Dbase_velden_versie4_2!A311</f>
        <v>311</v>
      </c>
      <c r="B315" t="str">
        <f>Dbase_velden_versie4_2!B311</f>
        <v>SD_TAYLOR_SPANNING_CV10_TRAP2</v>
      </c>
      <c r="C315" t="str">
        <f>Dbase_velden_versie4_2!C311</f>
        <v>kPa</v>
      </c>
      <c r="D315" t="str">
        <f>Dbase_velden_versie4_2!D311</f>
        <v>spanning bij cv;2</v>
      </c>
      <c r="E315" t="str">
        <f>Dbase_velden_versie4_2!E311</f>
        <v>Double</v>
      </c>
      <c r="F315">
        <f>Dbase_velden_versie4_2!F311</f>
        <v>0</v>
      </c>
      <c r="G315" t="str">
        <f>Dbase_velden_versie4_2!G311</f>
        <v>SD TAYLOR SPANNING CV10 TRAP2</v>
      </c>
      <c r="H315" t="str">
        <f>Dbase_velden_versie4_2!H311</f>
        <v>[kPa]</v>
      </c>
      <c r="I315" t="str">
        <f>Dbase_velden_versie4_2!I311</f>
        <v>SD</v>
      </c>
      <c r="J315" t="str">
        <f>Dbase_velden_versie4_2!J311</f>
        <v>Samendrukkingsproef</v>
      </c>
      <c r="K315">
        <v>311</v>
      </c>
      <c r="L315" t="str">
        <v>SD_TAYLOR_SPANNING_CV10_TRAP2</v>
      </c>
      <c r="M315" t="str">
        <v>kPa</v>
      </c>
      <c r="N315" t="str">
        <v>spanning bij cv;2</v>
      </c>
      <c r="O315" t="str">
        <v>Double</v>
      </c>
      <c r="P315">
        <v>0</v>
      </c>
      <c r="Q315" t="str">
        <v>SD TAYLOR SPANNING CV10 TRAP2</v>
      </c>
      <c r="R315" t="str">
        <v>[kPa]</v>
      </c>
      <c r="S315" t="str">
        <f t="shared" si="73"/>
        <v>OK</v>
      </c>
      <c r="T315" t="str">
        <f t="shared" si="67"/>
        <v>OK</v>
      </c>
      <c r="U315" t="str">
        <f t="shared" si="68"/>
        <v>OK</v>
      </c>
      <c r="V315" t="str">
        <f t="shared" si="69"/>
        <v>OK</v>
      </c>
      <c r="W315" t="str">
        <f t="shared" si="70"/>
        <v>OK</v>
      </c>
      <c r="X315" t="str">
        <f t="shared" si="71"/>
        <v>OK</v>
      </c>
      <c r="Y315" t="str">
        <f t="shared" si="72"/>
        <v>OK</v>
      </c>
      <c r="Z315">
        <v>310</v>
      </c>
      <c r="AA315">
        <v>312</v>
      </c>
      <c r="AB315" t="s">
        <v>2462</v>
      </c>
      <c r="AC315" t="s">
        <v>311</v>
      </c>
      <c r="AD315" t="s">
        <v>470</v>
      </c>
      <c r="AE315" t="s">
        <v>746</v>
      </c>
      <c r="AG315" t="s">
        <v>897</v>
      </c>
      <c r="AI315" t="s">
        <v>2594</v>
      </c>
      <c r="AJ315" t="s">
        <v>1402</v>
      </c>
      <c r="AK315" t="s">
        <v>2462</v>
      </c>
      <c r="AL315" t="s">
        <v>2463</v>
      </c>
      <c r="AN315" t="str">
        <f t="shared" si="74"/>
        <v>OK</v>
      </c>
      <c r="AO315" t="str">
        <f t="shared" si="75"/>
        <v>OK</v>
      </c>
      <c r="AP315" t="str">
        <f t="shared" si="76"/>
        <v>OK</v>
      </c>
      <c r="AR315" t="str">
        <f t="shared" si="77"/>
        <v>OK</v>
      </c>
      <c r="AS315" t="str">
        <f t="shared" si="78"/>
        <v>OK</v>
      </c>
      <c r="AT315" t="str">
        <f t="shared" si="79"/>
        <v>NOK</v>
      </c>
      <c r="AU315" t="str">
        <f t="shared" si="80"/>
        <v>OK</v>
      </c>
      <c r="AV315" t="str">
        <f t="shared" si="81"/>
        <v>OK</v>
      </c>
      <c r="AW315" t="str">
        <f t="shared" si="82"/>
        <v>OK</v>
      </c>
    </row>
    <row r="316" spans="1:49">
      <c r="A316">
        <f>Dbase_velden_versie4_2!A312</f>
        <v>312</v>
      </c>
      <c r="B316" t="str">
        <f>Dbase_velden_versie4_2!B312</f>
        <v>SD_TAYLOR_SPANNING_CV10_TRAP3</v>
      </c>
      <c r="C316" t="str">
        <f>Dbase_velden_versie4_2!C312</f>
        <v>kPa</v>
      </c>
      <c r="D316" t="str">
        <f>Dbase_velden_versie4_2!D312</f>
        <v>spanning bij cv;3</v>
      </c>
      <c r="E316" t="str">
        <f>Dbase_velden_versie4_2!E312</f>
        <v>Double</v>
      </c>
      <c r="F316">
        <f>Dbase_velden_versie4_2!F312</f>
        <v>0</v>
      </c>
      <c r="G316" t="str">
        <f>Dbase_velden_versie4_2!G312</f>
        <v>SD TAYLOR SPANNING CV10 TRAP3</v>
      </c>
      <c r="H316" t="str">
        <f>Dbase_velden_versie4_2!H312</f>
        <v>[kPa]</v>
      </c>
      <c r="I316" t="str">
        <f>Dbase_velden_versie4_2!I312</f>
        <v>SD</v>
      </c>
      <c r="J316" t="str">
        <f>Dbase_velden_versie4_2!J312</f>
        <v>Samendrukkingsproef</v>
      </c>
      <c r="K316">
        <v>312</v>
      </c>
      <c r="L316" t="str">
        <v>SD_TAYLOR_SPANNING_CV10_TRAP3</v>
      </c>
      <c r="M316" t="str">
        <v>kPa</v>
      </c>
      <c r="N316" t="str">
        <v>spanning bij cv;3</v>
      </c>
      <c r="O316" t="str">
        <v>Double</v>
      </c>
      <c r="P316">
        <v>0</v>
      </c>
      <c r="Q316" t="str">
        <v>SD TAYLOR SPANNING CV10 TRAP3</v>
      </c>
      <c r="R316" t="str">
        <v>[kPa]</v>
      </c>
      <c r="S316" t="str">
        <f t="shared" si="73"/>
        <v>OK</v>
      </c>
      <c r="T316" t="str">
        <f t="shared" si="67"/>
        <v>OK</v>
      </c>
      <c r="U316" t="str">
        <f t="shared" si="68"/>
        <v>OK</v>
      </c>
      <c r="V316" t="str">
        <f t="shared" si="69"/>
        <v>OK</v>
      </c>
      <c r="W316" t="str">
        <f t="shared" si="70"/>
        <v>OK</v>
      </c>
      <c r="X316" t="str">
        <f t="shared" si="71"/>
        <v>OK</v>
      </c>
      <c r="Y316" t="str">
        <f t="shared" si="72"/>
        <v>OK</v>
      </c>
      <c r="Z316">
        <v>311</v>
      </c>
      <c r="AA316">
        <v>313</v>
      </c>
      <c r="AB316" t="s">
        <v>2462</v>
      </c>
      <c r="AC316" t="s">
        <v>312</v>
      </c>
      <c r="AD316" t="s">
        <v>470</v>
      </c>
      <c r="AE316" t="s">
        <v>747</v>
      </c>
      <c r="AG316" t="s">
        <v>897</v>
      </c>
      <c r="AI316" t="s">
        <v>2595</v>
      </c>
      <c r="AJ316" t="s">
        <v>1402</v>
      </c>
      <c r="AK316" t="s">
        <v>2462</v>
      </c>
      <c r="AL316" t="s">
        <v>2463</v>
      </c>
      <c r="AN316" t="str">
        <f t="shared" si="74"/>
        <v>OK</v>
      </c>
      <c r="AO316" t="str">
        <f t="shared" si="75"/>
        <v>OK</v>
      </c>
      <c r="AP316" t="str">
        <f t="shared" si="76"/>
        <v>OK</v>
      </c>
      <c r="AR316" t="str">
        <f t="shared" si="77"/>
        <v>OK</v>
      </c>
      <c r="AS316" t="str">
        <f t="shared" si="78"/>
        <v>OK</v>
      </c>
      <c r="AT316" t="str">
        <f t="shared" si="79"/>
        <v>NOK</v>
      </c>
      <c r="AU316" t="str">
        <f t="shared" si="80"/>
        <v>OK</v>
      </c>
      <c r="AV316" t="str">
        <f t="shared" si="81"/>
        <v>OK</v>
      </c>
      <c r="AW316" t="str">
        <f t="shared" si="82"/>
        <v>OK</v>
      </c>
    </row>
    <row r="317" spans="1:49">
      <c r="A317">
        <f>Dbase_velden_versie4_2!A313</f>
        <v>313</v>
      </c>
      <c r="B317" t="str">
        <f>Dbase_velden_versie4_2!B313</f>
        <v>SD_TAYLOR_SPANNING_CV10_TRAP4</v>
      </c>
      <c r="C317" t="str">
        <f>Dbase_velden_versie4_2!C313</f>
        <v>kPa</v>
      </c>
      <c r="D317" t="str">
        <f>Dbase_velden_versie4_2!D313</f>
        <v>spanning bij cv;4</v>
      </c>
      <c r="E317" t="str">
        <f>Dbase_velden_versie4_2!E313</f>
        <v>Double</v>
      </c>
      <c r="F317">
        <f>Dbase_velden_versie4_2!F313</f>
        <v>0</v>
      </c>
      <c r="G317" t="str">
        <f>Dbase_velden_versie4_2!G313</f>
        <v>SD TAYLOR SPANNING CV10 TRAP4</v>
      </c>
      <c r="H317" t="str">
        <f>Dbase_velden_versie4_2!H313</f>
        <v>[kPa]</v>
      </c>
      <c r="I317" t="str">
        <f>Dbase_velden_versie4_2!I313</f>
        <v>SD</v>
      </c>
      <c r="J317" t="str">
        <f>Dbase_velden_versie4_2!J313</f>
        <v>Samendrukkingsproef</v>
      </c>
      <c r="K317">
        <v>313</v>
      </c>
      <c r="L317" t="str">
        <v>SD_TAYLOR_SPANNING_CV10_TRAP4</v>
      </c>
      <c r="M317" t="str">
        <v>kPa</v>
      </c>
      <c r="N317" t="str">
        <v>spanning bij cv;4</v>
      </c>
      <c r="O317" t="str">
        <v>Double</v>
      </c>
      <c r="P317">
        <v>0</v>
      </c>
      <c r="Q317" t="str">
        <v>SD TAYLOR SPANNING CV10 TRAP4</v>
      </c>
      <c r="R317" t="str">
        <v>[kPa]</v>
      </c>
      <c r="S317" t="str">
        <f t="shared" si="73"/>
        <v>OK</v>
      </c>
      <c r="T317" t="str">
        <f t="shared" si="67"/>
        <v>OK</v>
      </c>
      <c r="U317" t="str">
        <f t="shared" si="68"/>
        <v>OK</v>
      </c>
      <c r="V317" t="str">
        <f t="shared" si="69"/>
        <v>OK</v>
      </c>
      <c r="W317" t="str">
        <f t="shared" si="70"/>
        <v>OK</v>
      </c>
      <c r="X317" t="str">
        <f t="shared" si="71"/>
        <v>OK</v>
      </c>
      <c r="Y317" t="str">
        <f t="shared" si="72"/>
        <v>OK</v>
      </c>
      <c r="Z317">
        <v>312</v>
      </c>
      <c r="AA317">
        <v>314</v>
      </c>
      <c r="AB317" t="s">
        <v>2462</v>
      </c>
      <c r="AC317" t="s">
        <v>313</v>
      </c>
      <c r="AD317" t="s">
        <v>470</v>
      </c>
      <c r="AE317" t="s">
        <v>748</v>
      </c>
      <c r="AG317" t="s">
        <v>897</v>
      </c>
      <c r="AI317" t="s">
        <v>2596</v>
      </c>
      <c r="AJ317" t="s">
        <v>1402</v>
      </c>
      <c r="AK317" t="s">
        <v>2462</v>
      </c>
      <c r="AL317" t="s">
        <v>2463</v>
      </c>
      <c r="AN317" t="str">
        <f t="shared" si="74"/>
        <v>OK</v>
      </c>
      <c r="AO317" t="str">
        <f t="shared" si="75"/>
        <v>OK</v>
      </c>
      <c r="AP317" t="str">
        <f t="shared" si="76"/>
        <v>OK</v>
      </c>
      <c r="AR317" t="str">
        <f t="shared" si="77"/>
        <v>OK</v>
      </c>
      <c r="AS317" t="str">
        <f t="shared" si="78"/>
        <v>OK</v>
      </c>
      <c r="AT317" t="str">
        <f t="shared" si="79"/>
        <v>NOK</v>
      </c>
      <c r="AU317" t="str">
        <f t="shared" si="80"/>
        <v>OK</v>
      </c>
      <c r="AV317" t="str">
        <f t="shared" si="81"/>
        <v>OK</v>
      </c>
      <c r="AW317" t="str">
        <f t="shared" si="82"/>
        <v>OK</v>
      </c>
    </row>
    <row r="318" spans="1:49">
      <c r="A318">
        <f>Dbase_velden_versie4_2!A314</f>
        <v>314</v>
      </c>
      <c r="B318" t="str">
        <f>Dbase_velden_versie4_2!B314</f>
        <v>SD_TAYLOR_SPANNING_CV10_TRAP5</v>
      </c>
      <c r="C318" t="str">
        <f>Dbase_velden_versie4_2!C314</f>
        <v>kPa</v>
      </c>
      <c r="D318" t="str">
        <f>Dbase_velden_versie4_2!D314</f>
        <v>spanning bij cv;5</v>
      </c>
      <c r="E318" t="str">
        <f>Dbase_velden_versie4_2!E314</f>
        <v>Double</v>
      </c>
      <c r="F318">
        <f>Dbase_velden_versie4_2!F314</f>
        <v>0</v>
      </c>
      <c r="G318" t="str">
        <f>Dbase_velden_versie4_2!G314</f>
        <v>SD TAYLOR SPANNING CV10 TRAP5</v>
      </c>
      <c r="H318" t="str">
        <f>Dbase_velden_versie4_2!H314</f>
        <v>[kPa]</v>
      </c>
      <c r="I318" t="str">
        <f>Dbase_velden_versie4_2!I314</f>
        <v>SD</v>
      </c>
      <c r="J318" t="str">
        <f>Dbase_velden_versie4_2!J314</f>
        <v>Samendrukkingsproef</v>
      </c>
      <c r="K318">
        <v>314</v>
      </c>
      <c r="L318" t="str">
        <v>SD_TAYLOR_SPANNING_CV10_TRAP5</v>
      </c>
      <c r="M318" t="str">
        <v>kPa</v>
      </c>
      <c r="N318" t="str">
        <v>spanning bij cv;5</v>
      </c>
      <c r="O318" t="str">
        <v>Double</v>
      </c>
      <c r="P318">
        <v>0</v>
      </c>
      <c r="Q318" t="str">
        <v>SD TAYLOR SPANNING CV10 TRAP5</v>
      </c>
      <c r="R318" t="str">
        <v>[kPa]</v>
      </c>
      <c r="S318" t="str">
        <f t="shared" si="73"/>
        <v>OK</v>
      </c>
      <c r="T318" t="str">
        <f t="shared" si="67"/>
        <v>OK</v>
      </c>
      <c r="U318" t="str">
        <f t="shared" si="68"/>
        <v>OK</v>
      </c>
      <c r="V318" t="str">
        <f t="shared" si="69"/>
        <v>OK</v>
      </c>
      <c r="W318" t="str">
        <f t="shared" si="70"/>
        <v>OK</v>
      </c>
      <c r="X318" t="str">
        <f t="shared" si="71"/>
        <v>OK</v>
      </c>
      <c r="Y318" t="str">
        <f t="shared" si="72"/>
        <v>OK</v>
      </c>
      <c r="Z318">
        <v>313</v>
      </c>
      <c r="AA318">
        <v>315</v>
      </c>
      <c r="AB318" t="s">
        <v>2462</v>
      </c>
      <c r="AC318" t="s">
        <v>314</v>
      </c>
      <c r="AD318" t="s">
        <v>470</v>
      </c>
      <c r="AE318" t="s">
        <v>749</v>
      </c>
      <c r="AG318" t="s">
        <v>897</v>
      </c>
      <c r="AI318" t="s">
        <v>2597</v>
      </c>
      <c r="AJ318" t="s">
        <v>1402</v>
      </c>
      <c r="AK318" t="s">
        <v>2462</v>
      </c>
      <c r="AL318" t="s">
        <v>2463</v>
      </c>
      <c r="AN318" t="str">
        <f t="shared" si="74"/>
        <v>OK</v>
      </c>
      <c r="AO318" t="str">
        <f t="shared" si="75"/>
        <v>OK</v>
      </c>
      <c r="AP318" t="str">
        <f t="shared" si="76"/>
        <v>OK</v>
      </c>
      <c r="AR318" t="str">
        <f t="shared" si="77"/>
        <v>OK</v>
      </c>
      <c r="AS318" t="str">
        <f t="shared" si="78"/>
        <v>OK</v>
      </c>
      <c r="AT318" t="str">
        <f t="shared" si="79"/>
        <v>NOK</v>
      </c>
      <c r="AU318" t="str">
        <f t="shared" si="80"/>
        <v>OK</v>
      </c>
      <c r="AV318" t="str">
        <f t="shared" si="81"/>
        <v>OK</v>
      </c>
      <c r="AW318" t="str">
        <f t="shared" si="82"/>
        <v>OK</v>
      </c>
    </row>
    <row r="319" spans="1:49">
      <c r="A319">
        <f>Dbase_velden_versie4_2!A315</f>
        <v>315</v>
      </c>
      <c r="B319" t="str">
        <f>Dbase_velden_versie4_2!B315</f>
        <v>SD_TAYLOR_SPANNING_CV10_TRAP6</v>
      </c>
      <c r="C319" t="str">
        <f>Dbase_velden_versie4_2!C315</f>
        <v>kPa</v>
      </c>
      <c r="D319" t="str">
        <f>Dbase_velden_versie4_2!D315</f>
        <v>spanning bij cv;6</v>
      </c>
      <c r="E319" t="str">
        <f>Dbase_velden_versie4_2!E315</f>
        <v>Double</v>
      </c>
      <c r="F319">
        <f>Dbase_velden_versie4_2!F315</f>
        <v>0</v>
      </c>
      <c r="G319" t="str">
        <f>Dbase_velden_versie4_2!G315</f>
        <v>SD TAYLOR SPANNING CV10 TRAP6</v>
      </c>
      <c r="H319" t="str">
        <f>Dbase_velden_versie4_2!H315</f>
        <v>[kPa]</v>
      </c>
      <c r="I319" t="str">
        <f>Dbase_velden_versie4_2!I315</f>
        <v>SD</v>
      </c>
      <c r="J319" t="str">
        <f>Dbase_velden_versie4_2!J315</f>
        <v>Samendrukkingsproef</v>
      </c>
      <c r="K319">
        <v>315</v>
      </c>
      <c r="L319" t="str">
        <v>SD_TAYLOR_SPANNING_CV10_TRAP6</v>
      </c>
      <c r="M319" t="str">
        <v>kPa</v>
      </c>
      <c r="N319" t="str">
        <v>spanning bij cv;6</v>
      </c>
      <c r="O319" t="str">
        <v>Double</v>
      </c>
      <c r="P319">
        <v>0</v>
      </c>
      <c r="Q319" t="str">
        <v>SD TAYLOR SPANNING CV10 TRAP6</v>
      </c>
      <c r="R319" t="str">
        <v>[kPa]</v>
      </c>
      <c r="S319" t="str">
        <f t="shared" si="73"/>
        <v>OK</v>
      </c>
      <c r="T319" t="str">
        <f t="shared" si="67"/>
        <v>OK</v>
      </c>
      <c r="U319" t="str">
        <f t="shared" si="68"/>
        <v>OK</v>
      </c>
      <c r="V319" t="str">
        <f t="shared" si="69"/>
        <v>OK</v>
      </c>
      <c r="W319" t="str">
        <f t="shared" si="70"/>
        <v>OK</v>
      </c>
      <c r="X319" t="str">
        <f t="shared" si="71"/>
        <v>OK</v>
      </c>
      <c r="Y319" t="str">
        <f t="shared" si="72"/>
        <v>OK</v>
      </c>
      <c r="Z319">
        <v>314</v>
      </c>
      <c r="AA319">
        <v>316</v>
      </c>
      <c r="AB319" t="s">
        <v>2462</v>
      </c>
      <c r="AC319" t="s">
        <v>315</v>
      </c>
      <c r="AD319" t="s">
        <v>470</v>
      </c>
      <c r="AE319" t="s">
        <v>750</v>
      </c>
      <c r="AG319" t="s">
        <v>897</v>
      </c>
      <c r="AI319" t="s">
        <v>2598</v>
      </c>
      <c r="AJ319" t="s">
        <v>1402</v>
      </c>
      <c r="AK319" t="s">
        <v>2462</v>
      </c>
      <c r="AL319" t="s">
        <v>2463</v>
      </c>
      <c r="AN319" t="str">
        <f t="shared" si="74"/>
        <v>OK</v>
      </c>
      <c r="AO319" t="str">
        <f t="shared" si="75"/>
        <v>OK</v>
      </c>
      <c r="AP319" t="str">
        <f t="shared" si="76"/>
        <v>OK</v>
      </c>
      <c r="AR319" t="str">
        <f t="shared" si="77"/>
        <v>OK</v>
      </c>
      <c r="AS319" t="str">
        <f t="shared" si="78"/>
        <v>OK</v>
      </c>
      <c r="AT319" t="str">
        <f t="shared" si="79"/>
        <v>NOK</v>
      </c>
      <c r="AU319" t="str">
        <f t="shared" si="80"/>
        <v>OK</v>
      </c>
      <c r="AV319" t="str">
        <f t="shared" si="81"/>
        <v>OK</v>
      </c>
      <c r="AW319" t="str">
        <f t="shared" si="82"/>
        <v>OK</v>
      </c>
    </row>
    <row r="320" spans="1:49">
      <c r="A320">
        <f>Dbase_velden_versie4_2!A316</f>
        <v>316</v>
      </c>
      <c r="B320" t="str">
        <f>Dbase_velden_versie4_2!B316</f>
        <v>SD_TAYLOR_SPANNING_CV10_TRAP7</v>
      </c>
      <c r="C320" t="str">
        <f>Dbase_velden_versie4_2!C316</f>
        <v>kPa</v>
      </c>
      <c r="D320" t="str">
        <f>Dbase_velden_versie4_2!D316</f>
        <v>spanning bij cv;7</v>
      </c>
      <c r="E320" t="str">
        <f>Dbase_velden_versie4_2!E316</f>
        <v>Double</v>
      </c>
      <c r="F320">
        <f>Dbase_velden_versie4_2!F316</f>
        <v>0</v>
      </c>
      <c r="G320" t="str">
        <f>Dbase_velden_versie4_2!G316</f>
        <v>SD TAYLOR SPANNING CV10 TRAP7</v>
      </c>
      <c r="H320" t="str">
        <f>Dbase_velden_versie4_2!H316</f>
        <v>[kPa]</v>
      </c>
      <c r="I320" t="str">
        <f>Dbase_velden_versie4_2!I316</f>
        <v>SD</v>
      </c>
      <c r="J320" t="str">
        <f>Dbase_velden_versie4_2!J316</f>
        <v>Samendrukkingsproef</v>
      </c>
      <c r="K320">
        <v>316</v>
      </c>
      <c r="L320" t="str">
        <v>SD_TAYLOR_SPANNING_CV10_TRAP7</v>
      </c>
      <c r="M320" t="str">
        <v>kPa</v>
      </c>
      <c r="N320" t="str">
        <v>spanning bij cv;7</v>
      </c>
      <c r="O320" t="str">
        <v>Double</v>
      </c>
      <c r="P320">
        <v>0</v>
      </c>
      <c r="Q320" t="str">
        <v>SD TAYLOR SPANNING CV10 TRAP7</v>
      </c>
      <c r="R320" t="str">
        <v>[kPa]</v>
      </c>
      <c r="S320" t="str">
        <f t="shared" si="73"/>
        <v>OK</v>
      </c>
      <c r="T320" t="str">
        <f t="shared" si="67"/>
        <v>OK</v>
      </c>
      <c r="U320" t="str">
        <f t="shared" si="68"/>
        <v>OK</v>
      </c>
      <c r="V320" t="str">
        <f t="shared" si="69"/>
        <v>OK</v>
      </c>
      <c r="W320" t="str">
        <f t="shared" si="70"/>
        <v>OK</v>
      </c>
      <c r="X320" t="str">
        <f t="shared" si="71"/>
        <v>OK</v>
      </c>
      <c r="Y320" t="str">
        <f t="shared" si="72"/>
        <v>OK</v>
      </c>
      <c r="Z320">
        <v>315</v>
      </c>
      <c r="AA320">
        <v>317</v>
      </c>
      <c r="AB320" t="s">
        <v>2462</v>
      </c>
      <c r="AC320" t="s">
        <v>316</v>
      </c>
      <c r="AD320" t="s">
        <v>470</v>
      </c>
      <c r="AE320" t="s">
        <v>751</v>
      </c>
      <c r="AG320" t="s">
        <v>897</v>
      </c>
      <c r="AI320" t="s">
        <v>2599</v>
      </c>
      <c r="AJ320" t="s">
        <v>1402</v>
      </c>
      <c r="AK320" t="s">
        <v>2462</v>
      </c>
      <c r="AL320" t="s">
        <v>2463</v>
      </c>
      <c r="AN320" t="str">
        <f t="shared" si="74"/>
        <v>OK</v>
      </c>
      <c r="AO320" t="str">
        <f t="shared" si="75"/>
        <v>OK</v>
      </c>
      <c r="AP320" t="str">
        <f t="shared" si="76"/>
        <v>OK</v>
      </c>
      <c r="AR320" t="str">
        <f t="shared" si="77"/>
        <v>OK</v>
      </c>
      <c r="AS320" t="str">
        <f t="shared" si="78"/>
        <v>OK</v>
      </c>
      <c r="AT320" t="str">
        <f t="shared" si="79"/>
        <v>NOK</v>
      </c>
      <c r="AU320" t="str">
        <f t="shared" si="80"/>
        <v>OK</v>
      </c>
      <c r="AV320" t="str">
        <f t="shared" si="81"/>
        <v>OK</v>
      </c>
      <c r="AW320" t="str">
        <f t="shared" si="82"/>
        <v>OK</v>
      </c>
    </row>
    <row r="321" spans="1:49">
      <c r="A321">
        <f>Dbase_velden_versie4_2!A317</f>
        <v>317</v>
      </c>
      <c r="B321" t="str">
        <f>Dbase_velden_versie4_2!B317</f>
        <v>SD_TAYLOR_SPANNING_CV10_TRAP8</v>
      </c>
      <c r="C321" t="str">
        <f>Dbase_velden_versie4_2!C317</f>
        <v>kPa</v>
      </c>
      <c r="D321" t="str">
        <f>Dbase_velden_versie4_2!D317</f>
        <v>spanning bij cv;8</v>
      </c>
      <c r="E321" t="str">
        <f>Dbase_velden_versie4_2!E317</f>
        <v>Double</v>
      </c>
      <c r="F321">
        <f>Dbase_velden_versie4_2!F317</f>
        <v>0</v>
      </c>
      <c r="G321" t="str">
        <f>Dbase_velden_versie4_2!G317</f>
        <v>SD TAYLOR SPANNING CV10 TRAP8</v>
      </c>
      <c r="H321" t="str">
        <f>Dbase_velden_versie4_2!H317</f>
        <v>[kPa]</v>
      </c>
      <c r="I321" t="str">
        <f>Dbase_velden_versie4_2!I317</f>
        <v>SD</v>
      </c>
      <c r="J321" t="str">
        <f>Dbase_velden_versie4_2!J317</f>
        <v>Samendrukkingsproef</v>
      </c>
      <c r="K321">
        <v>317</v>
      </c>
      <c r="L321" t="str">
        <v>SD_TAYLOR_SPANNING_CV10_TRAP8</v>
      </c>
      <c r="M321" t="str">
        <v>kPa</v>
      </c>
      <c r="N321" t="str">
        <v>spanning bij cv;8</v>
      </c>
      <c r="O321" t="str">
        <v>Double</v>
      </c>
      <c r="P321">
        <v>0</v>
      </c>
      <c r="Q321" t="str">
        <v>SD TAYLOR SPANNING CV10 TRAP8</v>
      </c>
      <c r="R321" t="str">
        <v>[kPa]</v>
      </c>
      <c r="S321" t="str">
        <f t="shared" si="73"/>
        <v>OK</v>
      </c>
      <c r="T321" t="str">
        <f t="shared" si="67"/>
        <v>OK</v>
      </c>
      <c r="U321" t="str">
        <f t="shared" si="68"/>
        <v>OK</v>
      </c>
      <c r="V321" t="str">
        <f t="shared" si="69"/>
        <v>OK</v>
      </c>
      <c r="W321" t="str">
        <f t="shared" si="70"/>
        <v>OK</v>
      </c>
      <c r="X321" t="str">
        <f t="shared" si="71"/>
        <v>OK</v>
      </c>
      <c r="Y321" t="str">
        <f t="shared" si="72"/>
        <v>OK</v>
      </c>
      <c r="Z321">
        <v>316</v>
      </c>
      <c r="AA321">
        <v>318</v>
      </c>
      <c r="AB321" t="s">
        <v>2462</v>
      </c>
      <c r="AC321" t="s">
        <v>317</v>
      </c>
      <c r="AD321" t="s">
        <v>470</v>
      </c>
      <c r="AE321" t="s">
        <v>752</v>
      </c>
      <c r="AG321" t="s">
        <v>897</v>
      </c>
      <c r="AI321" t="s">
        <v>2600</v>
      </c>
      <c r="AJ321" t="s">
        <v>1402</v>
      </c>
      <c r="AK321" t="s">
        <v>2462</v>
      </c>
      <c r="AL321" t="s">
        <v>2463</v>
      </c>
      <c r="AN321" t="str">
        <f t="shared" si="74"/>
        <v>OK</v>
      </c>
      <c r="AO321" t="str">
        <f t="shared" si="75"/>
        <v>OK</v>
      </c>
      <c r="AP321" t="str">
        <f t="shared" si="76"/>
        <v>OK</v>
      </c>
      <c r="AR321" t="str">
        <f t="shared" si="77"/>
        <v>OK</v>
      </c>
      <c r="AS321" t="str">
        <f t="shared" si="78"/>
        <v>OK</v>
      </c>
      <c r="AT321" t="str">
        <f t="shared" si="79"/>
        <v>NOK</v>
      </c>
      <c r="AU321" t="str">
        <f t="shared" si="80"/>
        <v>OK</v>
      </c>
      <c r="AV321" t="str">
        <f t="shared" si="81"/>
        <v>OK</v>
      </c>
      <c r="AW321" t="str">
        <f t="shared" si="82"/>
        <v>OK</v>
      </c>
    </row>
    <row r="322" spans="1:49">
      <c r="A322">
        <f>Dbase_velden_versie4_2!A318</f>
        <v>318</v>
      </c>
      <c r="B322" t="str">
        <f>Dbase_velden_versie4_2!B318</f>
        <v>SD_TAYLOR_SPANNING_CV10_TRAP9</v>
      </c>
      <c r="C322" t="str">
        <f>Dbase_velden_versie4_2!C318</f>
        <v>kPa</v>
      </c>
      <c r="D322" t="str">
        <f>Dbase_velden_versie4_2!D318</f>
        <v>spanning bij cv;9</v>
      </c>
      <c r="E322" t="str">
        <f>Dbase_velden_versie4_2!E318</f>
        <v>Double</v>
      </c>
      <c r="F322">
        <f>Dbase_velden_versie4_2!F318</f>
        <v>0</v>
      </c>
      <c r="G322" t="str">
        <f>Dbase_velden_versie4_2!G318</f>
        <v>SD TAYLOR SPANNING CV10 TRAP9</v>
      </c>
      <c r="H322" t="str">
        <f>Dbase_velden_versie4_2!H318</f>
        <v>[kPa]</v>
      </c>
      <c r="I322" t="str">
        <f>Dbase_velden_versie4_2!I318</f>
        <v>SD</v>
      </c>
      <c r="J322" t="str">
        <f>Dbase_velden_versie4_2!J318</f>
        <v>Samendrukkingsproef</v>
      </c>
      <c r="K322">
        <v>318</v>
      </c>
      <c r="L322" t="str">
        <v>SD_TAYLOR_SPANNING_CV10_TRAP9</v>
      </c>
      <c r="M322" t="str">
        <v>kPa</v>
      </c>
      <c r="N322" t="str">
        <v>spanning bij cv;9</v>
      </c>
      <c r="O322" t="str">
        <v>Double</v>
      </c>
      <c r="P322">
        <v>0</v>
      </c>
      <c r="Q322" t="str">
        <v>SD TAYLOR SPANNING CV10 TRAP9</v>
      </c>
      <c r="R322" t="str">
        <v>[kPa]</v>
      </c>
      <c r="S322" t="str">
        <f t="shared" si="73"/>
        <v>OK</v>
      </c>
      <c r="T322" t="str">
        <f t="shared" si="67"/>
        <v>OK</v>
      </c>
      <c r="U322" t="str">
        <f t="shared" si="68"/>
        <v>OK</v>
      </c>
      <c r="V322" t="str">
        <f t="shared" si="69"/>
        <v>OK</v>
      </c>
      <c r="W322" t="str">
        <f t="shared" si="70"/>
        <v>OK</v>
      </c>
      <c r="X322" t="str">
        <f t="shared" si="71"/>
        <v>OK</v>
      </c>
      <c r="Y322" t="str">
        <f t="shared" si="72"/>
        <v>OK</v>
      </c>
      <c r="Z322">
        <v>317</v>
      </c>
      <c r="AA322">
        <v>319</v>
      </c>
      <c r="AB322" t="s">
        <v>2462</v>
      </c>
      <c r="AC322" t="s">
        <v>318</v>
      </c>
      <c r="AD322" t="s">
        <v>470</v>
      </c>
      <c r="AE322" t="s">
        <v>753</v>
      </c>
      <c r="AG322" t="s">
        <v>897</v>
      </c>
      <c r="AI322" t="s">
        <v>2601</v>
      </c>
      <c r="AJ322" t="s">
        <v>1402</v>
      </c>
      <c r="AK322" t="s">
        <v>2462</v>
      </c>
      <c r="AL322" t="s">
        <v>2463</v>
      </c>
      <c r="AN322" t="str">
        <f t="shared" si="74"/>
        <v>OK</v>
      </c>
      <c r="AO322" t="str">
        <f t="shared" si="75"/>
        <v>OK</v>
      </c>
      <c r="AP322" t="str">
        <f t="shared" si="76"/>
        <v>OK</v>
      </c>
      <c r="AR322" t="str">
        <f t="shared" si="77"/>
        <v>OK</v>
      </c>
      <c r="AS322" t="str">
        <f t="shared" si="78"/>
        <v>OK</v>
      </c>
      <c r="AT322" t="str">
        <f t="shared" si="79"/>
        <v>NOK</v>
      </c>
      <c r="AU322" t="str">
        <f t="shared" si="80"/>
        <v>OK</v>
      </c>
      <c r="AV322" t="str">
        <f t="shared" si="81"/>
        <v>OK</v>
      </c>
      <c r="AW322" t="str">
        <f t="shared" si="82"/>
        <v>OK</v>
      </c>
    </row>
    <row r="323" spans="1:49">
      <c r="A323">
        <f>Dbase_velden_versie4_2!A319</f>
        <v>319</v>
      </c>
      <c r="B323" t="str">
        <f>Dbase_velden_versie4_2!B319</f>
        <v>DSS_FILENAAM_PDF</v>
      </c>
      <c r="C323" t="str">
        <f>Dbase_velden_versie4_2!C319</f>
        <v>-</v>
      </c>
      <c r="D323" t="str">
        <f>Dbase_velden_versie4_2!D319</f>
        <v>Bestandnaam van de pdf waarin de DSS-proef is gerapporteerd</v>
      </c>
      <c r="E323" t="str">
        <f>Dbase_velden_versie4_2!E319</f>
        <v>String</v>
      </c>
      <c r="F323">
        <f>Dbase_velden_versie4_2!F319</f>
        <v>0</v>
      </c>
      <c r="G323" t="str">
        <f>Dbase_velden_versie4_2!G319</f>
        <v>DSS FILENAAM PDF</v>
      </c>
      <c r="H323" t="str">
        <f>Dbase_velden_versie4_2!H319</f>
        <v>[-]</v>
      </c>
      <c r="I323" t="str">
        <f>Dbase_velden_versie4_2!I319</f>
        <v>DSS</v>
      </c>
      <c r="J323" t="str">
        <f>Dbase_velden_versie4_2!J319</f>
        <v>DSS proef</v>
      </c>
      <c r="K323">
        <v>319</v>
      </c>
      <c r="L323" t="str">
        <v>DSS_FILENAAM_PDF</v>
      </c>
      <c r="M323" t="str">
        <v>-</v>
      </c>
      <c r="N323" t="str">
        <v>Bestandnaam van de pdf waarin de DSS-proef is gerapporteerd</v>
      </c>
      <c r="O323" t="str">
        <v>String</v>
      </c>
      <c r="P323">
        <v>0</v>
      </c>
      <c r="Q323" t="str">
        <v>DSS FILENAAM PDF</v>
      </c>
      <c r="R323" t="str">
        <v>[-]</v>
      </c>
      <c r="S323" t="str">
        <f t="shared" si="73"/>
        <v>OK</v>
      </c>
      <c r="T323" t="str">
        <f t="shared" si="67"/>
        <v>OK</v>
      </c>
      <c r="U323" t="str">
        <f t="shared" si="68"/>
        <v>OK</v>
      </c>
      <c r="V323" t="str">
        <f t="shared" si="69"/>
        <v>OK</v>
      </c>
      <c r="W323" t="str">
        <f t="shared" si="70"/>
        <v>OK</v>
      </c>
      <c r="X323" t="str">
        <f t="shared" si="71"/>
        <v>OK</v>
      </c>
      <c r="Y323" t="str">
        <f t="shared" si="72"/>
        <v>OK</v>
      </c>
      <c r="Z323">
        <v>318</v>
      </c>
      <c r="AA323">
        <v>320</v>
      </c>
      <c r="AB323" t="s">
        <v>2602</v>
      </c>
      <c r="AC323" t="s">
        <v>319</v>
      </c>
      <c r="AD323" t="s">
        <v>463</v>
      </c>
      <c r="AE323" t="s">
        <v>778</v>
      </c>
      <c r="AG323" t="s">
        <v>896</v>
      </c>
      <c r="AI323" t="s">
        <v>2328</v>
      </c>
      <c r="AJ323" t="s">
        <v>1395</v>
      </c>
      <c r="AK323" t="s">
        <v>2602</v>
      </c>
      <c r="AL323" t="s">
        <v>2603</v>
      </c>
      <c r="AN323" t="str">
        <f t="shared" si="74"/>
        <v>OK</v>
      </c>
      <c r="AO323" t="str">
        <f t="shared" si="75"/>
        <v>OK</v>
      </c>
      <c r="AP323" t="str">
        <f t="shared" si="76"/>
        <v>OK</v>
      </c>
      <c r="AR323" t="str">
        <f t="shared" si="77"/>
        <v>OK</v>
      </c>
      <c r="AS323" t="str">
        <f t="shared" si="78"/>
        <v>OK</v>
      </c>
      <c r="AT323" t="str">
        <f t="shared" si="79"/>
        <v>NOK</v>
      </c>
      <c r="AU323" t="str">
        <f t="shared" si="80"/>
        <v>OK</v>
      </c>
      <c r="AV323" t="str">
        <f t="shared" si="81"/>
        <v>OK</v>
      </c>
      <c r="AW323" t="str">
        <f t="shared" si="82"/>
        <v>OK</v>
      </c>
    </row>
    <row r="324" spans="1:49">
      <c r="A324">
        <f>Dbase_velden_versie4_2!A320</f>
        <v>320</v>
      </c>
      <c r="B324" t="str">
        <f>Dbase_velden_versie4_2!B320</f>
        <v>DSS_FILENAAM_SPANNINGSPAD</v>
      </c>
      <c r="C324" t="str">
        <f>Dbase_velden_versie4_2!C320</f>
        <v>-</v>
      </c>
      <c r="D324" t="str">
        <f>Dbase_velden_versie4_2!D320</f>
        <v>Bestandsnaam van de file waarin het spanningspad conform het STOWA-format is opgenomen</v>
      </c>
      <c r="E324" t="str">
        <f>Dbase_velden_versie4_2!E320</f>
        <v>String</v>
      </c>
      <c r="F324">
        <f>Dbase_velden_versie4_2!F320</f>
        <v>0</v>
      </c>
      <c r="G324" t="str">
        <f>Dbase_velden_versie4_2!G320</f>
        <v>DSS FILENAAM SPANNINGSPAD</v>
      </c>
      <c r="H324" t="str">
        <f>Dbase_velden_versie4_2!H320</f>
        <v>[-]</v>
      </c>
      <c r="I324" t="str">
        <f>Dbase_velden_versie4_2!I320</f>
        <v>DSS</v>
      </c>
      <c r="J324" t="str">
        <f>Dbase_velden_versie4_2!J320</f>
        <v>DSS proef</v>
      </c>
      <c r="K324">
        <v>320</v>
      </c>
      <c r="L324" t="str">
        <v>DSS_FILENAAM_SPANNINGSPAD</v>
      </c>
      <c r="M324" t="str">
        <v>-</v>
      </c>
      <c r="N324" t="str">
        <v>Bestandsnaam van de file waarin het spanningspad conform het STOWA-format is opgenomen</v>
      </c>
      <c r="O324" t="str">
        <v>String</v>
      </c>
      <c r="P324">
        <v>0</v>
      </c>
      <c r="Q324" t="str">
        <v>DSS FILENAAM SPANNINGSPAD</v>
      </c>
      <c r="R324" t="str">
        <v>[-]</v>
      </c>
      <c r="S324" t="str">
        <f t="shared" si="73"/>
        <v>OK</v>
      </c>
      <c r="T324" t="str">
        <f t="shared" si="67"/>
        <v>OK</v>
      </c>
      <c r="U324" t="str">
        <f t="shared" si="68"/>
        <v>OK</v>
      </c>
      <c r="V324" t="str">
        <f t="shared" si="69"/>
        <v>OK</v>
      </c>
      <c r="W324" t="str">
        <f t="shared" si="70"/>
        <v>OK</v>
      </c>
      <c r="X324" t="str">
        <f t="shared" si="71"/>
        <v>OK</v>
      </c>
      <c r="Y324" t="str">
        <f t="shared" si="72"/>
        <v>OK</v>
      </c>
      <c r="Z324">
        <v>319</v>
      </c>
      <c r="AA324">
        <v>321</v>
      </c>
      <c r="AB324" t="s">
        <v>2602</v>
      </c>
      <c r="AC324" t="s">
        <v>320</v>
      </c>
      <c r="AD324" t="s">
        <v>463</v>
      </c>
      <c r="AE324" t="s">
        <v>612</v>
      </c>
      <c r="AG324" t="s">
        <v>896</v>
      </c>
      <c r="AI324" t="s">
        <v>2434</v>
      </c>
      <c r="AJ324" t="s">
        <v>1395</v>
      </c>
      <c r="AK324" t="s">
        <v>2602</v>
      </c>
      <c r="AL324" t="s">
        <v>2603</v>
      </c>
      <c r="AN324" t="str">
        <f t="shared" si="74"/>
        <v>OK</v>
      </c>
      <c r="AO324" t="str">
        <f t="shared" si="75"/>
        <v>OK</v>
      </c>
      <c r="AP324" t="str">
        <f t="shared" si="76"/>
        <v>OK</v>
      </c>
      <c r="AR324" t="str">
        <f t="shared" si="77"/>
        <v>OK</v>
      </c>
      <c r="AS324" t="str">
        <f t="shared" si="78"/>
        <v>OK</v>
      </c>
      <c r="AT324" t="str">
        <f t="shared" si="79"/>
        <v>NOK</v>
      </c>
      <c r="AU324" t="str">
        <f t="shared" si="80"/>
        <v>OK</v>
      </c>
      <c r="AV324" t="str">
        <f t="shared" si="81"/>
        <v>OK</v>
      </c>
      <c r="AW324" t="str">
        <f t="shared" si="82"/>
        <v>OK</v>
      </c>
    </row>
    <row r="325" spans="1:49">
      <c r="A325">
        <f>Dbase_velden_versie4_2!A321</f>
        <v>321</v>
      </c>
      <c r="B325" t="str">
        <f>Dbase_velden_versie4_2!B321</f>
        <v>DSS_MONSTERID</v>
      </c>
      <c r="C325" t="str">
        <f>Dbase_velden_versie4_2!C321</f>
        <v>-</v>
      </c>
      <c r="D325" t="str">
        <f>Dbase_velden_versie4_2!D321</f>
        <v>Monsternummering van de Direct Simple Shear-proef</v>
      </c>
      <c r="E325" t="str">
        <f>Dbase_velden_versie4_2!E321</f>
        <v>String</v>
      </c>
      <c r="F325">
        <f>Dbase_velden_versie4_2!F321</f>
        <v>0</v>
      </c>
      <c r="G325" t="str">
        <f>Dbase_velden_versie4_2!G321</f>
        <v>DSS MONSTERID</v>
      </c>
      <c r="H325" t="str">
        <f>Dbase_velden_versie4_2!H321</f>
        <v>[-]</v>
      </c>
      <c r="I325" t="str">
        <f>Dbase_velden_versie4_2!I321</f>
        <v>DSS</v>
      </c>
      <c r="J325" t="str">
        <f>Dbase_velden_versie4_2!J321</f>
        <v>DSS proef</v>
      </c>
      <c r="K325">
        <v>321</v>
      </c>
      <c r="L325" t="str">
        <v>DSS_MONSTERID</v>
      </c>
      <c r="M325" t="str">
        <v>-</v>
      </c>
      <c r="N325" t="str">
        <v>Monsternummering van de Direct Simple Shear-proef</v>
      </c>
      <c r="O325" t="str">
        <v>String</v>
      </c>
      <c r="P325">
        <v>0</v>
      </c>
      <c r="Q325" t="str">
        <v>DSS MONSTERID</v>
      </c>
      <c r="R325" t="str">
        <v>[-]</v>
      </c>
      <c r="S325" t="str">
        <f t="shared" si="73"/>
        <v>OK</v>
      </c>
      <c r="T325" t="str">
        <f t="shared" si="67"/>
        <v>OK</v>
      </c>
      <c r="U325" t="str">
        <f t="shared" si="68"/>
        <v>OK</v>
      </c>
      <c r="V325" t="str">
        <f t="shared" si="69"/>
        <v>OK</v>
      </c>
      <c r="W325" t="str">
        <f t="shared" si="70"/>
        <v>OK</v>
      </c>
      <c r="X325" t="str">
        <f t="shared" si="71"/>
        <v>OK</v>
      </c>
      <c r="Y325" t="str">
        <f t="shared" si="72"/>
        <v>OK</v>
      </c>
      <c r="Z325">
        <v>320</v>
      </c>
      <c r="AA325">
        <v>322</v>
      </c>
      <c r="AB325" t="s">
        <v>2602</v>
      </c>
      <c r="AC325" t="s">
        <v>321</v>
      </c>
      <c r="AD325" t="s">
        <v>463</v>
      </c>
      <c r="AE325" t="s">
        <v>779</v>
      </c>
      <c r="AG325" t="s">
        <v>896</v>
      </c>
      <c r="AI325" t="s">
        <v>2348</v>
      </c>
      <c r="AJ325" t="s">
        <v>1395</v>
      </c>
      <c r="AK325" t="s">
        <v>2602</v>
      </c>
      <c r="AL325" t="s">
        <v>2603</v>
      </c>
      <c r="AN325" t="str">
        <f t="shared" si="74"/>
        <v>OK</v>
      </c>
      <c r="AO325" t="str">
        <f t="shared" si="75"/>
        <v>OK</v>
      </c>
      <c r="AP325" t="str">
        <f t="shared" si="76"/>
        <v>OK</v>
      </c>
      <c r="AR325" t="str">
        <f t="shared" si="77"/>
        <v>OK</v>
      </c>
      <c r="AS325" t="str">
        <f t="shared" si="78"/>
        <v>OK</v>
      </c>
      <c r="AT325" t="str">
        <f t="shared" si="79"/>
        <v>NOK</v>
      </c>
      <c r="AU325" t="str">
        <f t="shared" si="80"/>
        <v>OK</v>
      </c>
      <c r="AV325" t="str">
        <f t="shared" si="81"/>
        <v>OK</v>
      </c>
      <c r="AW325" t="str">
        <f t="shared" si="82"/>
        <v>OK</v>
      </c>
    </row>
    <row r="326" spans="1:49">
      <c r="A326">
        <f>Dbase_velden_versie4_2!A322</f>
        <v>322</v>
      </c>
      <c r="B326" t="str">
        <f>Dbase_velden_versie4_2!B322</f>
        <v>DSS_LABORATORIUM</v>
      </c>
      <c r="C326" t="str">
        <f>Dbase_velden_versie4_2!C322</f>
        <v>-</v>
      </c>
      <c r="D326" t="str">
        <f>Dbase_velden_versie4_2!D322</f>
        <v>Laboratorium waar de Direct Simple Shear-proef is uitgevoerd</v>
      </c>
      <c r="E326" t="str">
        <f>Dbase_velden_versie4_2!E322</f>
        <v>String</v>
      </c>
      <c r="F326">
        <f>Dbase_velden_versie4_2!F322</f>
        <v>0</v>
      </c>
      <c r="G326" t="str">
        <f>Dbase_velden_versie4_2!G322</f>
        <v>DSS LABORATORIUM</v>
      </c>
      <c r="H326" t="str">
        <f>Dbase_velden_versie4_2!H322</f>
        <v>[-]</v>
      </c>
      <c r="I326" t="str">
        <f>Dbase_velden_versie4_2!I322</f>
        <v>DSS</v>
      </c>
      <c r="J326" t="str">
        <f>Dbase_velden_versie4_2!J322</f>
        <v>DSS proef</v>
      </c>
      <c r="K326">
        <v>322</v>
      </c>
      <c r="L326" t="str">
        <v>DSS_LABORATORIUM</v>
      </c>
      <c r="M326" t="str">
        <v>-</v>
      </c>
      <c r="N326" t="str">
        <v>Laboratorium waar de Direct Simple Shear-proef is uitgevoerd</v>
      </c>
      <c r="O326" t="str">
        <v>String</v>
      </c>
      <c r="P326">
        <v>0</v>
      </c>
      <c r="Q326" t="str">
        <v>DSS LABORATORIUM</v>
      </c>
      <c r="R326" t="str">
        <v>[-]</v>
      </c>
      <c r="S326" t="str">
        <f t="shared" si="73"/>
        <v>OK</v>
      </c>
      <c r="T326" t="str">
        <f t="shared" ref="T326:T389" si="83">IF(B326=L326,"OK","NOK")</f>
        <v>OK</v>
      </c>
      <c r="U326" t="str">
        <f t="shared" ref="U326:U389" si="84">IF(C326=M326,"OK","NOK")</f>
        <v>OK</v>
      </c>
      <c r="V326" t="str">
        <f t="shared" ref="V326:V389" si="85">IF(D326=N326,"OK","NOK")</f>
        <v>OK</v>
      </c>
      <c r="W326" t="str">
        <f t="shared" ref="W326:W389" si="86">IF(E326=O326,"OK","NOK")</f>
        <v>OK</v>
      </c>
      <c r="X326" t="str">
        <f t="shared" ref="X326:X389" si="87">IF(F326=P326,"OK","NOK")</f>
        <v>OK</v>
      </c>
      <c r="Y326" t="str">
        <f t="shared" ref="Y326:Y389" si="88">IF(G326=Q326,"OK","NOK")</f>
        <v>OK</v>
      </c>
      <c r="Z326">
        <v>321</v>
      </c>
      <c r="AA326">
        <v>323</v>
      </c>
      <c r="AB326" t="s">
        <v>2602</v>
      </c>
      <c r="AC326" t="s">
        <v>322</v>
      </c>
      <c r="AD326" t="s">
        <v>463</v>
      </c>
      <c r="AE326" t="s">
        <v>780</v>
      </c>
      <c r="AG326" t="s">
        <v>896</v>
      </c>
      <c r="AI326" t="s">
        <v>2391</v>
      </c>
      <c r="AJ326" t="s">
        <v>1395</v>
      </c>
      <c r="AK326" t="s">
        <v>2602</v>
      </c>
      <c r="AL326" t="s">
        <v>2603</v>
      </c>
      <c r="AN326" t="str">
        <f t="shared" si="74"/>
        <v>OK</v>
      </c>
      <c r="AO326" t="str">
        <f t="shared" si="75"/>
        <v>OK</v>
      </c>
      <c r="AP326" t="str">
        <f t="shared" si="76"/>
        <v>OK</v>
      </c>
      <c r="AR326" t="str">
        <f t="shared" si="77"/>
        <v>OK</v>
      </c>
      <c r="AS326" t="str">
        <f t="shared" si="78"/>
        <v>OK</v>
      </c>
      <c r="AT326" t="str">
        <f t="shared" si="79"/>
        <v>NOK</v>
      </c>
      <c r="AU326" t="str">
        <f t="shared" si="80"/>
        <v>OK</v>
      </c>
      <c r="AV326" t="str">
        <f t="shared" si="81"/>
        <v>OK</v>
      </c>
      <c r="AW326" t="str">
        <f t="shared" si="82"/>
        <v>OK</v>
      </c>
    </row>
    <row r="327" spans="1:49">
      <c r="A327">
        <f>Dbase_velden_versie4_2!A323</f>
        <v>323</v>
      </c>
      <c r="B327" t="str">
        <f>Dbase_velden_versie4_2!B323</f>
        <v>DSS_NORM</v>
      </c>
      <c r="C327" t="str">
        <f>Dbase_velden_versie4_2!C323</f>
        <v>-</v>
      </c>
      <c r="D327" t="str">
        <f>Dbase_velden_versie4_2!D323</f>
        <v>Bij de uitvoering van de DSS-proef aangehouden normen</v>
      </c>
      <c r="E327" t="str">
        <f>Dbase_velden_versie4_2!E323</f>
        <v>String</v>
      </c>
      <c r="F327">
        <f>Dbase_velden_versie4_2!F323</f>
        <v>0</v>
      </c>
      <c r="G327" t="str">
        <f>Dbase_velden_versie4_2!G323</f>
        <v>DSS NORM</v>
      </c>
      <c r="H327" t="str">
        <f>Dbase_velden_versie4_2!H323</f>
        <v>[-]</v>
      </c>
      <c r="I327" t="str">
        <f>Dbase_velden_versie4_2!I323</f>
        <v>DSS</v>
      </c>
      <c r="J327" t="str">
        <f>Dbase_velden_versie4_2!J323</f>
        <v>DSS proef</v>
      </c>
      <c r="K327">
        <v>323</v>
      </c>
      <c r="L327" t="str">
        <v>DSS_NORM</v>
      </c>
      <c r="M327" t="str">
        <v>-</v>
      </c>
      <c r="N327" t="str">
        <v>Bij de uitvoering van de DSS-proef aangehouden normen</v>
      </c>
      <c r="O327" t="str">
        <v>String</v>
      </c>
      <c r="P327">
        <v>0</v>
      </c>
      <c r="Q327" t="str">
        <v>DSS NORM</v>
      </c>
      <c r="R327" t="str">
        <v>[-]</v>
      </c>
      <c r="S327" t="str">
        <f t="shared" ref="S327:S390" si="89">IF(A327=K327,"OK","NOK")</f>
        <v>OK</v>
      </c>
      <c r="T327" t="str">
        <f t="shared" si="83"/>
        <v>OK</v>
      </c>
      <c r="U327" t="str">
        <f t="shared" si="84"/>
        <v>OK</v>
      </c>
      <c r="V327" t="str">
        <f t="shared" si="85"/>
        <v>OK</v>
      </c>
      <c r="W327" t="str">
        <f t="shared" si="86"/>
        <v>OK</v>
      </c>
      <c r="X327" t="str">
        <f t="shared" si="87"/>
        <v>OK</v>
      </c>
      <c r="Y327" t="str">
        <f t="shared" si="88"/>
        <v>OK</v>
      </c>
      <c r="Z327">
        <v>322</v>
      </c>
      <c r="AA327">
        <v>324</v>
      </c>
      <c r="AB327" t="s">
        <v>2602</v>
      </c>
      <c r="AC327" t="s">
        <v>323</v>
      </c>
      <c r="AD327" t="s">
        <v>463</v>
      </c>
      <c r="AE327" t="s">
        <v>781</v>
      </c>
      <c r="AG327" t="s">
        <v>896</v>
      </c>
      <c r="AI327" t="s">
        <v>2435</v>
      </c>
      <c r="AJ327" t="s">
        <v>1395</v>
      </c>
      <c r="AK327" t="s">
        <v>2602</v>
      </c>
      <c r="AL327" t="s">
        <v>2603</v>
      </c>
      <c r="AN327" t="str">
        <f t="shared" ref="AN327:AN390" si="90">IF(B327=AC327,"OK","NOK")</f>
        <v>OK</v>
      </c>
      <c r="AO327" t="str">
        <f t="shared" ref="AO327:AO390" si="91">IF(C327=AD327,"OK","NOK")</f>
        <v>OK</v>
      </c>
      <c r="AP327" t="str">
        <f t="shared" ref="AP327:AP390" si="92">IF(D327=AE327,"OK","NOK")</f>
        <v>OK</v>
      </c>
      <c r="AR327" t="str">
        <f t="shared" ref="AR327:AR390" si="93">IF(E327=AG327,"OK","NOK")</f>
        <v>OK</v>
      </c>
      <c r="AS327" t="str">
        <f t="shared" ref="AS327:AS390" si="94">IF(F327=AH327,"OK","NOK")</f>
        <v>OK</v>
      </c>
      <c r="AT327" t="str">
        <f t="shared" ref="AT327:AT390" si="95">IF(G327=AI327,"OK","NOK")</f>
        <v>NOK</v>
      </c>
      <c r="AU327" t="str">
        <f t="shared" ref="AU327:AU390" si="96">IF(H327=AJ327,"OK","NOK")</f>
        <v>OK</v>
      </c>
      <c r="AV327" t="str">
        <f t="shared" ref="AV327:AV390" si="97">IF(I327=AK327,"OK","NOK")</f>
        <v>OK</v>
      </c>
      <c r="AW327" t="str">
        <f t="shared" ref="AW327:AW390" si="98">IF(J327=AL327,"OK","NOK")</f>
        <v>OK</v>
      </c>
    </row>
    <row r="328" spans="1:49">
      <c r="A328">
        <f>Dbase_velden_versie4_2!A324</f>
        <v>324</v>
      </c>
      <c r="B328" t="str">
        <f>Dbase_velden_versie4_2!B324</f>
        <v>DSS_DATUM</v>
      </c>
      <c r="C328" t="str">
        <f>Dbase_velden_versie4_2!C324</f>
        <v>DD-MM-JJJJ</v>
      </c>
      <c r="D328" t="str">
        <f>Dbase_velden_versie4_2!D324</f>
        <v>Datum waarop de DSS-proef is uitgevoerd</v>
      </c>
      <c r="E328" t="str">
        <f>Dbase_velden_versie4_2!E324</f>
        <v>Date</v>
      </c>
      <c r="F328">
        <f>Dbase_velden_versie4_2!F324</f>
        <v>0</v>
      </c>
      <c r="G328" t="str">
        <f>Dbase_velden_versie4_2!G324</f>
        <v>DSS DATUM</v>
      </c>
      <c r="H328" t="str">
        <f>Dbase_velden_versie4_2!H324</f>
        <v>[DD-MM-JJJJ]</v>
      </c>
      <c r="I328" t="str">
        <f>Dbase_velden_versie4_2!I324</f>
        <v>DSS</v>
      </c>
      <c r="J328" t="str">
        <f>Dbase_velden_versie4_2!J324</f>
        <v>DSS proef</v>
      </c>
      <c r="K328">
        <v>324</v>
      </c>
      <c r="L328" t="str">
        <v>DSS_DATUM</v>
      </c>
      <c r="M328" t="str">
        <v>DD-MM-JJJJ</v>
      </c>
      <c r="N328" t="str">
        <v>Datum waarop de DSS-proef is uitgevoerd</v>
      </c>
      <c r="O328" t="str">
        <v>Date</v>
      </c>
      <c r="P328">
        <v>0</v>
      </c>
      <c r="Q328" t="str">
        <v>DSS DATUM</v>
      </c>
      <c r="R328" t="str">
        <v>[DD-MM-JJJJ]</v>
      </c>
      <c r="S328" t="str">
        <f t="shared" si="89"/>
        <v>OK</v>
      </c>
      <c r="T328" t="str">
        <f t="shared" si="83"/>
        <v>OK</v>
      </c>
      <c r="U328" t="str">
        <f t="shared" si="84"/>
        <v>OK</v>
      </c>
      <c r="V328" t="str">
        <f t="shared" si="85"/>
        <v>OK</v>
      </c>
      <c r="W328" t="str">
        <f t="shared" si="86"/>
        <v>OK</v>
      </c>
      <c r="X328" t="str">
        <f t="shared" si="87"/>
        <v>OK</v>
      </c>
      <c r="Y328" t="str">
        <f t="shared" si="88"/>
        <v>OK</v>
      </c>
      <c r="Z328">
        <v>323</v>
      </c>
      <c r="AA328">
        <v>325</v>
      </c>
      <c r="AB328" t="s">
        <v>2602</v>
      </c>
      <c r="AC328" t="s">
        <v>324</v>
      </c>
      <c r="AD328" t="s">
        <v>466</v>
      </c>
      <c r="AE328" t="s">
        <v>782</v>
      </c>
      <c r="AG328" t="s">
        <v>898</v>
      </c>
      <c r="AI328" t="s">
        <v>2327</v>
      </c>
      <c r="AJ328" t="s">
        <v>1398</v>
      </c>
      <c r="AK328" t="s">
        <v>2602</v>
      </c>
      <c r="AL328" t="s">
        <v>2603</v>
      </c>
      <c r="AN328" t="str">
        <f t="shared" si="90"/>
        <v>OK</v>
      </c>
      <c r="AO328" t="str">
        <f t="shared" si="91"/>
        <v>OK</v>
      </c>
      <c r="AP328" t="str">
        <f t="shared" si="92"/>
        <v>OK</v>
      </c>
      <c r="AR328" t="str">
        <f t="shared" si="93"/>
        <v>OK</v>
      </c>
      <c r="AS328" t="str">
        <f t="shared" si="94"/>
        <v>OK</v>
      </c>
      <c r="AT328" t="str">
        <f t="shared" si="95"/>
        <v>NOK</v>
      </c>
      <c r="AU328" t="str">
        <f t="shared" si="96"/>
        <v>OK</v>
      </c>
      <c r="AV328" t="str">
        <f t="shared" si="97"/>
        <v>OK</v>
      </c>
      <c r="AW328" t="str">
        <f t="shared" si="98"/>
        <v>OK</v>
      </c>
    </row>
    <row r="329" spans="1:49">
      <c r="A329">
        <f>Dbase_velden_versie4_2!A325</f>
        <v>325</v>
      </c>
      <c r="B329" t="str">
        <f>Dbase_velden_versie4_2!B325</f>
        <v>DSS_CLASSIFICATIE</v>
      </c>
      <c r="C329" t="str">
        <f>Dbase_velden_versie4_2!C325</f>
        <v>-</v>
      </c>
      <c r="D329" t="str">
        <f>Dbase_velden_versie4_2!D325</f>
        <v>Classificatie van de grond conform de gehanteerde norm</v>
      </c>
      <c r="E329" t="str">
        <f>Dbase_velden_versie4_2!E325</f>
        <v>String</v>
      </c>
      <c r="F329">
        <f>Dbase_velden_versie4_2!F325</f>
        <v>0</v>
      </c>
      <c r="G329" t="str">
        <f>Dbase_velden_versie4_2!G325</f>
        <v>DSS CLASSIFICATIE</v>
      </c>
      <c r="H329" t="str">
        <f>Dbase_velden_versie4_2!H325</f>
        <v>[-]</v>
      </c>
      <c r="I329" t="str">
        <f>Dbase_velden_versie4_2!I325</f>
        <v>DSS</v>
      </c>
      <c r="J329" t="str">
        <f>Dbase_velden_versie4_2!J325</f>
        <v>DSS proef</v>
      </c>
      <c r="K329">
        <v>325</v>
      </c>
      <c r="L329" t="str">
        <v>DSS_GRONDSOORT</v>
      </c>
      <c r="M329" t="str">
        <v>-</v>
      </c>
      <c r="N329" t="str">
        <v>Classificatie van de grond conform de gehanteerde norm</v>
      </c>
      <c r="O329" t="str">
        <v>String</v>
      </c>
      <c r="P329">
        <v>0</v>
      </c>
      <c r="Q329" t="str">
        <v>DSS CLASSIFICATIE</v>
      </c>
      <c r="R329" t="str">
        <v>[-]</v>
      </c>
      <c r="S329" t="str">
        <f t="shared" si="89"/>
        <v>OK</v>
      </c>
      <c r="T329" t="str">
        <f t="shared" si="83"/>
        <v>NOK</v>
      </c>
      <c r="U329" t="str">
        <f t="shared" si="84"/>
        <v>OK</v>
      </c>
      <c r="V329" t="str">
        <f t="shared" si="85"/>
        <v>OK</v>
      </c>
      <c r="W329" t="str">
        <f t="shared" si="86"/>
        <v>OK</v>
      </c>
      <c r="X329" t="str">
        <f t="shared" si="87"/>
        <v>OK</v>
      </c>
      <c r="Y329" t="str">
        <f t="shared" si="88"/>
        <v>OK</v>
      </c>
      <c r="Z329">
        <v>324</v>
      </c>
      <c r="AA329">
        <v>326</v>
      </c>
      <c r="AB329" t="s">
        <v>2602</v>
      </c>
      <c r="AC329" t="s">
        <v>2604</v>
      </c>
      <c r="AD329" t="s">
        <v>463</v>
      </c>
      <c r="AE329" t="s">
        <v>2353</v>
      </c>
      <c r="AG329" t="s">
        <v>896</v>
      </c>
      <c r="AH329" t="s">
        <v>2354</v>
      </c>
      <c r="AI329" t="s">
        <v>2355</v>
      </c>
      <c r="AJ329" t="s">
        <v>1395</v>
      </c>
      <c r="AK329" t="s">
        <v>2602</v>
      </c>
      <c r="AL329" t="s">
        <v>2603</v>
      </c>
      <c r="AN329" t="str">
        <f t="shared" si="90"/>
        <v>NOK</v>
      </c>
      <c r="AO329" t="str">
        <f t="shared" si="91"/>
        <v>OK</v>
      </c>
      <c r="AP329" t="str">
        <f t="shared" si="92"/>
        <v>NOK</v>
      </c>
      <c r="AR329" t="str">
        <f t="shared" si="93"/>
        <v>OK</v>
      </c>
      <c r="AS329" t="str">
        <f t="shared" si="94"/>
        <v>NOK</v>
      </c>
      <c r="AT329" t="str">
        <f t="shared" si="95"/>
        <v>NOK</v>
      </c>
      <c r="AU329" t="str">
        <f t="shared" si="96"/>
        <v>OK</v>
      </c>
      <c r="AV329" t="str">
        <f t="shared" si="97"/>
        <v>OK</v>
      </c>
      <c r="AW329" t="str">
        <f t="shared" si="98"/>
        <v>OK</v>
      </c>
    </row>
    <row r="330" spans="1:49">
      <c r="A330">
        <f>Dbase_velden_versie4_2!A326</f>
        <v>326</v>
      </c>
      <c r="B330" t="str">
        <f>Dbase_velden_versie4_2!B326</f>
        <v>DSS_CLASSIFICATIE_BIJMENGING</v>
      </c>
      <c r="C330" t="str">
        <f>Dbase_velden_versie4_2!C326</f>
        <v>-</v>
      </c>
      <c r="D330" t="str">
        <f>Dbase_velden_versie4_2!D326</f>
        <v>Beschrijving van de bijzondere bestanddelen of secundaire of tertiaire fracties</v>
      </c>
      <c r="E330" t="str">
        <f>Dbase_velden_versie4_2!E326</f>
        <v>String</v>
      </c>
      <c r="F330">
        <f>Dbase_velden_versie4_2!F326</f>
        <v>0</v>
      </c>
      <c r="G330" t="str">
        <f>Dbase_velden_versie4_2!G326</f>
        <v>DSS CLASSIFICATIE BIJMENGING</v>
      </c>
      <c r="H330" t="str">
        <f>Dbase_velden_versie4_2!H326</f>
        <v>[-]</v>
      </c>
      <c r="I330" t="str">
        <f>Dbase_velden_versie4_2!I326</f>
        <v>DSS</v>
      </c>
      <c r="J330" t="str">
        <f>Dbase_velden_versie4_2!J326</f>
        <v>DSS proef</v>
      </c>
      <c r="K330">
        <v>326</v>
      </c>
      <c r="L330" t="str">
        <v>DSS_OVERIGE_BESTANDDELEN</v>
      </c>
      <c r="M330" t="str">
        <v>-</v>
      </c>
      <c r="N330" t="str">
        <v>Beschrijving van de bijzondere bestanddelen of secundaire of tertiaire fracties</v>
      </c>
      <c r="O330" t="str">
        <v>String</v>
      </c>
      <c r="P330">
        <v>0</v>
      </c>
      <c r="Q330" t="str">
        <v>DSS OVERIGE BESTANDDELEN</v>
      </c>
      <c r="R330" t="str">
        <v>[-]</v>
      </c>
      <c r="S330" t="str">
        <f t="shared" si="89"/>
        <v>OK</v>
      </c>
      <c r="T330" t="str">
        <f t="shared" si="83"/>
        <v>NOK</v>
      </c>
      <c r="U330" t="str">
        <f t="shared" si="84"/>
        <v>OK</v>
      </c>
      <c r="V330" t="str">
        <f t="shared" si="85"/>
        <v>OK</v>
      </c>
      <c r="W330" t="str">
        <f t="shared" si="86"/>
        <v>OK</v>
      </c>
      <c r="X330" t="str">
        <f t="shared" si="87"/>
        <v>OK</v>
      </c>
      <c r="Y330" t="str">
        <f t="shared" si="88"/>
        <v>NOK</v>
      </c>
      <c r="Z330">
        <v>325</v>
      </c>
      <c r="AA330">
        <v>327</v>
      </c>
      <c r="AB330" t="s">
        <v>2602</v>
      </c>
      <c r="AC330" t="s">
        <v>2605</v>
      </c>
      <c r="AD330" t="s">
        <v>463</v>
      </c>
      <c r="AE330" t="s">
        <v>2394</v>
      </c>
      <c r="AG330" t="s">
        <v>896</v>
      </c>
      <c r="AI330" t="s">
        <v>2358</v>
      </c>
      <c r="AJ330" t="s">
        <v>1395</v>
      </c>
      <c r="AK330" t="s">
        <v>2602</v>
      </c>
      <c r="AL330" t="s">
        <v>2603</v>
      </c>
      <c r="AN330" t="str">
        <f t="shared" si="90"/>
        <v>NOK</v>
      </c>
      <c r="AO330" t="str">
        <f t="shared" si="91"/>
        <v>OK</v>
      </c>
      <c r="AP330" t="str">
        <f t="shared" si="92"/>
        <v>NOK</v>
      </c>
      <c r="AR330" t="str">
        <f t="shared" si="93"/>
        <v>OK</v>
      </c>
      <c r="AS330" t="str">
        <f t="shared" si="94"/>
        <v>OK</v>
      </c>
      <c r="AT330" t="str">
        <f t="shared" si="95"/>
        <v>NOK</v>
      </c>
      <c r="AU330" t="str">
        <f t="shared" si="96"/>
        <v>OK</v>
      </c>
      <c r="AV330" t="str">
        <f t="shared" si="97"/>
        <v>OK</v>
      </c>
      <c r="AW330" t="str">
        <f t="shared" si="98"/>
        <v>OK</v>
      </c>
    </row>
    <row r="331" spans="1:49">
      <c r="A331">
        <f>Dbase_velden_versie4_2!A327</f>
        <v>327</v>
      </c>
      <c r="B331" t="str">
        <f>Dbase_velden_versie4_2!B327</f>
        <v>DSS_MONSTERNIVEAU</v>
      </c>
      <c r="C331" t="str">
        <f>Dbase_velden_versie4_2!C327</f>
        <v>m NAP</v>
      </c>
      <c r="D331" t="str">
        <f>Dbase_velden_versie4_2!D327</f>
        <v>Niveau van het monster van de Direct Simple Shear-proef</v>
      </c>
      <c r="E331" t="str">
        <f>Dbase_velden_versie4_2!E327</f>
        <v>Double</v>
      </c>
      <c r="F331" t="str">
        <f>Dbase_velden_versie4_2!F327</f>
        <v>+10 / - 50</v>
      </c>
      <c r="G331" t="str">
        <f>Dbase_velden_versie4_2!G327</f>
        <v>DSS MONSTERNIVEAU</v>
      </c>
      <c r="H331" t="str">
        <f>Dbase_velden_versie4_2!H327</f>
        <v>[m NAP]</v>
      </c>
      <c r="I331" t="str">
        <f>Dbase_velden_versie4_2!I327</f>
        <v>DSS</v>
      </c>
      <c r="J331" t="str">
        <f>Dbase_velden_versie4_2!J327</f>
        <v>DSS proef</v>
      </c>
      <c r="K331">
        <v>327</v>
      </c>
      <c r="L331" t="str">
        <v>DSS_MONSTERNIVEAU</v>
      </c>
      <c r="M331" t="str">
        <v>m NAP</v>
      </c>
      <c r="N331" t="str">
        <v>Niveau van het monster van de Direct Simple Shear-proef</v>
      </c>
      <c r="O331" t="str">
        <v>Double</v>
      </c>
      <c r="P331" t="str">
        <v>+10 / - 50</v>
      </c>
      <c r="Q331" t="str">
        <v>DSS MONSTERNIVEAU</v>
      </c>
      <c r="R331" t="str">
        <v>[m NAP]</v>
      </c>
      <c r="S331" t="str">
        <f t="shared" si="89"/>
        <v>OK</v>
      </c>
      <c r="T331" t="str">
        <f t="shared" si="83"/>
        <v>OK</v>
      </c>
      <c r="U331" t="str">
        <f t="shared" si="84"/>
        <v>OK</v>
      </c>
      <c r="V331" t="str">
        <f t="shared" si="85"/>
        <v>OK</v>
      </c>
      <c r="W331" t="str">
        <f t="shared" si="86"/>
        <v>OK</v>
      </c>
      <c r="X331" t="str">
        <f t="shared" si="87"/>
        <v>OK</v>
      </c>
      <c r="Y331" t="str">
        <f t="shared" si="88"/>
        <v>OK</v>
      </c>
      <c r="Z331">
        <v>326</v>
      </c>
      <c r="AA331">
        <v>328</v>
      </c>
      <c r="AB331" t="s">
        <v>2602</v>
      </c>
      <c r="AC331" t="s">
        <v>327</v>
      </c>
      <c r="AD331" t="s">
        <v>465</v>
      </c>
      <c r="AE331" t="s">
        <v>783</v>
      </c>
      <c r="AG331" t="s">
        <v>897</v>
      </c>
      <c r="AH331" t="s">
        <v>907</v>
      </c>
      <c r="AI331" t="s">
        <v>2359</v>
      </c>
      <c r="AJ331" t="s">
        <v>1397</v>
      </c>
      <c r="AK331" t="s">
        <v>2602</v>
      </c>
      <c r="AL331" t="s">
        <v>2603</v>
      </c>
      <c r="AN331" t="str">
        <f t="shared" si="90"/>
        <v>OK</v>
      </c>
      <c r="AO331" t="str">
        <f t="shared" si="91"/>
        <v>OK</v>
      </c>
      <c r="AP331" t="str">
        <f t="shared" si="92"/>
        <v>OK</v>
      </c>
      <c r="AR331" t="str">
        <f t="shared" si="93"/>
        <v>OK</v>
      </c>
      <c r="AS331" t="str">
        <f t="shared" si="94"/>
        <v>OK</v>
      </c>
      <c r="AT331" t="str">
        <f t="shared" si="95"/>
        <v>NOK</v>
      </c>
      <c r="AU331" t="str">
        <f t="shared" si="96"/>
        <v>OK</v>
      </c>
      <c r="AV331" t="str">
        <f t="shared" si="97"/>
        <v>OK</v>
      </c>
      <c r="AW331" t="str">
        <f t="shared" si="98"/>
        <v>OK</v>
      </c>
    </row>
    <row r="332" spans="1:49">
      <c r="A332">
        <f>Dbase_velden_versie4_2!A328</f>
        <v>328</v>
      </c>
      <c r="B332" t="str">
        <f>Dbase_velden_versie4_2!B328</f>
        <v>DSS_TERREINSPANNING</v>
      </c>
      <c r="C332" t="str">
        <f>Dbase_velden_versie4_2!C328</f>
        <v>kPa</v>
      </c>
      <c r="D332" t="str">
        <f>Dbase_velden_versie4_2!D328</f>
        <v>Inschatting van de terreinspanning (= effectieve verticale spanning) op het niveau van het beproefde monster</v>
      </c>
      <c r="E332" t="str">
        <f>Dbase_velden_versie4_2!E328</f>
        <v>Double</v>
      </c>
      <c r="F332">
        <f>Dbase_velden_versie4_2!F328</f>
        <v>0</v>
      </c>
      <c r="G332" t="str">
        <f>Dbase_velden_versie4_2!G328</f>
        <v>DSS TERREINSPANNING</v>
      </c>
      <c r="H332" t="str">
        <f>Dbase_velden_versie4_2!H328</f>
        <v>[kPa]</v>
      </c>
      <c r="I332" t="str">
        <f>Dbase_velden_versie4_2!I328</f>
        <v>DSS</v>
      </c>
      <c r="J332" t="str">
        <f>Dbase_velden_versie4_2!J328</f>
        <v>DSS proef</v>
      </c>
      <c r="K332">
        <v>328</v>
      </c>
      <c r="L332" t="str">
        <v>DSS_TERREINSPANNING</v>
      </c>
      <c r="M332" t="str">
        <v>kPa</v>
      </c>
      <c r="N332" t="str">
        <v>Inschatting van de terreinspanning (= effectieve verticale spanning) op het niveau van het beproefde monster</v>
      </c>
      <c r="O332" t="str">
        <v>Double</v>
      </c>
      <c r="P332">
        <v>0</v>
      </c>
      <c r="Q332" t="str">
        <v>DSS TERREINSPANNING</v>
      </c>
      <c r="R332" t="str">
        <v>[kPa]</v>
      </c>
      <c r="S332" t="str">
        <f t="shared" si="89"/>
        <v>OK</v>
      </c>
      <c r="T332" t="str">
        <f t="shared" si="83"/>
        <v>OK</v>
      </c>
      <c r="U332" t="str">
        <f t="shared" si="84"/>
        <v>OK</v>
      </c>
      <c r="V332" t="str">
        <f t="shared" si="85"/>
        <v>OK</v>
      </c>
      <c r="W332" t="str">
        <f t="shared" si="86"/>
        <v>OK</v>
      </c>
      <c r="X332" t="str">
        <f t="shared" si="87"/>
        <v>OK</v>
      </c>
      <c r="Y332" t="str">
        <f t="shared" si="88"/>
        <v>OK</v>
      </c>
      <c r="Z332">
        <v>327</v>
      </c>
      <c r="AA332">
        <v>329</v>
      </c>
      <c r="AB332" t="s">
        <v>2602</v>
      </c>
      <c r="AC332" t="s">
        <v>328</v>
      </c>
      <c r="AD332" t="s">
        <v>470</v>
      </c>
      <c r="AE332" t="s">
        <v>784</v>
      </c>
      <c r="AG332" t="s">
        <v>897</v>
      </c>
      <c r="AI332" t="s">
        <v>2438</v>
      </c>
      <c r="AJ332" t="s">
        <v>1402</v>
      </c>
      <c r="AK332" t="s">
        <v>2602</v>
      </c>
      <c r="AL332" t="s">
        <v>2603</v>
      </c>
      <c r="AN332" t="str">
        <f t="shared" si="90"/>
        <v>OK</v>
      </c>
      <c r="AO332" t="str">
        <f t="shared" si="91"/>
        <v>OK</v>
      </c>
      <c r="AP332" t="str">
        <f t="shared" si="92"/>
        <v>OK</v>
      </c>
      <c r="AR332" t="str">
        <f t="shared" si="93"/>
        <v>OK</v>
      </c>
      <c r="AS332" t="str">
        <f t="shared" si="94"/>
        <v>OK</v>
      </c>
      <c r="AT332" t="str">
        <f t="shared" si="95"/>
        <v>NOK</v>
      </c>
      <c r="AU332" t="str">
        <f t="shared" si="96"/>
        <v>OK</v>
      </c>
      <c r="AV332" t="str">
        <f t="shared" si="97"/>
        <v>OK</v>
      </c>
      <c r="AW332" t="str">
        <f t="shared" si="98"/>
        <v>OK</v>
      </c>
    </row>
    <row r="333" spans="1:49">
      <c r="A333">
        <f>Dbase_velden_versie4_2!A329</f>
        <v>329</v>
      </c>
      <c r="B333" t="str">
        <f>Dbase_velden_versie4_2!B329</f>
        <v>DSS_VOLUMEGEWICHT_NAT</v>
      </c>
      <c r="C333" t="str">
        <f>Dbase_velden_versie4_2!C329</f>
        <v>kN/m3</v>
      </c>
      <c r="D333" t="str">
        <f>Dbase_velden_versie4_2!D329</f>
        <v>Resultaat van de bepaling van het initiele volumieke gewicht conform NEN5110/5111 voor uitvoering van de proef</v>
      </c>
      <c r="E333" t="str">
        <f>Dbase_velden_versie4_2!E329</f>
        <v>Double</v>
      </c>
      <c r="F333" t="str">
        <f>Dbase_velden_versie4_2!F329</f>
        <v>+5,0 - +30,0</v>
      </c>
      <c r="G333" t="str">
        <f>Dbase_velden_versie4_2!G329</f>
        <v>DSS VOLUMEGEWICHT NAT</v>
      </c>
      <c r="H333" t="str">
        <f>Dbase_velden_versie4_2!H329</f>
        <v>[kN/m3]</v>
      </c>
      <c r="I333" t="str">
        <f>Dbase_velden_versie4_2!I329</f>
        <v>DSS</v>
      </c>
      <c r="J333" t="str">
        <f>Dbase_velden_versie4_2!J329</f>
        <v>DSS proef</v>
      </c>
      <c r="K333">
        <v>329</v>
      </c>
      <c r="L333" t="str">
        <v>DSS_VOLUMEGEWICHT_NAT</v>
      </c>
      <c r="M333" t="str">
        <v>kN/m3</v>
      </c>
      <c r="N333" t="str">
        <v>Resultaat van de bepaling van het initiele volumieke gewicht conform NEN5110/5111 voor uitvoering van de proef</v>
      </c>
      <c r="O333" t="str">
        <v>Double</v>
      </c>
      <c r="P333" t="str">
        <v>+5,0 - +30,0</v>
      </c>
      <c r="Q333" t="str">
        <v>DSS VOLUMEGEWICHT NAT</v>
      </c>
      <c r="R333" t="str">
        <v>[kN/m3]</v>
      </c>
      <c r="S333" t="str">
        <f t="shared" si="89"/>
        <v>OK</v>
      </c>
      <c r="T333" t="str">
        <f t="shared" si="83"/>
        <v>OK</v>
      </c>
      <c r="U333" t="str">
        <f t="shared" si="84"/>
        <v>OK</v>
      </c>
      <c r="V333" t="str">
        <f t="shared" si="85"/>
        <v>OK</v>
      </c>
      <c r="W333" t="str">
        <f t="shared" si="86"/>
        <v>OK</v>
      </c>
      <c r="X333" t="str">
        <f t="shared" si="87"/>
        <v>OK</v>
      </c>
      <c r="Y333" t="str">
        <f t="shared" si="88"/>
        <v>OK</v>
      </c>
      <c r="Z333">
        <v>328</v>
      </c>
      <c r="AA333">
        <v>330</v>
      </c>
      <c r="AB333" t="s">
        <v>2602</v>
      </c>
      <c r="AC333" t="s">
        <v>329</v>
      </c>
      <c r="AD333" t="s">
        <v>467</v>
      </c>
      <c r="AE333" t="s">
        <v>619</v>
      </c>
      <c r="AG333" t="s">
        <v>897</v>
      </c>
      <c r="AH333" t="s">
        <v>908</v>
      </c>
      <c r="AI333" t="s">
        <v>2360</v>
      </c>
      <c r="AJ333" t="s">
        <v>1399</v>
      </c>
      <c r="AK333" t="s">
        <v>2602</v>
      </c>
      <c r="AL333" t="s">
        <v>2603</v>
      </c>
      <c r="AN333" t="str">
        <f t="shared" si="90"/>
        <v>OK</v>
      </c>
      <c r="AO333" t="str">
        <f t="shared" si="91"/>
        <v>OK</v>
      </c>
      <c r="AP333" t="str">
        <f t="shared" si="92"/>
        <v>OK</v>
      </c>
      <c r="AR333" t="str">
        <f t="shared" si="93"/>
        <v>OK</v>
      </c>
      <c r="AS333" t="str">
        <f t="shared" si="94"/>
        <v>OK</v>
      </c>
      <c r="AT333" t="str">
        <f t="shared" si="95"/>
        <v>NOK</v>
      </c>
      <c r="AU333" t="str">
        <f t="shared" si="96"/>
        <v>OK</v>
      </c>
      <c r="AV333" t="str">
        <f t="shared" si="97"/>
        <v>OK</v>
      </c>
      <c r="AW333" t="str">
        <f t="shared" si="98"/>
        <v>OK</v>
      </c>
    </row>
    <row r="334" spans="1:49">
      <c r="A334">
        <f>Dbase_velden_versie4_2!A330</f>
        <v>330</v>
      </c>
      <c r="B334" t="str">
        <f>Dbase_velden_versie4_2!B330</f>
        <v>DSS_VOLUMEGEWICHT_DRG</v>
      </c>
      <c r="C334" t="str">
        <f>Dbase_velden_versie4_2!C330</f>
        <v>kN/m3</v>
      </c>
      <c r="D334" t="str">
        <f>Dbase_velden_versie4_2!D330</f>
        <v>Resultaat van de bepaling van het droge volumieke gewicht conform NEN5110/5111 voor uitvoering van de proef</v>
      </c>
      <c r="E334" t="str">
        <f>Dbase_velden_versie4_2!E330</f>
        <v>Double</v>
      </c>
      <c r="F334" t="str">
        <f>Dbase_velden_versie4_2!F330</f>
        <v>+0,0 - +30,0</v>
      </c>
      <c r="G334" t="str">
        <f>Dbase_velden_versie4_2!G330</f>
        <v>DSS VOLUMEGEWICHT DRG</v>
      </c>
      <c r="H334" t="str">
        <f>Dbase_velden_versie4_2!H330</f>
        <v>[kN/m3]</v>
      </c>
      <c r="I334" t="str">
        <f>Dbase_velden_versie4_2!I330</f>
        <v>DSS</v>
      </c>
      <c r="J334" t="str">
        <f>Dbase_velden_versie4_2!J330</f>
        <v>DSS proef</v>
      </c>
      <c r="K334">
        <v>330</v>
      </c>
      <c r="L334" t="str">
        <v>DSS_VOLUMEGEWICHT_DRG</v>
      </c>
      <c r="M334" t="str">
        <v>kN/m3</v>
      </c>
      <c r="N334" t="str">
        <v>Resultaat van de bepaling van het droge volumieke gewicht conform NEN5110/5111 voor uitvoering van de proef</v>
      </c>
      <c r="O334" t="str">
        <v>Double</v>
      </c>
      <c r="P334" t="str">
        <v>+0,0 - +30,0</v>
      </c>
      <c r="Q334" t="str">
        <v>DSS VOLUMEGEWICHT DRG</v>
      </c>
      <c r="R334" t="str">
        <v>[kN/m3]</v>
      </c>
      <c r="S334" t="str">
        <f t="shared" si="89"/>
        <v>OK</v>
      </c>
      <c r="T334" t="str">
        <f t="shared" si="83"/>
        <v>OK</v>
      </c>
      <c r="U334" t="str">
        <f t="shared" si="84"/>
        <v>OK</v>
      </c>
      <c r="V334" t="str">
        <f t="shared" si="85"/>
        <v>OK</v>
      </c>
      <c r="W334" t="str">
        <f t="shared" si="86"/>
        <v>OK</v>
      </c>
      <c r="X334" t="str">
        <f t="shared" si="87"/>
        <v>OK</v>
      </c>
      <c r="Y334" t="str">
        <f t="shared" si="88"/>
        <v>OK</v>
      </c>
      <c r="Z334">
        <v>329</v>
      </c>
      <c r="AA334">
        <v>331</v>
      </c>
      <c r="AB334" t="s">
        <v>2602</v>
      </c>
      <c r="AC334" t="s">
        <v>330</v>
      </c>
      <c r="AD334" t="s">
        <v>467</v>
      </c>
      <c r="AE334" t="s">
        <v>620</v>
      </c>
      <c r="AG334" t="s">
        <v>897</v>
      </c>
      <c r="AH334" t="s">
        <v>909</v>
      </c>
      <c r="AI334" t="s">
        <v>2361</v>
      </c>
      <c r="AJ334" t="s">
        <v>1399</v>
      </c>
      <c r="AK334" t="s">
        <v>2602</v>
      </c>
      <c r="AL334" t="s">
        <v>2603</v>
      </c>
      <c r="AN334" t="str">
        <f t="shared" si="90"/>
        <v>OK</v>
      </c>
      <c r="AO334" t="str">
        <f t="shared" si="91"/>
        <v>OK</v>
      </c>
      <c r="AP334" t="str">
        <f t="shared" si="92"/>
        <v>OK</v>
      </c>
      <c r="AR334" t="str">
        <f t="shared" si="93"/>
        <v>OK</v>
      </c>
      <c r="AS334" t="str">
        <f t="shared" si="94"/>
        <v>OK</v>
      </c>
      <c r="AT334" t="str">
        <f t="shared" si="95"/>
        <v>NOK</v>
      </c>
      <c r="AU334" t="str">
        <f t="shared" si="96"/>
        <v>OK</v>
      </c>
      <c r="AV334" t="str">
        <f t="shared" si="97"/>
        <v>OK</v>
      </c>
      <c r="AW334" t="str">
        <f t="shared" si="98"/>
        <v>OK</v>
      </c>
    </row>
    <row r="335" spans="1:49">
      <c r="A335">
        <f>Dbase_velden_versie4_2!A331</f>
        <v>331</v>
      </c>
      <c r="B335" t="str">
        <f>Dbase_velden_versie4_2!B331</f>
        <v>DSS_WATERGEHALTE_VOOR</v>
      </c>
      <c r="C335" t="str">
        <f>Dbase_velden_versie4_2!C331</f>
        <v>%</v>
      </c>
      <c r="D335" t="str">
        <f>Dbase_velden_versie4_2!D331</f>
        <v>Resultaat van de bepaling van het initiele watergehalte conform NEN5112/5113 voor uitvoering van de proef</v>
      </c>
      <c r="E335" t="str">
        <f>Dbase_velden_versie4_2!E331</f>
        <v>Double</v>
      </c>
      <c r="F335" t="str">
        <f>Dbase_velden_versie4_2!F331</f>
        <v>0,0 - 1000,0</v>
      </c>
      <c r="G335" t="str">
        <f>Dbase_velden_versie4_2!G331</f>
        <v>DSS WATERGEHALTE VOOR</v>
      </c>
      <c r="H335" t="str">
        <f>Dbase_velden_versie4_2!H331</f>
        <v>[%]</v>
      </c>
      <c r="I335" t="str">
        <f>Dbase_velden_versie4_2!I331</f>
        <v>DSS</v>
      </c>
      <c r="J335" t="str">
        <f>Dbase_velden_versie4_2!J331</f>
        <v>DSS proef</v>
      </c>
      <c r="K335">
        <v>331</v>
      </c>
      <c r="L335" t="str">
        <v>DSS_WATERGEHALTE_VOOR</v>
      </c>
      <c r="M335" t="str">
        <v>%</v>
      </c>
      <c r="N335" t="str">
        <v>Resultaat van de bepaling van het initiele watergehalte conform NEN5112/5113 voor uitvoering van de proef</v>
      </c>
      <c r="O335" t="str">
        <v>Double</v>
      </c>
      <c r="P335" t="str">
        <v>0,0 - 1000,0</v>
      </c>
      <c r="Q335" t="str">
        <v>DSS WATERGEHALTE VOOR</v>
      </c>
      <c r="R335" t="str">
        <v>[%]</v>
      </c>
      <c r="S335" t="str">
        <f t="shared" si="89"/>
        <v>OK</v>
      </c>
      <c r="T335" t="str">
        <f t="shared" si="83"/>
        <v>OK</v>
      </c>
      <c r="U335" t="str">
        <f t="shared" si="84"/>
        <v>OK</v>
      </c>
      <c r="V335" t="str">
        <f t="shared" si="85"/>
        <v>OK</v>
      </c>
      <c r="W335" t="str">
        <f t="shared" si="86"/>
        <v>OK</v>
      </c>
      <c r="X335" t="str">
        <f t="shared" si="87"/>
        <v>OK</v>
      </c>
      <c r="Y335" t="str">
        <f t="shared" si="88"/>
        <v>OK</v>
      </c>
      <c r="Z335">
        <v>330</v>
      </c>
      <c r="AA335">
        <v>332</v>
      </c>
      <c r="AB335" t="s">
        <v>2602</v>
      </c>
      <c r="AC335" t="s">
        <v>331</v>
      </c>
      <c r="AD335" t="s">
        <v>468</v>
      </c>
      <c r="AE335" t="s">
        <v>621</v>
      </c>
      <c r="AG335" t="s">
        <v>897</v>
      </c>
      <c r="AH335" t="s">
        <v>910</v>
      </c>
      <c r="AI335" t="s">
        <v>2439</v>
      </c>
      <c r="AJ335" t="s">
        <v>1400</v>
      </c>
      <c r="AK335" t="s">
        <v>2602</v>
      </c>
      <c r="AL335" t="s">
        <v>2603</v>
      </c>
      <c r="AN335" t="str">
        <f t="shared" si="90"/>
        <v>OK</v>
      </c>
      <c r="AO335" t="str">
        <f t="shared" si="91"/>
        <v>OK</v>
      </c>
      <c r="AP335" t="str">
        <f t="shared" si="92"/>
        <v>OK</v>
      </c>
      <c r="AR335" t="str">
        <f t="shared" si="93"/>
        <v>OK</v>
      </c>
      <c r="AS335" t="str">
        <f t="shared" si="94"/>
        <v>OK</v>
      </c>
      <c r="AT335" t="str">
        <f t="shared" si="95"/>
        <v>NOK</v>
      </c>
      <c r="AU335" t="str">
        <f t="shared" si="96"/>
        <v>OK</v>
      </c>
      <c r="AV335" t="str">
        <f t="shared" si="97"/>
        <v>OK</v>
      </c>
      <c r="AW335" t="str">
        <f t="shared" si="98"/>
        <v>OK</v>
      </c>
    </row>
    <row r="336" spans="1:49">
      <c r="A336">
        <f>Dbase_velden_versie4_2!A332</f>
        <v>332</v>
      </c>
      <c r="B336" t="str">
        <f>Dbase_velden_versie4_2!B332</f>
        <v>DSS_WATERGEHALTE_NA_PROEF</v>
      </c>
      <c r="C336" t="str">
        <f>Dbase_velden_versie4_2!C332</f>
        <v>%</v>
      </c>
      <c r="D336" t="str">
        <f>Dbase_velden_versie4_2!D332</f>
        <v>Resultaat van de bepaling van het initiele watergehalte conform NEN5112/5113 na uitvoering van de proef</v>
      </c>
      <c r="E336" t="str">
        <f>Dbase_velden_versie4_2!E332</f>
        <v>Double</v>
      </c>
      <c r="F336" t="str">
        <f>Dbase_velden_versie4_2!F332</f>
        <v>0,0 - 1000,0</v>
      </c>
      <c r="G336" t="str">
        <f>Dbase_velden_versie4_2!G332</f>
        <v>DSS WATERGEHALTE NA PROEF</v>
      </c>
      <c r="H336" t="str">
        <f>Dbase_velden_versie4_2!H332</f>
        <v>[%]</v>
      </c>
      <c r="I336" t="str">
        <f>Dbase_velden_versie4_2!I332</f>
        <v>DSS</v>
      </c>
      <c r="J336" t="str">
        <f>Dbase_velden_versie4_2!J332</f>
        <v>DSS proef</v>
      </c>
      <c r="K336">
        <v>332</v>
      </c>
      <c r="L336" t="str">
        <v>DSS_WATERGEHALTE_NA_PROEF</v>
      </c>
      <c r="M336" t="str">
        <v>%</v>
      </c>
      <c r="N336" t="str">
        <v>Resultaat van de bepaling van het initiele watergehalte conform NEN5112/5113 na uitvoering van de proef</v>
      </c>
      <c r="O336" t="str">
        <v>Double</v>
      </c>
      <c r="P336" t="str">
        <v>0,0 - 1000,0</v>
      </c>
      <c r="Q336" t="str">
        <v>DSS WATERGEHALTE NA PROEF</v>
      </c>
      <c r="R336" t="str">
        <v>[%]</v>
      </c>
      <c r="S336" t="str">
        <f t="shared" si="89"/>
        <v>OK</v>
      </c>
      <c r="T336" t="str">
        <f t="shared" si="83"/>
        <v>OK</v>
      </c>
      <c r="U336" t="str">
        <f t="shared" si="84"/>
        <v>OK</v>
      </c>
      <c r="V336" t="str">
        <f t="shared" si="85"/>
        <v>OK</v>
      </c>
      <c r="W336" t="str">
        <f t="shared" si="86"/>
        <v>OK</v>
      </c>
      <c r="X336" t="str">
        <f t="shared" si="87"/>
        <v>OK</v>
      </c>
      <c r="Y336" t="str">
        <f t="shared" si="88"/>
        <v>OK</v>
      </c>
      <c r="Z336">
        <v>331</v>
      </c>
      <c r="AA336">
        <v>333</v>
      </c>
      <c r="AB336" t="s">
        <v>2602</v>
      </c>
      <c r="AC336" t="s">
        <v>332</v>
      </c>
      <c r="AD336" t="s">
        <v>468</v>
      </c>
      <c r="AE336" t="s">
        <v>622</v>
      </c>
      <c r="AG336" t="s">
        <v>897</v>
      </c>
      <c r="AH336" t="s">
        <v>910</v>
      </c>
      <c r="AI336" t="s">
        <v>2440</v>
      </c>
      <c r="AJ336" t="s">
        <v>1400</v>
      </c>
      <c r="AK336" t="s">
        <v>2602</v>
      </c>
      <c r="AL336" t="s">
        <v>2603</v>
      </c>
      <c r="AN336" t="str">
        <f t="shared" si="90"/>
        <v>OK</v>
      </c>
      <c r="AO336" t="str">
        <f t="shared" si="91"/>
        <v>OK</v>
      </c>
      <c r="AP336" t="str">
        <f t="shared" si="92"/>
        <v>OK</v>
      </c>
      <c r="AR336" t="str">
        <f t="shared" si="93"/>
        <v>OK</v>
      </c>
      <c r="AS336" t="str">
        <f t="shared" si="94"/>
        <v>OK</v>
      </c>
      <c r="AT336" t="str">
        <f t="shared" si="95"/>
        <v>NOK</v>
      </c>
      <c r="AU336" t="str">
        <f t="shared" si="96"/>
        <v>OK</v>
      </c>
      <c r="AV336" t="str">
        <f t="shared" si="97"/>
        <v>OK</v>
      </c>
      <c r="AW336" t="str">
        <f t="shared" si="98"/>
        <v>OK</v>
      </c>
    </row>
    <row r="337" spans="1:49">
      <c r="A337">
        <f>Dbase_velden_versie4_2!A333</f>
        <v>333</v>
      </c>
      <c r="B337" t="str">
        <f>Dbase_velden_versie4_2!B333</f>
        <v>DSS_VERZADIGINGGRAAD_VOOR</v>
      </c>
      <c r="C337" t="str">
        <f>Dbase_velden_versie4_2!C333</f>
        <v>%</v>
      </c>
      <c r="D337" t="str">
        <f>Dbase_velden_versie4_2!D333</f>
        <v>Resultaat van de bepaling van het verzadigingsgraad voor uitvoering van de proef conform ...</v>
      </c>
      <c r="E337" t="str">
        <f>Dbase_velden_versie4_2!E333</f>
        <v>Double</v>
      </c>
      <c r="F337" t="str">
        <f>Dbase_velden_versie4_2!F333</f>
        <v>0% - 100%</v>
      </c>
      <c r="G337" t="str">
        <f>Dbase_velden_versie4_2!G333</f>
        <v>DSS VERZADIGINGGRAAD VOOR</v>
      </c>
      <c r="H337" t="str">
        <f>Dbase_velden_versie4_2!H333</f>
        <v>[%]</v>
      </c>
      <c r="I337" t="str">
        <f>Dbase_velden_versie4_2!I333</f>
        <v>DSS</v>
      </c>
      <c r="J337" t="str">
        <f>Dbase_velden_versie4_2!J333</f>
        <v>DSS proef</v>
      </c>
      <c r="K337">
        <v>333</v>
      </c>
      <c r="L337" t="str">
        <v>DSS_VERZADIGINGGRAAD_VOOR</v>
      </c>
      <c r="M337" t="str">
        <v>%</v>
      </c>
      <c r="N337" t="str">
        <v>Resultaat van de bepaling van het verzadigingsgraad voor uitvoering van de proef conform ...</v>
      </c>
      <c r="O337" t="str">
        <v>Double</v>
      </c>
      <c r="P337" t="str">
        <v>0% - 100%</v>
      </c>
      <c r="Q337" t="str">
        <v>DSS VERZADIGINGGRAAD VOOR</v>
      </c>
      <c r="R337" t="str">
        <v>[%]</v>
      </c>
      <c r="S337" t="str">
        <f t="shared" si="89"/>
        <v>OK</v>
      </c>
      <c r="T337" t="str">
        <f t="shared" si="83"/>
        <v>OK</v>
      </c>
      <c r="U337" t="str">
        <f t="shared" si="84"/>
        <v>OK</v>
      </c>
      <c r="V337" t="str">
        <f t="shared" si="85"/>
        <v>OK</v>
      </c>
      <c r="W337" t="str">
        <f t="shared" si="86"/>
        <v>OK</v>
      </c>
      <c r="X337" t="str">
        <f t="shared" si="87"/>
        <v>OK</v>
      </c>
      <c r="Y337" t="str">
        <f t="shared" si="88"/>
        <v>OK</v>
      </c>
      <c r="Z337">
        <v>332</v>
      </c>
      <c r="AA337">
        <v>334</v>
      </c>
      <c r="AB337" t="s">
        <v>2602</v>
      </c>
      <c r="AC337" t="s">
        <v>333</v>
      </c>
      <c r="AD337" t="s">
        <v>468</v>
      </c>
      <c r="AE337" t="s">
        <v>785</v>
      </c>
      <c r="AG337" t="s">
        <v>897</v>
      </c>
      <c r="AH337" t="s">
        <v>911</v>
      </c>
      <c r="AI337" t="s">
        <v>2606</v>
      </c>
      <c r="AJ337" t="s">
        <v>1400</v>
      </c>
      <c r="AK337" t="s">
        <v>2602</v>
      </c>
      <c r="AL337" t="s">
        <v>2603</v>
      </c>
      <c r="AN337" t="str">
        <f t="shared" si="90"/>
        <v>OK</v>
      </c>
      <c r="AO337" t="str">
        <f t="shared" si="91"/>
        <v>OK</v>
      </c>
      <c r="AP337" t="str">
        <f t="shared" si="92"/>
        <v>OK</v>
      </c>
      <c r="AR337" t="str">
        <f t="shared" si="93"/>
        <v>OK</v>
      </c>
      <c r="AS337" t="str">
        <f t="shared" si="94"/>
        <v>OK</v>
      </c>
      <c r="AT337" t="str">
        <f t="shared" si="95"/>
        <v>NOK</v>
      </c>
      <c r="AU337" t="str">
        <f t="shared" si="96"/>
        <v>OK</v>
      </c>
      <c r="AV337" t="str">
        <f t="shared" si="97"/>
        <v>OK</v>
      </c>
      <c r="AW337" t="str">
        <f t="shared" si="98"/>
        <v>OK</v>
      </c>
    </row>
    <row r="338" spans="1:49">
      <c r="A338">
        <f>Dbase_velden_versie4_2!A334</f>
        <v>334</v>
      </c>
      <c r="B338" t="str">
        <f>Dbase_velden_versie4_2!B334</f>
        <v>DSS_PORIENGETAL_VOOR</v>
      </c>
      <c r="C338" t="str">
        <f>Dbase_velden_versie4_2!C334</f>
        <v>-</v>
      </c>
      <c r="D338" t="str">
        <f>Dbase_velden_versie4_2!D334</f>
        <v>Resultaat van de bepaling van het poriengetal voor uitvoering van de proef conform ...</v>
      </c>
      <c r="E338" t="str">
        <f>Dbase_velden_versie4_2!E334</f>
        <v>Double</v>
      </c>
      <c r="F338" t="str">
        <f>Dbase_velden_versie4_2!F334</f>
        <v>0 - 10</v>
      </c>
      <c r="G338" t="str">
        <f>Dbase_velden_versie4_2!G334</f>
        <v>DSS PORIENGETAL VOOR</v>
      </c>
      <c r="H338" t="str">
        <f>Dbase_velden_versie4_2!H334</f>
        <v>[-]</v>
      </c>
      <c r="I338" t="str">
        <f>Dbase_velden_versie4_2!I334</f>
        <v>DSS</v>
      </c>
      <c r="J338" t="str">
        <f>Dbase_velden_versie4_2!J334</f>
        <v>DSS proef</v>
      </c>
      <c r="K338">
        <v>334</v>
      </c>
      <c r="L338" t="str">
        <v>DSS_PORIENGETAL_VOOR</v>
      </c>
      <c r="M338" t="str">
        <v>-</v>
      </c>
      <c r="N338" t="str">
        <v>Resultaat van de bepaling van het poriengetal voor uitvoering van de proef conform ...</v>
      </c>
      <c r="O338" t="str">
        <v>Double</v>
      </c>
      <c r="P338" t="str">
        <v>0 - 10</v>
      </c>
      <c r="Q338" t="str">
        <v>DSS PORIENGETAL VOOR</v>
      </c>
      <c r="R338" t="str">
        <v>[-]</v>
      </c>
      <c r="S338" t="str">
        <f t="shared" si="89"/>
        <v>OK</v>
      </c>
      <c r="T338" t="str">
        <f t="shared" si="83"/>
        <v>OK</v>
      </c>
      <c r="U338" t="str">
        <f t="shared" si="84"/>
        <v>OK</v>
      </c>
      <c r="V338" t="str">
        <f t="shared" si="85"/>
        <v>OK</v>
      </c>
      <c r="W338" t="str">
        <f t="shared" si="86"/>
        <v>OK</v>
      </c>
      <c r="X338" t="str">
        <f t="shared" si="87"/>
        <v>OK</v>
      </c>
      <c r="Y338" t="str">
        <f t="shared" si="88"/>
        <v>OK</v>
      </c>
      <c r="Z338">
        <v>333</v>
      </c>
      <c r="AA338">
        <v>335</v>
      </c>
      <c r="AB338" t="s">
        <v>2602</v>
      </c>
      <c r="AC338" t="s">
        <v>334</v>
      </c>
      <c r="AD338" t="s">
        <v>463</v>
      </c>
      <c r="AE338" t="s">
        <v>786</v>
      </c>
      <c r="AG338" t="s">
        <v>897</v>
      </c>
      <c r="AH338" t="s">
        <v>912</v>
      </c>
      <c r="AI338" t="s">
        <v>2607</v>
      </c>
      <c r="AJ338" t="s">
        <v>1395</v>
      </c>
      <c r="AK338" t="s">
        <v>2602</v>
      </c>
      <c r="AL338" t="s">
        <v>2603</v>
      </c>
      <c r="AN338" t="str">
        <f t="shared" si="90"/>
        <v>OK</v>
      </c>
      <c r="AO338" t="str">
        <f t="shared" si="91"/>
        <v>OK</v>
      </c>
      <c r="AP338" t="str">
        <f t="shared" si="92"/>
        <v>OK</v>
      </c>
      <c r="AR338" t="str">
        <f t="shared" si="93"/>
        <v>OK</v>
      </c>
      <c r="AS338" t="str">
        <f t="shared" si="94"/>
        <v>OK</v>
      </c>
      <c r="AT338" t="str">
        <f t="shared" si="95"/>
        <v>NOK</v>
      </c>
      <c r="AU338" t="str">
        <f t="shared" si="96"/>
        <v>OK</v>
      </c>
      <c r="AV338" t="str">
        <f t="shared" si="97"/>
        <v>OK</v>
      </c>
      <c r="AW338" t="str">
        <f t="shared" si="98"/>
        <v>OK</v>
      </c>
    </row>
    <row r="339" spans="1:49">
      <c r="A339">
        <f>Dbase_velden_versie4_2!A335</f>
        <v>335</v>
      </c>
      <c r="B339" t="str">
        <f>Dbase_velden_versie4_2!B335</f>
        <v>DSS_PORIENGETAL_EINDE_CONSOLIDATIE</v>
      </c>
      <c r="C339" t="str">
        <f>Dbase_velden_versie4_2!C335</f>
        <v>-</v>
      </c>
      <c r="D339" t="str">
        <f>Dbase_velden_versie4_2!D335</f>
        <v>Het poriengetal van het proefstuk na consolideren</v>
      </c>
      <c r="E339" t="str">
        <f>Dbase_velden_versie4_2!E335</f>
        <v>Double</v>
      </c>
      <c r="F339" t="str">
        <f>Dbase_velden_versie4_2!F335</f>
        <v>0 - 10</v>
      </c>
      <c r="G339" t="str">
        <f>Dbase_velden_versie4_2!G335</f>
        <v>DSS PORIENGETAL EINDE CONSOLIDATIE</v>
      </c>
      <c r="H339" t="str">
        <f>Dbase_velden_versie4_2!H335</f>
        <v>[-]</v>
      </c>
      <c r="I339" t="str">
        <f>Dbase_velden_versie4_2!I335</f>
        <v>DSS</v>
      </c>
      <c r="J339" t="str">
        <f>Dbase_velden_versie4_2!J335</f>
        <v>DSS proef</v>
      </c>
      <c r="K339">
        <v>335</v>
      </c>
      <c r="L339" t="str">
        <v>DSS_PORIENGETAL_EINDE_CONSOLIDATIE</v>
      </c>
      <c r="M339" t="str">
        <v>-</v>
      </c>
      <c r="N339" t="str">
        <v>Het poriengetal van het proefstuk na consolideren</v>
      </c>
      <c r="O339" t="str">
        <v>Double</v>
      </c>
      <c r="P339" t="str">
        <v>0 - 10</v>
      </c>
      <c r="Q339" t="str">
        <v>DSS PORIENGETAL EINDE CONSOLIDATIE</v>
      </c>
      <c r="R339" t="str">
        <v>[-]</v>
      </c>
      <c r="S339" t="str">
        <f t="shared" si="89"/>
        <v>OK</v>
      </c>
      <c r="T339" t="str">
        <f t="shared" si="83"/>
        <v>OK</v>
      </c>
      <c r="U339" t="str">
        <f t="shared" si="84"/>
        <v>OK</v>
      </c>
      <c r="V339" t="str">
        <f t="shared" si="85"/>
        <v>OK</v>
      </c>
      <c r="W339" t="str">
        <f t="shared" si="86"/>
        <v>OK</v>
      </c>
      <c r="X339" t="str">
        <f t="shared" si="87"/>
        <v>OK</v>
      </c>
      <c r="Y339" t="str">
        <f t="shared" si="88"/>
        <v>OK</v>
      </c>
      <c r="Z339">
        <v>334</v>
      </c>
      <c r="AA339">
        <v>336</v>
      </c>
      <c r="AB339" t="s">
        <v>2602</v>
      </c>
      <c r="AC339" t="s">
        <v>335</v>
      </c>
      <c r="AD339" t="s">
        <v>463</v>
      </c>
      <c r="AE339" t="s">
        <v>787</v>
      </c>
      <c r="AG339" t="s">
        <v>897</v>
      </c>
      <c r="AH339" t="s">
        <v>912</v>
      </c>
      <c r="AI339" t="s">
        <v>2608</v>
      </c>
      <c r="AJ339" t="s">
        <v>1395</v>
      </c>
      <c r="AK339" t="s">
        <v>2602</v>
      </c>
      <c r="AL339" t="s">
        <v>2603</v>
      </c>
      <c r="AN339" t="str">
        <f t="shared" si="90"/>
        <v>OK</v>
      </c>
      <c r="AO339" t="str">
        <f t="shared" si="91"/>
        <v>OK</v>
      </c>
      <c r="AP339" t="str">
        <f t="shared" si="92"/>
        <v>OK</v>
      </c>
      <c r="AR339" t="str">
        <f t="shared" si="93"/>
        <v>OK</v>
      </c>
      <c r="AS339" t="str">
        <f t="shared" si="94"/>
        <v>OK</v>
      </c>
      <c r="AT339" t="str">
        <f t="shared" si="95"/>
        <v>NOK</v>
      </c>
      <c r="AU339" t="str">
        <f t="shared" si="96"/>
        <v>OK</v>
      </c>
      <c r="AV339" t="str">
        <f t="shared" si="97"/>
        <v>OK</v>
      </c>
      <c r="AW339" t="str">
        <f t="shared" si="98"/>
        <v>OK</v>
      </c>
    </row>
    <row r="340" spans="1:49">
      <c r="A340">
        <f>Dbase_velden_versie4_2!A336</f>
        <v>336</v>
      </c>
      <c r="B340" t="str">
        <f>Dbase_velden_versie4_2!B336</f>
        <v>DSS_SPECIFIEKE_MASSA</v>
      </c>
      <c r="C340" t="str">
        <f>Dbase_velden_versie4_2!C336</f>
        <v>kg/m3</v>
      </c>
      <c r="D340" t="str">
        <f>Dbase_velden_versie4_2!D336</f>
        <v>Resultaat van de bepaling van het specifieke massa voor uitvoering van de proef conform ...</v>
      </c>
      <c r="E340" t="str">
        <f>Dbase_velden_versie4_2!E336</f>
        <v>Double</v>
      </c>
      <c r="F340" t="str">
        <f>Dbase_velden_versie4_2!F336</f>
        <v>0 - 5000</v>
      </c>
      <c r="G340" t="str">
        <f>Dbase_velden_versie4_2!G336</f>
        <v>DSS SPECIFIEKE MASSA</v>
      </c>
      <c r="H340" t="str">
        <f>Dbase_velden_versie4_2!H336</f>
        <v>[kg/m3]</v>
      </c>
      <c r="I340" t="str">
        <f>Dbase_velden_versie4_2!I336</f>
        <v>DSS</v>
      </c>
      <c r="J340" t="str">
        <f>Dbase_velden_versie4_2!J336</f>
        <v>DSS proef</v>
      </c>
      <c r="K340">
        <v>336</v>
      </c>
      <c r="L340" t="str">
        <v>DSS_SPECIFIEKE_MASSA</v>
      </c>
      <c r="M340" t="str">
        <v>kg/m3</v>
      </c>
      <c r="N340" t="str">
        <v>Resultaat van de bepaling van het specifieke massa voor uitvoering van de proef conform ...</v>
      </c>
      <c r="O340" t="str">
        <v>Double</v>
      </c>
      <c r="P340" t="str">
        <v>0 - 5000</v>
      </c>
      <c r="Q340" t="str">
        <v>DSS SPECIFIEKE MASSA</v>
      </c>
      <c r="R340" t="str">
        <v>[kg/m3]</v>
      </c>
      <c r="S340" t="str">
        <f t="shared" si="89"/>
        <v>OK</v>
      </c>
      <c r="T340" t="str">
        <f t="shared" si="83"/>
        <v>OK</v>
      </c>
      <c r="U340" t="str">
        <f t="shared" si="84"/>
        <v>OK</v>
      </c>
      <c r="V340" t="str">
        <f t="shared" si="85"/>
        <v>OK</v>
      </c>
      <c r="W340" t="str">
        <f t="shared" si="86"/>
        <v>OK</v>
      </c>
      <c r="X340" t="str">
        <f t="shared" si="87"/>
        <v>OK</v>
      </c>
      <c r="Y340" t="str">
        <f t="shared" si="88"/>
        <v>OK</v>
      </c>
      <c r="Z340">
        <v>335</v>
      </c>
      <c r="AA340">
        <v>337</v>
      </c>
      <c r="AB340" t="s">
        <v>2602</v>
      </c>
      <c r="AC340" t="s">
        <v>336</v>
      </c>
      <c r="AD340" t="s">
        <v>469</v>
      </c>
      <c r="AE340" t="s">
        <v>788</v>
      </c>
      <c r="AG340" t="s">
        <v>897</v>
      </c>
      <c r="AH340" t="s">
        <v>925</v>
      </c>
      <c r="AI340" t="s">
        <v>2368</v>
      </c>
      <c r="AJ340" t="s">
        <v>1401</v>
      </c>
      <c r="AK340" t="s">
        <v>2602</v>
      </c>
      <c r="AL340" t="s">
        <v>2603</v>
      </c>
      <c r="AN340" t="str">
        <f t="shared" si="90"/>
        <v>OK</v>
      </c>
      <c r="AO340" t="str">
        <f t="shared" si="91"/>
        <v>OK</v>
      </c>
      <c r="AP340" t="str">
        <f t="shared" si="92"/>
        <v>OK</v>
      </c>
      <c r="AR340" t="str">
        <f t="shared" si="93"/>
        <v>OK</v>
      </c>
      <c r="AS340" t="str">
        <f t="shared" si="94"/>
        <v>OK</v>
      </c>
      <c r="AT340" t="str">
        <f t="shared" si="95"/>
        <v>NOK</v>
      </c>
      <c r="AU340" t="str">
        <f t="shared" si="96"/>
        <v>OK</v>
      </c>
      <c r="AV340" t="str">
        <f t="shared" si="97"/>
        <v>OK</v>
      </c>
      <c r="AW340" t="str">
        <f t="shared" si="98"/>
        <v>OK</v>
      </c>
    </row>
    <row r="341" spans="1:49">
      <c r="A341">
        <f>Dbase_velden_versie4_2!A337</f>
        <v>337</v>
      </c>
      <c r="B341" t="str">
        <f>Dbase_velden_versie4_2!B337</f>
        <v>DSS_TEMPERATUUR_PROEF_MAX</v>
      </c>
      <c r="C341" t="str">
        <f>Dbase_velden_versie4_2!C337</f>
        <v>°C</v>
      </c>
      <c r="D341" t="str">
        <f>Dbase_velden_versie4_2!D337</f>
        <v>Maximum temperatuur in het laboratorium gedurende de uitvoering van de proef</v>
      </c>
      <c r="E341" t="str">
        <f>Dbase_velden_versie4_2!E337</f>
        <v>Double</v>
      </c>
      <c r="F341" t="str">
        <f>Dbase_velden_versie4_2!F337</f>
        <v>0 - 50</v>
      </c>
      <c r="G341" t="str">
        <f>Dbase_velden_versie4_2!G337</f>
        <v>DSS TEMPERATUUR PROEF MAX</v>
      </c>
      <c r="H341" t="str">
        <f>Dbase_velden_versie4_2!H337</f>
        <v>[°C]</v>
      </c>
      <c r="I341" t="str">
        <f>Dbase_velden_versie4_2!I337</f>
        <v>DSS</v>
      </c>
      <c r="J341" t="str">
        <f>Dbase_velden_versie4_2!J337</f>
        <v>DSS proef</v>
      </c>
      <c r="K341">
        <v>337</v>
      </c>
      <c r="L341" t="str">
        <v>DSS_TEMPERATUUR_PROEF_MAX</v>
      </c>
      <c r="M341" t="str">
        <v>°C</v>
      </c>
      <c r="N341" t="str">
        <v>Maximum temperatuur in het laboratorium gedurende de uitvoering van de proef</v>
      </c>
      <c r="O341" t="str">
        <v>Double</v>
      </c>
      <c r="P341" t="str">
        <v>0 - 50</v>
      </c>
      <c r="Q341" t="str">
        <v>DSS TEMPERATUUR PROEF MAX</v>
      </c>
      <c r="R341" t="str">
        <v>[°C]</v>
      </c>
      <c r="S341" t="str">
        <f t="shared" si="89"/>
        <v>OK</v>
      </c>
      <c r="T341" t="str">
        <f t="shared" si="83"/>
        <v>OK</v>
      </c>
      <c r="U341" t="str">
        <f t="shared" si="84"/>
        <v>OK</v>
      </c>
      <c r="V341" t="str">
        <f t="shared" si="85"/>
        <v>OK</v>
      </c>
      <c r="W341" t="str">
        <f t="shared" si="86"/>
        <v>OK</v>
      </c>
      <c r="X341" t="str">
        <f t="shared" si="87"/>
        <v>OK</v>
      </c>
      <c r="Y341" t="str">
        <f t="shared" si="88"/>
        <v>OK</v>
      </c>
      <c r="Z341">
        <v>336</v>
      </c>
      <c r="AA341">
        <v>338</v>
      </c>
      <c r="AB341" t="s">
        <v>2602</v>
      </c>
      <c r="AC341" t="s">
        <v>337</v>
      </c>
      <c r="AD341" t="s">
        <v>474</v>
      </c>
      <c r="AE341" t="s">
        <v>624</v>
      </c>
      <c r="AG341" t="s">
        <v>897</v>
      </c>
      <c r="AH341" t="s">
        <v>926</v>
      </c>
      <c r="AI341" t="s">
        <v>2442</v>
      </c>
      <c r="AJ341" t="s">
        <v>1406</v>
      </c>
      <c r="AK341" t="s">
        <v>2602</v>
      </c>
      <c r="AL341" t="s">
        <v>2603</v>
      </c>
      <c r="AN341" t="str">
        <f t="shared" si="90"/>
        <v>OK</v>
      </c>
      <c r="AO341" t="str">
        <f t="shared" si="91"/>
        <v>OK</v>
      </c>
      <c r="AP341" t="str">
        <f t="shared" si="92"/>
        <v>OK</v>
      </c>
      <c r="AR341" t="str">
        <f t="shared" si="93"/>
        <v>OK</v>
      </c>
      <c r="AS341" t="str">
        <f t="shared" si="94"/>
        <v>OK</v>
      </c>
      <c r="AT341" t="str">
        <f t="shared" si="95"/>
        <v>NOK</v>
      </c>
      <c r="AU341" t="str">
        <f t="shared" si="96"/>
        <v>OK</v>
      </c>
      <c r="AV341" t="str">
        <f t="shared" si="97"/>
        <v>OK</v>
      </c>
      <c r="AW341" t="str">
        <f t="shared" si="98"/>
        <v>OK</v>
      </c>
    </row>
    <row r="342" spans="1:49">
      <c r="A342">
        <f>Dbase_velden_versie4_2!A338</f>
        <v>338</v>
      </c>
      <c r="B342" t="str">
        <f>Dbase_velden_versie4_2!B338</f>
        <v>DSS_TEMPERATUUR_PROEF_MIN</v>
      </c>
      <c r="C342" t="str">
        <f>Dbase_velden_versie4_2!C338</f>
        <v>°C</v>
      </c>
      <c r="D342" t="str">
        <f>Dbase_velden_versie4_2!D338</f>
        <v>Minimum temperatuur in het laboratorium gedurende de uitvoering van de proef</v>
      </c>
      <c r="E342" t="str">
        <f>Dbase_velden_versie4_2!E338</f>
        <v>Double</v>
      </c>
      <c r="F342" t="str">
        <f>Dbase_velden_versie4_2!F338</f>
        <v>0 - 50</v>
      </c>
      <c r="G342" t="str">
        <f>Dbase_velden_versie4_2!G338</f>
        <v>DSS TEMPERATUUR PROEF MIN</v>
      </c>
      <c r="H342" t="str">
        <f>Dbase_velden_versie4_2!H338</f>
        <v>[°C]</v>
      </c>
      <c r="I342" t="str">
        <f>Dbase_velden_versie4_2!I338</f>
        <v>DSS</v>
      </c>
      <c r="J342" t="str">
        <f>Dbase_velden_versie4_2!J338</f>
        <v>DSS proef</v>
      </c>
      <c r="K342">
        <v>338</v>
      </c>
      <c r="L342" t="str">
        <v>DSS_TEMPERATUUR_PROEF_MIN</v>
      </c>
      <c r="M342" t="str">
        <v>°C</v>
      </c>
      <c r="N342" t="str">
        <v>Minimum temperatuur in het laboratorium gedurende de uitvoering van de proef</v>
      </c>
      <c r="O342" t="str">
        <v>Double</v>
      </c>
      <c r="P342" t="str">
        <v>0 - 50</v>
      </c>
      <c r="Q342" t="str">
        <v>DSS TEMPERATUUR PROEF MIN</v>
      </c>
      <c r="R342" t="str">
        <v>[°C]</v>
      </c>
      <c r="S342" t="str">
        <f t="shared" si="89"/>
        <v>OK</v>
      </c>
      <c r="T342" t="str">
        <f t="shared" si="83"/>
        <v>OK</v>
      </c>
      <c r="U342" t="str">
        <f t="shared" si="84"/>
        <v>OK</v>
      </c>
      <c r="V342" t="str">
        <f t="shared" si="85"/>
        <v>OK</v>
      </c>
      <c r="W342" t="str">
        <f t="shared" si="86"/>
        <v>OK</v>
      </c>
      <c r="X342" t="str">
        <f t="shared" si="87"/>
        <v>OK</v>
      </c>
      <c r="Y342" t="str">
        <f t="shared" si="88"/>
        <v>OK</v>
      </c>
      <c r="Z342">
        <v>337</v>
      </c>
      <c r="AA342">
        <v>339</v>
      </c>
      <c r="AB342" t="s">
        <v>2602</v>
      </c>
      <c r="AC342" t="s">
        <v>338</v>
      </c>
      <c r="AD342" t="s">
        <v>474</v>
      </c>
      <c r="AE342" t="s">
        <v>625</v>
      </c>
      <c r="AG342" t="s">
        <v>897</v>
      </c>
      <c r="AH342" t="s">
        <v>926</v>
      </c>
      <c r="AI342" t="s">
        <v>2443</v>
      </c>
      <c r="AJ342" t="s">
        <v>1406</v>
      </c>
      <c r="AK342" t="s">
        <v>2602</v>
      </c>
      <c r="AL342" t="s">
        <v>2603</v>
      </c>
      <c r="AN342" t="str">
        <f t="shared" si="90"/>
        <v>OK</v>
      </c>
      <c r="AO342" t="str">
        <f t="shared" si="91"/>
        <v>OK</v>
      </c>
      <c r="AP342" t="str">
        <f t="shared" si="92"/>
        <v>OK</v>
      </c>
      <c r="AR342" t="str">
        <f t="shared" si="93"/>
        <v>OK</v>
      </c>
      <c r="AS342" t="str">
        <f t="shared" si="94"/>
        <v>OK</v>
      </c>
      <c r="AT342" t="str">
        <f t="shared" si="95"/>
        <v>NOK</v>
      </c>
      <c r="AU342" t="str">
        <f t="shared" si="96"/>
        <v>OK</v>
      </c>
      <c r="AV342" t="str">
        <f t="shared" si="97"/>
        <v>OK</v>
      </c>
      <c r="AW342" t="str">
        <f t="shared" si="98"/>
        <v>OK</v>
      </c>
    </row>
    <row r="343" spans="1:49">
      <c r="A343">
        <f>Dbase_velden_versie4_2!A339</f>
        <v>339</v>
      </c>
      <c r="B343" t="str">
        <f>Dbase_velden_versie4_2!B339</f>
        <v>DSS_PROEFSTUKDIAMETER_VOOR</v>
      </c>
      <c r="C343" t="str">
        <f>Dbase_velden_versie4_2!C339</f>
        <v>mm</v>
      </c>
      <c r="D343" t="str">
        <f>Dbase_velden_versie4_2!D339</f>
        <v>Diameter van het proefstuk dat in het DSS-apparaat is beproefd voor beproeving</v>
      </c>
      <c r="E343" t="str">
        <f>Dbase_velden_versie4_2!E339</f>
        <v>Double</v>
      </c>
      <c r="F343" t="str">
        <f>Dbase_velden_versie4_2!F339</f>
        <v>0 - 1000</v>
      </c>
      <c r="G343" t="str">
        <f>Dbase_velden_versie4_2!G339</f>
        <v>DSS PROEFSTUKDIAMETER VOOR</v>
      </c>
      <c r="H343" t="str">
        <f>Dbase_velden_versie4_2!H339</f>
        <v>[mm]</v>
      </c>
      <c r="I343" t="str">
        <f>Dbase_velden_versie4_2!I339</f>
        <v>DSS</v>
      </c>
      <c r="J343" t="str">
        <f>Dbase_velden_versie4_2!J339</f>
        <v>DSS proef</v>
      </c>
      <c r="K343">
        <v>339</v>
      </c>
      <c r="L343" t="str">
        <v>DSS_PROEFSTUKDIAMETER_VOOR</v>
      </c>
      <c r="M343" t="str">
        <v>mm</v>
      </c>
      <c r="N343" t="str">
        <v>Diameter van het proefstuk dat in het DSS-apparaat is beproefd voor beproeving</v>
      </c>
      <c r="O343" t="str">
        <v>Double</v>
      </c>
      <c r="P343" t="str">
        <v>0 - 1000</v>
      </c>
      <c r="Q343" t="str">
        <v>DSS PROEFSTUKDIAMETER VOOR</v>
      </c>
      <c r="R343" t="str">
        <v>[mm]</v>
      </c>
      <c r="S343" t="str">
        <f t="shared" si="89"/>
        <v>OK</v>
      </c>
      <c r="T343" t="str">
        <f t="shared" si="83"/>
        <v>OK</v>
      </c>
      <c r="U343" t="str">
        <f t="shared" si="84"/>
        <v>OK</v>
      </c>
      <c r="V343" t="str">
        <f t="shared" si="85"/>
        <v>OK</v>
      </c>
      <c r="W343" t="str">
        <f t="shared" si="86"/>
        <v>OK</v>
      </c>
      <c r="X343" t="str">
        <f t="shared" si="87"/>
        <v>OK</v>
      </c>
      <c r="Y343" t="str">
        <f t="shared" si="88"/>
        <v>OK</v>
      </c>
      <c r="Z343">
        <v>338</v>
      </c>
      <c r="AA343">
        <v>340</v>
      </c>
      <c r="AB343" t="s">
        <v>2602</v>
      </c>
      <c r="AC343" t="s">
        <v>339</v>
      </c>
      <c r="AD343" t="s">
        <v>475</v>
      </c>
      <c r="AE343" t="s">
        <v>789</v>
      </c>
      <c r="AG343" t="s">
        <v>897</v>
      </c>
      <c r="AH343" t="s">
        <v>915</v>
      </c>
      <c r="AI343" t="s">
        <v>2609</v>
      </c>
      <c r="AJ343" t="s">
        <v>1407</v>
      </c>
      <c r="AK343" t="s">
        <v>2602</v>
      </c>
      <c r="AL343" t="s">
        <v>2603</v>
      </c>
      <c r="AN343" t="str">
        <f t="shared" si="90"/>
        <v>OK</v>
      </c>
      <c r="AO343" t="str">
        <f t="shared" si="91"/>
        <v>OK</v>
      </c>
      <c r="AP343" t="str">
        <f t="shared" si="92"/>
        <v>OK</v>
      </c>
      <c r="AR343" t="str">
        <f t="shared" si="93"/>
        <v>OK</v>
      </c>
      <c r="AS343" t="str">
        <f t="shared" si="94"/>
        <v>OK</v>
      </c>
      <c r="AT343" t="str">
        <f t="shared" si="95"/>
        <v>NOK</v>
      </c>
      <c r="AU343" t="str">
        <f t="shared" si="96"/>
        <v>OK</v>
      </c>
      <c r="AV343" t="str">
        <f t="shared" si="97"/>
        <v>OK</v>
      </c>
      <c r="AW343" t="str">
        <f t="shared" si="98"/>
        <v>OK</v>
      </c>
    </row>
    <row r="344" spans="1:49">
      <c r="A344">
        <f>Dbase_velden_versie4_2!A340</f>
        <v>340</v>
      </c>
      <c r="B344" t="str">
        <f>Dbase_velden_versie4_2!B340</f>
        <v>DSS_PROEFSTUKHOOGTE_VOOR</v>
      </c>
      <c r="C344" t="str">
        <f>Dbase_velden_versie4_2!C340</f>
        <v>mm</v>
      </c>
      <c r="D344" t="str">
        <f>Dbase_velden_versie4_2!D340</f>
        <v>Hoogte van het proefstuk dat in het DSS-apparaat is beproefd voor beproeving</v>
      </c>
      <c r="E344" t="str">
        <f>Dbase_velden_versie4_2!E340</f>
        <v>Double</v>
      </c>
      <c r="F344" t="str">
        <f>Dbase_velden_versie4_2!F340</f>
        <v>0 - 1000</v>
      </c>
      <c r="G344" t="str">
        <f>Dbase_velden_versie4_2!G340</f>
        <v>DSS PROEFSTUKHOOGTE VOOR</v>
      </c>
      <c r="H344" t="str">
        <f>Dbase_velden_versie4_2!H340</f>
        <v>[mm]</v>
      </c>
      <c r="I344" t="str">
        <f>Dbase_velden_versie4_2!I340</f>
        <v>DSS</v>
      </c>
      <c r="J344" t="str">
        <f>Dbase_velden_versie4_2!J340</f>
        <v>DSS proef</v>
      </c>
      <c r="K344">
        <v>340</v>
      </c>
      <c r="L344" t="str">
        <v>DSS_PROEFSTUKHOOGTE_VOOR</v>
      </c>
      <c r="M344" t="str">
        <v>mm</v>
      </c>
      <c r="N344" t="str">
        <v>Hoogte van het proefstuk dat in het DSS-apparaat is beproefd voor beproeving</v>
      </c>
      <c r="O344" t="str">
        <v>Double</v>
      </c>
      <c r="P344" t="str">
        <v>0 - 1000</v>
      </c>
      <c r="Q344" t="str">
        <v>DSS PROEFSTUKHOOGTE VOOR</v>
      </c>
      <c r="R344" t="str">
        <v>[mm]</v>
      </c>
      <c r="S344" t="str">
        <f t="shared" si="89"/>
        <v>OK</v>
      </c>
      <c r="T344" t="str">
        <f t="shared" si="83"/>
        <v>OK</v>
      </c>
      <c r="U344" t="str">
        <f t="shared" si="84"/>
        <v>OK</v>
      </c>
      <c r="V344" t="str">
        <f t="shared" si="85"/>
        <v>OK</v>
      </c>
      <c r="W344" t="str">
        <f t="shared" si="86"/>
        <v>OK</v>
      </c>
      <c r="X344" t="str">
        <f t="shared" si="87"/>
        <v>OK</v>
      </c>
      <c r="Y344" t="str">
        <f t="shared" si="88"/>
        <v>OK</v>
      </c>
      <c r="Z344">
        <v>339</v>
      </c>
      <c r="AA344">
        <v>341</v>
      </c>
      <c r="AB344" t="s">
        <v>2602</v>
      </c>
      <c r="AC344" t="s">
        <v>340</v>
      </c>
      <c r="AD344" t="s">
        <v>475</v>
      </c>
      <c r="AE344" t="s">
        <v>790</v>
      </c>
      <c r="AG344" t="s">
        <v>897</v>
      </c>
      <c r="AH344" t="s">
        <v>915</v>
      </c>
      <c r="AI344" t="s">
        <v>2610</v>
      </c>
      <c r="AJ344" t="s">
        <v>1407</v>
      </c>
      <c r="AK344" t="s">
        <v>2602</v>
      </c>
      <c r="AL344" t="s">
        <v>2603</v>
      </c>
      <c r="AN344" t="str">
        <f t="shared" si="90"/>
        <v>OK</v>
      </c>
      <c r="AO344" t="str">
        <f t="shared" si="91"/>
        <v>OK</v>
      </c>
      <c r="AP344" t="str">
        <f t="shared" si="92"/>
        <v>OK</v>
      </c>
      <c r="AR344" t="str">
        <f t="shared" si="93"/>
        <v>OK</v>
      </c>
      <c r="AS344" t="str">
        <f t="shared" si="94"/>
        <v>OK</v>
      </c>
      <c r="AT344" t="str">
        <f t="shared" si="95"/>
        <v>NOK</v>
      </c>
      <c r="AU344" t="str">
        <f t="shared" si="96"/>
        <v>OK</v>
      </c>
      <c r="AV344" t="str">
        <f t="shared" si="97"/>
        <v>OK</v>
      </c>
      <c r="AW344" t="str">
        <f t="shared" si="98"/>
        <v>OK</v>
      </c>
    </row>
    <row r="345" spans="1:49">
      <c r="A345">
        <f>Dbase_velden_versie4_2!A341</f>
        <v>341</v>
      </c>
      <c r="B345" t="str">
        <f>Dbase_velden_versie4_2!B341</f>
        <v>DSS_PROEFSTUKHOOGTE_NA_CONSOLIDATIE</v>
      </c>
      <c r="C345" t="str">
        <f>Dbase_velden_versie4_2!C341</f>
        <v>mm</v>
      </c>
      <c r="D345" t="str">
        <f>Dbase_velden_versie4_2!D341</f>
        <v>De hoogte van het proefstuk na consolideren</v>
      </c>
      <c r="E345" t="str">
        <f>Dbase_velden_versie4_2!E341</f>
        <v>Double</v>
      </c>
      <c r="F345" t="str">
        <f>Dbase_velden_versie4_2!F341</f>
        <v>0 - 1000</v>
      </c>
      <c r="G345" t="str">
        <f>Dbase_velden_versie4_2!G341</f>
        <v>DSS PROEFSTUKHOOGTE NA CONSOLIDATIE</v>
      </c>
      <c r="H345" t="str">
        <f>Dbase_velden_versie4_2!H341</f>
        <v>[mm]</v>
      </c>
      <c r="I345" t="str">
        <f>Dbase_velden_versie4_2!I341</f>
        <v>DSS</v>
      </c>
      <c r="J345" t="str">
        <f>Dbase_velden_versie4_2!J341</f>
        <v>DSS proef</v>
      </c>
      <c r="K345">
        <v>341</v>
      </c>
      <c r="L345" t="str">
        <v>DSS_PROEFSTUKHOOGTE_NA_CONSOLIDATIE</v>
      </c>
      <c r="M345" t="str">
        <v>mm</v>
      </c>
      <c r="N345" t="str">
        <v>De hoogte van het proefstuk na consolideren</v>
      </c>
      <c r="O345" t="str">
        <v>Double</v>
      </c>
      <c r="P345" t="str">
        <v>0 - 1000</v>
      </c>
      <c r="Q345" t="str">
        <v>DSS PROEFSTUKHOOGTE NA CONSOLIDATIE</v>
      </c>
      <c r="R345" t="str">
        <v>[mm]</v>
      </c>
      <c r="S345" t="str">
        <f t="shared" si="89"/>
        <v>OK</v>
      </c>
      <c r="T345" t="str">
        <f t="shared" si="83"/>
        <v>OK</v>
      </c>
      <c r="U345" t="str">
        <f t="shared" si="84"/>
        <v>OK</v>
      </c>
      <c r="V345" t="str">
        <f t="shared" si="85"/>
        <v>OK</v>
      </c>
      <c r="W345" t="str">
        <f t="shared" si="86"/>
        <v>OK</v>
      </c>
      <c r="X345" t="str">
        <f t="shared" si="87"/>
        <v>OK</v>
      </c>
      <c r="Y345" t="str">
        <f t="shared" si="88"/>
        <v>OK</v>
      </c>
      <c r="Z345">
        <v>340</v>
      </c>
      <c r="AA345">
        <v>342</v>
      </c>
      <c r="AB345" t="s">
        <v>2602</v>
      </c>
      <c r="AC345" t="s">
        <v>341</v>
      </c>
      <c r="AD345" t="s">
        <v>475</v>
      </c>
      <c r="AE345" t="s">
        <v>791</v>
      </c>
      <c r="AG345" t="s">
        <v>897</v>
      </c>
      <c r="AH345" t="s">
        <v>915</v>
      </c>
      <c r="AI345" t="s">
        <v>2611</v>
      </c>
      <c r="AJ345" t="s">
        <v>1407</v>
      </c>
      <c r="AK345" t="s">
        <v>2602</v>
      </c>
      <c r="AL345" t="s">
        <v>2603</v>
      </c>
      <c r="AN345" t="str">
        <f t="shared" si="90"/>
        <v>OK</v>
      </c>
      <c r="AO345" t="str">
        <f t="shared" si="91"/>
        <v>OK</v>
      </c>
      <c r="AP345" t="str">
        <f t="shared" si="92"/>
        <v>OK</v>
      </c>
      <c r="AR345" t="str">
        <f t="shared" si="93"/>
        <v>OK</v>
      </c>
      <c r="AS345" t="str">
        <f t="shared" si="94"/>
        <v>OK</v>
      </c>
      <c r="AT345" t="str">
        <f t="shared" si="95"/>
        <v>NOK</v>
      </c>
      <c r="AU345" t="str">
        <f t="shared" si="96"/>
        <v>OK</v>
      </c>
      <c r="AV345" t="str">
        <f t="shared" si="97"/>
        <v>OK</v>
      </c>
      <c r="AW345" t="str">
        <f t="shared" si="98"/>
        <v>OK</v>
      </c>
    </row>
    <row r="346" spans="1:49">
      <c r="A346">
        <f>Dbase_velden_versie4_2!A342</f>
        <v>342</v>
      </c>
      <c r="B346" t="str">
        <f>Dbase_velden_versie4_2!B342</f>
        <v>DSS_UITGEVOERDE_CORRECTIES</v>
      </c>
      <c r="C346" t="str">
        <f>Dbase_velden_versie4_2!C342</f>
        <v>-</v>
      </c>
      <c r="D346" t="str">
        <f>Dbase_velden_versie4_2!D342</f>
        <v>Beschrijving van de bij de uitwerking van de proef uitgevoerde correcties</v>
      </c>
      <c r="E346" t="str">
        <f>Dbase_velden_versie4_2!E342</f>
        <v>String</v>
      </c>
      <c r="F346">
        <f>Dbase_velden_versie4_2!F342</f>
        <v>0</v>
      </c>
      <c r="G346" t="str">
        <f>Dbase_velden_versie4_2!G342</f>
        <v>DSS UITGEVOERDE CORRECTIES</v>
      </c>
      <c r="H346" t="str">
        <f>Dbase_velden_versie4_2!H342</f>
        <v>[-]</v>
      </c>
      <c r="I346" t="str">
        <f>Dbase_velden_versie4_2!I342</f>
        <v>DSS</v>
      </c>
      <c r="J346" t="str">
        <f>Dbase_velden_versie4_2!J342</f>
        <v>DSS proef</v>
      </c>
      <c r="K346">
        <v>342</v>
      </c>
      <c r="L346" t="str">
        <v>DSS_UITGEVOERDE_CORRECTIES</v>
      </c>
      <c r="M346" t="str">
        <v>-</v>
      </c>
      <c r="N346" t="str">
        <v>Beschrijving van de bij de uitwerking van de proef uitgevoerde correcties</v>
      </c>
      <c r="O346" t="str">
        <v>String</v>
      </c>
      <c r="P346">
        <v>0</v>
      </c>
      <c r="Q346" t="str">
        <v>DSS UITGEVOERDE CORRECTIES</v>
      </c>
      <c r="R346" t="str">
        <v>[-]</v>
      </c>
      <c r="S346" t="str">
        <f t="shared" si="89"/>
        <v>OK</v>
      </c>
      <c r="T346" t="str">
        <f t="shared" si="83"/>
        <v>OK</v>
      </c>
      <c r="U346" t="str">
        <f t="shared" si="84"/>
        <v>OK</v>
      </c>
      <c r="V346" t="str">
        <f t="shared" si="85"/>
        <v>OK</v>
      </c>
      <c r="W346" t="str">
        <f t="shared" si="86"/>
        <v>OK</v>
      </c>
      <c r="X346" t="str">
        <f t="shared" si="87"/>
        <v>OK</v>
      </c>
      <c r="Y346" t="str">
        <f t="shared" si="88"/>
        <v>OK</v>
      </c>
      <c r="Z346">
        <v>341</v>
      </c>
      <c r="AA346">
        <v>343</v>
      </c>
      <c r="AB346" t="s">
        <v>2602</v>
      </c>
      <c r="AC346" t="s">
        <v>342</v>
      </c>
      <c r="AD346" t="s">
        <v>463</v>
      </c>
      <c r="AE346" t="s">
        <v>792</v>
      </c>
      <c r="AG346" t="s">
        <v>896</v>
      </c>
      <c r="AI346" t="s">
        <v>2612</v>
      </c>
      <c r="AJ346" t="s">
        <v>1395</v>
      </c>
      <c r="AK346" t="s">
        <v>2602</v>
      </c>
      <c r="AL346" t="s">
        <v>2603</v>
      </c>
      <c r="AN346" t="str">
        <f t="shared" si="90"/>
        <v>OK</v>
      </c>
      <c r="AO346" t="str">
        <f t="shared" si="91"/>
        <v>OK</v>
      </c>
      <c r="AP346" t="str">
        <f t="shared" si="92"/>
        <v>OK</v>
      </c>
      <c r="AR346" t="str">
        <f t="shared" si="93"/>
        <v>OK</v>
      </c>
      <c r="AS346" t="str">
        <f t="shared" si="94"/>
        <v>OK</v>
      </c>
      <c r="AT346" t="str">
        <f t="shared" si="95"/>
        <v>NOK</v>
      </c>
      <c r="AU346" t="str">
        <f t="shared" si="96"/>
        <v>OK</v>
      </c>
      <c r="AV346" t="str">
        <f t="shared" si="97"/>
        <v>OK</v>
      </c>
      <c r="AW346" t="str">
        <f t="shared" si="98"/>
        <v>OK</v>
      </c>
    </row>
    <row r="347" spans="1:49">
      <c r="A347">
        <f>Dbase_velden_versie4_2!A343</f>
        <v>343</v>
      </c>
      <c r="B347" t="str">
        <f>Dbase_velden_versie4_2!B343</f>
        <v>DSS_UITVOERINGSWIJZE</v>
      </c>
      <c r="C347" t="str">
        <f>Dbase_velden_versie4_2!C343</f>
        <v>-</v>
      </c>
      <c r="D347" t="str">
        <f>Dbase_velden_versie4_2!D343</f>
        <v>Uitvoeringswijze van de proef: [constante hoogte, constante bovenbelasting]
Shansep methode (bij consolidatie belasten tot voorbij de grensspanning en vervolgens ontlasten): [wel of niet toegepast]</v>
      </c>
      <c r="E347" t="str">
        <f>Dbase_velden_versie4_2!E343</f>
        <v>String</v>
      </c>
      <c r="F347" t="str">
        <f>Dbase_velden_versie4_2!F343</f>
        <v>constante hoogte, constante bovenbelasting, Shansep toegepast, Shansep niet toegepast</v>
      </c>
      <c r="G347" t="str">
        <f>Dbase_velden_versie4_2!G343</f>
        <v>DSS UITVOERINGSWIJZE</v>
      </c>
      <c r="H347" t="str">
        <f>Dbase_velden_versie4_2!H343</f>
        <v>[-]</v>
      </c>
      <c r="I347" t="str">
        <f>Dbase_velden_versie4_2!I343</f>
        <v>DSS</v>
      </c>
      <c r="J347" t="str">
        <f>Dbase_velden_versie4_2!J343</f>
        <v>DSS proef</v>
      </c>
      <c r="K347">
        <v>343</v>
      </c>
      <c r="L347" t="str">
        <v>DSS_UITVOERINGSWIJZE</v>
      </c>
      <c r="M347" t="str">
        <v>-</v>
      </c>
      <c r="N347" t="str">
        <v>Uitvoeringswijze van de proef: [constante hoogte, constante bovenbelasting]
Shansep methode (bij consolidatie belasten tot voorbij de grensspanning en vervolgens ontlasten): [wel of niet toegepast]</v>
      </c>
      <c r="O347" t="str">
        <v>String</v>
      </c>
      <c r="P347" t="str">
        <v>constante hoogte, constante bovenbelasting, Shansep toegepast, Shansep niet toegepast</v>
      </c>
      <c r="Q347" t="str">
        <v>DSS UITVOERINGSWIJZE</v>
      </c>
      <c r="R347" t="str">
        <v>[-]</v>
      </c>
      <c r="S347" t="str">
        <f t="shared" si="89"/>
        <v>OK</v>
      </c>
      <c r="T347" t="str">
        <f t="shared" si="83"/>
        <v>OK</v>
      </c>
      <c r="U347" t="str">
        <f t="shared" si="84"/>
        <v>OK</v>
      </c>
      <c r="V347" t="str">
        <f t="shared" si="85"/>
        <v>OK</v>
      </c>
      <c r="W347" t="str">
        <f t="shared" si="86"/>
        <v>OK</v>
      </c>
      <c r="X347" t="str">
        <f t="shared" si="87"/>
        <v>OK</v>
      </c>
      <c r="Y347" t="str">
        <f t="shared" si="88"/>
        <v>OK</v>
      </c>
      <c r="Z347">
        <v>342</v>
      </c>
      <c r="AA347">
        <v>344</v>
      </c>
      <c r="AB347" t="s">
        <v>2602</v>
      </c>
      <c r="AC347" t="s">
        <v>343</v>
      </c>
      <c r="AD347" t="s">
        <v>463</v>
      </c>
      <c r="AE347" t="s">
        <v>793</v>
      </c>
      <c r="AG347" t="s">
        <v>896</v>
      </c>
      <c r="AH347" t="s">
        <v>927</v>
      </c>
      <c r="AI347" t="s">
        <v>2613</v>
      </c>
      <c r="AJ347" t="s">
        <v>1395</v>
      </c>
      <c r="AK347" t="s">
        <v>2602</v>
      </c>
      <c r="AL347" t="s">
        <v>2603</v>
      </c>
      <c r="AN347" t="str">
        <f t="shared" si="90"/>
        <v>OK</v>
      </c>
      <c r="AO347" t="str">
        <f t="shared" si="91"/>
        <v>OK</v>
      </c>
      <c r="AP347" t="str">
        <f t="shared" si="92"/>
        <v>OK</v>
      </c>
      <c r="AR347" t="str">
        <f t="shared" si="93"/>
        <v>OK</v>
      </c>
      <c r="AS347" t="str">
        <f t="shared" si="94"/>
        <v>OK</v>
      </c>
      <c r="AT347" t="str">
        <f t="shared" si="95"/>
        <v>NOK</v>
      </c>
      <c r="AU347" t="str">
        <f t="shared" si="96"/>
        <v>OK</v>
      </c>
      <c r="AV347" t="str">
        <f t="shared" si="97"/>
        <v>OK</v>
      </c>
      <c r="AW347" t="str">
        <f t="shared" si="98"/>
        <v>OK</v>
      </c>
    </row>
    <row r="348" spans="1:49">
      <c r="A348">
        <f>Dbase_velden_versie4_2!A344</f>
        <v>344</v>
      </c>
      <c r="B348" t="str">
        <f>Dbase_velden_versie4_2!B344</f>
        <v>DSS_MAX_EFF_VERT_SPANNING_CONSOLIDATIE</v>
      </c>
      <c r="C348" t="str">
        <f>Dbase_velden_versie4_2!C344</f>
        <v>kPa</v>
      </c>
      <c r="D348" t="str">
        <f>Dbase_velden_versie4_2!D344</f>
        <v>Effectieve verticale spanning bij de maximale consolidatiespanning tijdens consolideren (gemeten waarde) / (alleen van toepassing bij Shansep methode)</v>
      </c>
      <c r="E348" t="str">
        <f>Dbase_velden_versie4_2!E344</f>
        <v>Double</v>
      </c>
      <c r="F348">
        <f>Dbase_velden_versie4_2!F344</f>
        <v>0</v>
      </c>
      <c r="G348" t="str">
        <f>Dbase_velden_versie4_2!G344</f>
        <v>DSS MAX EFF VERT SPANNING CONSOLIDATIE</v>
      </c>
      <c r="H348" t="str">
        <f>Dbase_velden_versie4_2!H344</f>
        <v>[kPa]</v>
      </c>
      <c r="I348" t="str">
        <f>Dbase_velden_versie4_2!I344</f>
        <v>DSS</v>
      </c>
      <c r="J348" t="str">
        <f>Dbase_velden_versie4_2!J344</f>
        <v>DSS proef</v>
      </c>
      <c r="K348">
        <v>344</v>
      </c>
      <c r="L348" t="str">
        <v>DSS_MAX_EFF_VERT_SPANNING_CONSOLIDATIE</v>
      </c>
      <c r="M348" t="str">
        <v>kPa</v>
      </c>
      <c r="N348" t="str">
        <v>Effectieve verticale spanning bij de maximale consolidatiespanning tijdens consolideren (gemeten waarde) / (alleen van toepassing bij Shansep methode)</v>
      </c>
      <c r="O348" t="str">
        <v>Double</v>
      </c>
      <c r="P348">
        <v>0</v>
      </c>
      <c r="Q348" t="str">
        <v>DSS MAX EFF VERT SPANNING CONSOLIDATIE</v>
      </c>
      <c r="R348" t="str">
        <v>[kPa]</v>
      </c>
      <c r="S348" t="str">
        <f t="shared" si="89"/>
        <v>OK</v>
      </c>
      <c r="T348" t="str">
        <f t="shared" si="83"/>
        <v>OK</v>
      </c>
      <c r="U348" t="str">
        <f t="shared" si="84"/>
        <v>OK</v>
      </c>
      <c r="V348" t="str">
        <f t="shared" si="85"/>
        <v>OK</v>
      </c>
      <c r="W348" t="str">
        <f t="shared" si="86"/>
        <v>OK</v>
      </c>
      <c r="X348" t="str">
        <f t="shared" si="87"/>
        <v>OK</v>
      </c>
      <c r="Y348" t="str">
        <f t="shared" si="88"/>
        <v>OK</v>
      </c>
      <c r="Z348">
        <v>343</v>
      </c>
      <c r="AA348">
        <v>345</v>
      </c>
      <c r="AB348" t="s">
        <v>2602</v>
      </c>
      <c r="AC348" t="s">
        <v>344</v>
      </c>
      <c r="AD348" t="s">
        <v>470</v>
      </c>
      <c r="AE348" t="s">
        <v>794</v>
      </c>
      <c r="AG348" t="s">
        <v>897</v>
      </c>
      <c r="AI348" t="s">
        <v>2614</v>
      </c>
      <c r="AJ348" t="s">
        <v>1402</v>
      </c>
      <c r="AK348" t="s">
        <v>2602</v>
      </c>
      <c r="AL348" t="s">
        <v>2603</v>
      </c>
      <c r="AN348" t="str">
        <f t="shared" si="90"/>
        <v>OK</v>
      </c>
      <c r="AO348" t="str">
        <f t="shared" si="91"/>
        <v>OK</v>
      </c>
      <c r="AP348" t="str">
        <f t="shared" si="92"/>
        <v>OK</v>
      </c>
      <c r="AR348" t="str">
        <f t="shared" si="93"/>
        <v>OK</v>
      </c>
      <c r="AS348" t="str">
        <f t="shared" si="94"/>
        <v>OK</v>
      </c>
      <c r="AT348" t="str">
        <f t="shared" si="95"/>
        <v>NOK</v>
      </c>
      <c r="AU348" t="str">
        <f t="shared" si="96"/>
        <v>OK</v>
      </c>
      <c r="AV348" t="str">
        <f t="shared" si="97"/>
        <v>OK</v>
      </c>
      <c r="AW348" t="str">
        <f t="shared" si="98"/>
        <v>OK</v>
      </c>
    </row>
    <row r="349" spans="1:49">
      <c r="A349">
        <f>Dbase_velden_versie4_2!A345</f>
        <v>345</v>
      </c>
      <c r="B349" t="str">
        <f>Dbase_velden_versie4_2!B345</f>
        <v>DSS_EFF_VERT_SPANNING_EINDE_CONSOLIDATIE</v>
      </c>
      <c r="C349" t="str">
        <f>Dbase_velden_versie4_2!C345</f>
        <v>kPa</v>
      </c>
      <c r="D349" t="str">
        <f>Dbase_velden_versie4_2!D345</f>
        <v>Effectieve verticale spanning bij de consolidatiespanning aan het eind van het consolideren, is gelijk aan spanning bij begin belasten (gemeten waarde)</v>
      </c>
      <c r="E349" t="str">
        <f>Dbase_velden_versie4_2!E345</f>
        <v>Double</v>
      </c>
      <c r="F349">
        <f>Dbase_velden_versie4_2!F345</f>
        <v>0</v>
      </c>
      <c r="G349" t="str">
        <f>Dbase_velden_versie4_2!G345</f>
        <v>DSS EFF VERT SPANNING EINDE CONSOLIDATIE</v>
      </c>
      <c r="H349" t="str">
        <f>Dbase_velden_versie4_2!H345</f>
        <v>[kPa]</v>
      </c>
      <c r="I349" t="str">
        <f>Dbase_velden_versie4_2!I345</f>
        <v>DSS</v>
      </c>
      <c r="J349" t="str">
        <f>Dbase_velden_versie4_2!J345</f>
        <v>DSS proef</v>
      </c>
      <c r="K349">
        <v>345</v>
      </c>
      <c r="L349" t="str">
        <v>DSS_EFF_VERT_SPANNING_EINDE_CONSOLIDATIE</v>
      </c>
      <c r="M349" t="str">
        <v>kPa</v>
      </c>
      <c r="N349" t="str">
        <v>Effectieve verticale spanning bij de consolidatiespanning aan het eind van het consolideren, is gelijk aan spanning bij begin belasten (gemeten waarde)</v>
      </c>
      <c r="O349" t="str">
        <v>Double</v>
      </c>
      <c r="P349">
        <v>0</v>
      </c>
      <c r="Q349" t="str">
        <v>DSS EFF VERT SPANNING EINDE CONSOLIDATIE</v>
      </c>
      <c r="R349" t="str">
        <v>[kPa]</v>
      </c>
      <c r="S349" t="str">
        <f t="shared" si="89"/>
        <v>OK</v>
      </c>
      <c r="T349" t="str">
        <f t="shared" si="83"/>
        <v>OK</v>
      </c>
      <c r="U349" t="str">
        <f t="shared" si="84"/>
        <v>OK</v>
      </c>
      <c r="V349" t="str">
        <f t="shared" si="85"/>
        <v>OK</v>
      </c>
      <c r="W349" t="str">
        <f t="shared" si="86"/>
        <v>OK</v>
      </c>
      <c r="X349" t="str">
        <f t="shared" si="87"/>
        <v>OK</v>
      </c>
      <c r="Y349" t="str">
        <f t="shared" si="88"/>
        <v>OK</v>
      </c>
      <c r="Z349">
        <v>344</v>
      </c>
      <c r="AA349">
        <v>346</v>
      </c>
      <c r="AB349" t="s">
        <v>2602</v>
      </c>
      <c r="AC349" t="s">
        <v>345</v>
      </c>
      <c r="AD349" t="s">
        <v>470</v>
      </c>
      <c r="AE349" t="s">
        <v>795</v>
      </c>
      <c r="AG349" t="s">
        <v>897</v>
      </c>
      <c r="AI349" t="s">
        <v>2615</v>
      </c>
      <c r="AJ349" t="s">
        <v>1402</v>
      </c>
      <c r="AK349" t="s">
        <v>2602</v>
      </c>
      <c r="AL349" t="s">
        <v>2603</v>
      </c>
      <c r="AN349" t="str">
        <f t="shared" si="90"/>
        <v>OK</v>
      </c>
      <c r="AO349" t="str">
        <f t="shared" si="91"/>
        <v>OK</v>
      </c>
      <c r="AP349" t="str">
        <f t="shared" si="92"/>
        <v>OK</v>
      </c>
      <c r="AR349" t="str">
        <f t="shared" si="93"/>
        <v>OK</v>
      </c>
      <c r="AS349" t="str">
        <f t="shared" si="94"/>
        <v>OK</v>
      </c>
      <c r="AT349" t="str">
        <f t="shared" si="95"/>
        <v>NOK</v>
      </c>
      <c r="AU349" t="str">
        <f t="shared" si="96"/>
        <v>OK</v>
      </c>
      <c r="AV349" t="str">
        <f t="shared" si="97"/>
        <v>OK</v>
      </c>
      <c r="AW349" t="str">
        <f t="shared" si="98"/>
        <v>OK</v>
      </c>
    </row>
    <row r="350" spans="1:49">
      <c r="A350">
        <f>Dbase_velden_versie4_2!A346</f>
        <v>346</v>
      </c>
      <c r="B350" t="str">
        <f>Dbase_velden_versie4_2!B346</f>
        <v>DSS_OCR</v>
      </c>
      <c r="C350" t="str">
        <f>Dbase_velden_versie4_2!C346</f>
        <v>-</v>
      </c>
      <c r="D350" t="str">
        <f>Dbase_velden_versie4_2!D346</f>
        <v>OCR bepaald op basis van de maximale consolidatie spanning (indien groter dan de grensspanning) te delen door de spanning waarbij het monster is beproefd</v>
      </c>
      <c r="E350" t="str">
        <f>Dbase_velden_versie4_2!E346</f>
        <v>Double</v>
      </c>
      <c r="F350" t="str">
        <f>Dbase_velden_versie4_2!F346</f>
        <v>0-10</v>
      </c>
      <c r="G350" t="str">
        <f>Dbase_velden_versie4_2!G346</f>
        <v>DSS OCR</v>
      </c>
      <c r="H350" t="str">
        <f>Dbase_velden_versie4_2!H346</f>
        <v>[-]</v>
      </c>
      <c r="I350" t="str">
        <f>Dbase_velden_versie4_2!I346</f>
        <v>DSS</v>
      </c>
      <c r="J350" t="str">
        <f>Dbase_velden_versie4_2!J346</f>
        <v>DSS proef</v>
      </c>
      <c r="K350">
        <v>346</v>
      </c>
      <c r="L350" t="str">
        <v>DSS_OCR</v>
      </c>
      <c r="M350" t="str">
        <v>-</v>
      </c>
      <c r="N350" t="str">
        <v>OCR bepaald op basis van de maximale consolidatie spanning (indien groter dan de grensspanning) te delen door de spanning waarbij het monster is beproefd</v>
      </c>
      <c r="O350" t="str">
        <v>Double</v>
      </c>
      <c r="P350" t="str">
        <v>0-10</v>
      </c>
      <c r="Q350" t="str">
        <v>DSS OCR</v>
      </c>
      <c r="R350" t="str">
        <v>[-]</v>
      </c>
      <c r="S350" t="str">
        <f t="shared" si="89"/>
        <v>OK</v>
      </c>
      <c r="T350" t="str">
        <f t="shared" si="83"/>
        <v>OK</v>
      </c>
      <c r="U350" t="str">
        <f t="shared" si="84"/>
        <v>OK</v>
      </c>
      <c r="V350" t="str">
        <f t="shared" si="85"/>
        <v>OK</v>
      </c>
      <c r="W350" t="str">
        <f t="shared" si="86"/>
        <v>OK</v>
      </c>
      <c r="X350" t="str">
        <f t="shared" si="87"/>
        <v>OK</v>
      </c>
      <c r="Y350" t="str">
        <f t="shared" si="88"/>
        <v>OK</v>
      </c>
      <c r="Z350">
        <v>345</v>
      </c>
      <c r="AA350">
        <v>347</v>
      </c>
      <c r="AB350" t="s">
        <v>2602</v>
      </c>
      <c r="AC350" t="s">
        <v>346</v>
      </c>
      <c r="AD350" t="s">
        <v>463</v>
      </c>
      <c r="AE350" t="s">
        <v>796</v>
      </c>
      <c r="AG350" t="s">
        <v>897</v>
      </c>
      <c r="AH350" t="s">
        <v>928</v>
      </c>
      <c r="AI350" t="s">
        <v>2616</v>
      </c>
      <c r="AJ350" t="s">
        <v>1395</v>
      </c>
      <c r="AK350" t="s">
        <v>2602</v>
      </c>
      <c r="AL350" t="s">
        <v>2603</v>
      </c>
      <c r="AN350" t="str">
        <f t="shared" si="90"/>
        <v>OK</v>
      </c>
      <c r="AO350" t="str">
        <f t="shared" si="91"/>
        <v>OK</v>
      </c>
      <c r="AP350" t="str">
        <f t="shared" si="92"/>
        <v>OK</v>
      </c>
      <c r="AR350" t="str">
        <f t="shared" si="93"/>
        <v>OK</v>
      </c>
      <c r="AS350" t="str">
        <f t="shared" si="94"/>
        <v>OK</v>
      </c>
      <c r="AT350" t="str">
        <f t="shared" si="95"/>
        <v>NOK</v>
      </c>
      <c r="AU350" t="str">
        <f t="shared" si="96"/>
        <v>OK</v>
      </c>
      <c r="AV350" t="str">
        <f t="shared" si="97"/>
        <v>OK</v>
      </c>
      <c r="AW350" t="str">
        <f t="shared" si="98"/>
        <v>OK</v>
      </c>
    </row>
    <row r="351" spans="1:49">
      <c r="A351">
        <f>Dbase_velden_versie4_2!A347</f>
        <v>347</v>
      </c>
      <c r="B351" t="str">
        <f>Dbase_velden_versie4_2!B347</f>
        <v>DSS_AXIALEREK_EINDE_CONSOLIDATIE</v>
      </c>
      <c r="C351" t="str">
        <f>Dbase_velden_versie4_2!C347</f>
        <v>%</v>
      </c>
      <c r="D351" t="str">
        <f>Dbase_velden_versie4_2!D347</f>
        <v>Axiale rek bij het einde van de consolidatie</v>
      </c>
      <c r="E351" t="str">
        <f>Dbase_velden_versie4_2!E347</f>
        <v>Double</v>
      </c>
      <c r="F351" t="str">
        <f>Dbase_velden_versie4_2!F347</f>
        <v>0% - 100%</v>
      </c>
      <c r="G351" t="str">
        <f>Dbase_velden_versie4_2!G347</f>
        <v>DSS AXIALEREK EINDE CONSOLIDATIE</v>
      </c>
      <c r="H351" t="str">
        <f>Dbase_velden_versie4_2!H347</f>
        <v>[%]</v>
      </c>
      <c r="I351" t="str">
        <f>Dbase_velden_versie4_2!I347</f>
        <v>DSS</v>
      </c>
      <c r="J351" t="str">
        <f>Dbase_velden_versie4_2!J347</f>
        <v>DSS proef</v>
      </c>
      <c r="K351">
        <v>347</v>
      </c>
      <c r="L351" t="str">
        <v>DSS_AXIALEREK_EINDE_CONSOLIDATIE</v>
      </c>
      <c r="M351" t="str">
        <v>%</v>
      </c>
      <c r="N351" t="str">
        <v>Axiale rek bij het einde van de consolidatie</v>
      </c>
      <c r="O351" t="str">
        <v>Double</v>
      </c>
      <c r="P351" t="str">
        <v>0% - 100%</v>
      </c>
      <c r="Q351" t="str">
        <v>DSS AXIALEREK EINDE CONSOLIDATIE</v>
      </c>
      <c r="R351" t="str">
        <v>[%]</v>
      </c>
      <c r="S351" t="str">
        <f t="shared" si="89"/>
        <v>OK</v>
      </c>
      <c r="T351" t="str">
        <f t="shared" si="83"/>
        <v>OK</v>
      </c>
      <c r="U351" t="str">
        <f t="shared" si="84"/>
        <v>OK</v>
      </c>
      <c r="V351" t="str">
        <f t="shared" si="85"/>
        <v>OK</v>
      </c>
      <c r="W351" t="str">
        <f t="shared" si="86"/>
        <v>OK</v>
      </c>
      <c r="X351" t="str">
        <f t="shared" si="87"/>
        <v>OK</v>
      </c>
      <c r="Y351" t="str">
        <f t="shared" si="88"/>
        <v>OK</v>
      </c>
      <c r="Z351">
        <v>346</v>
      </c>
      <c r="AA351">
        <v>348</v>
      </c>
      <c r="AB351" t="s">
        <v>2602</v>
      </c>
      <c r="AC351" t="s">
        <v>347</v>
      </c>
      <c r="AD351" t="s">
        <v>468</v>
      </c>
      <c r="AE351" t="s">
        <v>797</v>
      </c>
      <c r="AG351" t="s">
        <v>897</v>
      </c>
      <c r="AH351" t="s">
        <v>911</v>
      </c>
      <c r="AI351" t="s">
        <v>2617</v>
      </c>
      <c r="AJ351" t="s">
        <v>1400</v>
      </c>
      <c r="AK351" t="s">
        <v>2602</v>
      </c>
      <c r="AL351" t="s">
        <v>2603</v>
      </c>
      <c r="AN351" t="str">
        <f t="shared" si="90"/>
        <v>OK</v>
      </c>
      <c r="AO351" t="str">
        <f t="shared" si="91"/>
        <v>OK</v>
      </c>
      <c r="AP351" t="str">
        <f t="shared" si="92"/>
        <v>OK</v>
      </c>
      <c r="AR351" t="str">
        <f t="shared" si="93"/>
        <v>OK</v>
      </c>
      <c r="AS351" t="str">
        <f t="shared" si="94"/>
        <v>OK</v>
      </c>
      <c r="AT351" t="str">
        <f t="shared" si="95"/>
        <v>NOK</v>
      </c>
      <c r="AU351" t="str">
        <f t="shared" si="96"/>
        <v>OK</v>
      </c>
      <c r="AV351" t="str">
        <f t="shared" si="97"/>
        <v>OK</v>
      </c>
      <c r="AW351" t="str">
        <f t="shared" si="98"/>
        <v>OK</v>
      </c>
    </row>
    <row r="352" spans="1:49">
      <c r="A352">
        <f>Dbase_velden_versie4_2!A348</f>
        <v>348</v>
      </c>
      <c r="B352" t="str">
        <f>Dbase_velden_versie4_2!B348</f>
        <v>DSS_BELASTINGSSTAPPEN_CONSOLIDATIE</v>
      </c>
      <c r="C352" t="str">
        <f>Dbase_velden_versie4_2!C348</f>
        <v>-</v>
      </c>
      <c r="D352" t="str">
        <f>Dbase_velden_versie4_2!D348</f>
        <v>Aantal belasttrappen tijdens het consolideren</v>
      </c>
      <c r="E352" t="str">
        <f>Dbase_velden_versie4_2!E348</f>
        <v>String</v>
      </c>
      <c r="F352">
        <f>Dbase_velden_versie4_2!F348</f>
        <v>0</v>
      </c>
      <c r="G352" t="str">
        <f>Dbase_velden_versie4_2!G348</f>
        <v>DSS BELASTINGSSTAPPEN CONSOLIDATIE</v>
      </c>
      <c r="H352" t="str">
        <f>Dbase_velden_versie4_2!H348</f>
        <v>[-]</v>
      </c>
      <c r="I352" t="str">
        <f>Dbase_velden_versie4_2!I348</f>
        <v>DSS</v>
      </c>
      <c r="J352" t="str">
        <f>Dbase_velden_versie4_2!J348</f>
        <v>DSS proef</v>
      </c>
      <c r="K352">
        <v>348</v>
      </c>
      <c r="L352" t="str">
        <v>DSS_BELASTINGSSTAPPEN_CONSOLIDATIE</v>
      </c>
      <c r="M352" t="str">
        <v>-</v>
      </c>
      <c r="N352" t="str">
        <v>Aantal belasttrappen tijdens het consolideren</v>
      </c>
      <c r="O352" t="str">
        <v>String</v>
      </c>
      <c r="P352">
        <v>0</v>
      </c>
      <c r="Q352" t="str">
        <v>DSS BELASTINGSSTAPPEN CONSOLIDATIE</v>
      </c>
      <c r="R352" t="str">
        <v>[-]</v>
      </c>
      <c r="S352" t="str">
        <f t="shared" si="89"/>
        <v>OK</v>
      </c>
      <c r="T352" t="str">
        <f t="shared" si="83"/>
        <v>OK</v>
      </c>
      <c r="U352" t="str">
        <f t="shared" si="84"/>
        <v>OK</v>
      </c>
      <c r="V352" t="str">
        <f t="shared" si="85"/>
        <v>OK</v>
      </c>
      <c r="W352" t="str">
        <f t="shared" si="86"/>
        <v>OK</v>
      </c>
      <c r="X352" t="str">
        <f t="shared" si="87"/>
        <v>OK</v>
      </c>
      <c r="Y352" t="str">
        <f t="shared" si="88"/>
        <v>OK</v>
      </c>
      <c r="Z352">
        <v>347</v>
      </c>
      <c r="AA352">
        <v>349</v>
      </c>
      <c r="AB352" t="s">
        <v>2602</v>
      </c>
      <c r="AC352" t="s">
        <v>348</v>
      </c>
      <c r="AD352" t="s">
        <v>463</v>
      </c>
      <c r="AE352" t="s">
        <v>798</v>
      </c>
      <c r="AG352" t="s">
        <v>896</v>
      </c>
      <c r="AI352" t="s">
        <v>2618</v>
      </c>
      <c r="AJ352" t="s">
        <v>1395</v>
      </c>
      <c r="AK352" t="s">
        <v>2602</v>
      </c>
      <c r="AL352" t="s">
        <v>2603</v>
      </c>
      <c r="AN352" t="str">
        <f t="shared" si="90"/>
        <v>OK</v>
      </c>
      <c r="AO352" t="str">
        <f t="shared" si="91"/>
        <v>OK</v>
      </c>
      <c r="AP352" t="str">
        <f t="shared" si="92"/>
        <v>OK</v>
      </c>
      <c r="AR352" t="str">
        <f t="shared" si="93"/>
        <v>OK</v>
      </c>
      <c r="AS352" t="str">
        <f t="shared" si="94"/>
        <v>OK</v>
      </c>
      <c r="AT352" t="str">
        <f t="shared" si="95"/>
        <v>NOK</v>
      </c>
      <c r="AU352" t="str">
        <f t="shared" si="96"/>
        <v>OK</v>
      </c>
      <c r="AV352" t="str">
        <f t="shared" si="97"/>
        <v>OK</v>
      </c>
      <c r="AW352" t="str">
        <f t="shared" si="98"/>
        <v>OK</v>
      </c>
    </row>
    <row r="353" spans="1:49">
      <c r="A353">
        <f>Dbase_velden_versie4_2!A349</f>
        <v>349</v>
      </c>
      <c r="B353" t="str">
        <f>Dbase_velden_versie4_2!B349</f>
        <v>DSS_DUUR_CONSOLIDATIE</v>
      </c>
      <c r="C353" t="str">
        <f>Dbase_velden_versie4_2!C349</f>
        <v>uur</v>
      </c>
      <c r="D353" t="str">
        <f>Dbase_velden_versie4_2!D349</f>
        <v>De duur van de consolidatiefase</v>
      </c>
      <c r="E353" t="str">
        <f>Dbase_velden_versie4_2!E349</f>
        <v>Double</v>
      </c>
      <c r="F353">
        <f>Dbase_velden_versie4_2!F349</f>
        <v>0</v>
      </c>
      <c r="G353" t="str">
        <f>Dbase_velden_versie4_2!G349</f>
        <v>DSS DUUR CONSOLIDATIE</v>
      </c>
      <c r="H353" t="str">
        <f>Dbase_velden_versie4_2!H349</f>
        <v>[uur]</v>
      </c>
      <c r="I353" t="str">
        <f>Dbase_velden_versie4_2!I349</f>
        <v>DSS</v>
      </c>
      <c r="J353" t="str">
        <f>Dbase_velden_versie4_2!J349</f>
        <v>DSS proef</v>
      </c>
      <c r="K353">
        <v>349</v>
      </c>
      <c r="L353" t="str">
        <v>DSS_DUUR_CONSOLIDATIE</v>
      </c>
      <c r="M353" t="str">
        <v>uur</v>
      </c>
      <c r="N353" t="str">
        <v>De duur van de consolidatiefase</v>
      </c>
      <c r="O353" t="str">
        <v>Double</v>
      </c>
      <c r="P353">
        <v>0</v>
      </c>
      <c r="Q353" t="str">
        <v>DSS DUUR CONSOLIDATIE</v>
      </c>
      <c r="R353" t="str">
        <v>[uur]</v>
      </c>
      <c r="S353" t="str">
        <f t="shared" si="89"/>
        <v>OK</v>
      </c>
      <c r="T353" t="str">
        <f t="shared" si="83"/>
        <v>OK</v>
      </c>
      <c r="U353" t="str">
        <f t="shared" si="84"/>
        <v>OK</v>
      </c>
      <c r="V353" t="str">
        <f t="shared" si="85"/>
        <v>OK</v>
      </c>
      <c r="W353" t="str">
        <f t="shared" si="86"/>
        <v>OK</v>
      </c>
      <c r="X353" t="str">
        <f t="shared" si="87"/>
        <v>OK</v>
      </c>
      <c r="Y353" t="str">
        <f t="shared" si="88"/>
        <v>OK</v>
      </c>
      <c r="Z353">
        <v>348</v>
      </c>
      <c r="AA353">
        <v>350</v>
      </c>
      <c r="AB353" t="s">
        <v>2602</v>
      </c>
      <c r="AC353" t="s">
        <v>349</v>
      </c>
      <c r="AD353" t="s">
        <v>477</v>
      </c>
      <c r="AE353" t="s">
        <v>799</v>
      </c>
      <c r="AG353" t="s">
        <v>897</v>
      </c>
      <c r="AI353" t="s">
        <v>2619</v>
      </c>
      <c r="AJ353" t="s">
        <v>1409</v>
      </c>
      <c r="AK353" t="s">
        <v>2602</v>
      </c>
      <c r="AL353" t="s">
        <v>2603</v>
      </c>
      <c r="AN353" t="str">
        <f t="shared" si="90"/>
        <v>OK</v>
      </c>
      <c r="AO353" t="str">
        <f t="shared" si="91"/>
        <v>OK</v>
      </c>
      <c r="AP353" t="str">
        <f t="shared" si="92"/>
        <v>OK</v>
      </c>
      <c r="AR353" t="str">
        <f t="shared" si="93"/>
        <v>OK</v>
      </c>
      <c r="AS353" t="str">
        <f t="shared" si="94"/>
        <v>OK</v>
      </c>
      <c r="AT353" t="str">
        <f t="shared" si="95"/>
        <v>NOK</v>
      </c>
      <c r="AU353" t="str">
        <f t="shared" si="96"/>
        <v>OK</v>
      </c>
      <c r="AV353" t="str">
        <f t="shared" si="97"/>
        <v>OK</v>
      </c>
      <c r="AW353" t="str">
        <f t="shared" si="98"/>
        <v>OK</v>
      </c>
    </row>
    <row r="354" spans="1:49">
      <c r="A354">
        <f>Dbase_velden_versie4_2!A350</f>
        <v>350</v>
      </c>
      <c r="B354" t="str">
        <f>Dbase_velden_versie4_2!B350</f>
        <v>DSS_AFSCHUIFSNELHEID_%UUR</v>
      </c>
      <c r="C354" t="str">
        <f>Dbase_velden_versie4_2!C350</f>
        <v>%/uur</v>
      </c>
      <c r="D354" t="str">
        <f>Dbase_velden_versie4_2!D350</f>
        <v>De afschuifsnelheid tijdens de proef in %/uur</v>
      </c>
      <c r="E354" t="str">
        <f>Dbase_velden_versie4_2!E350</f>
        <v>Double</v>
      </c>
      <c r="F354">
        <f>Dbase_velden_versie4_2!F350</f>
        <v>0</v>
      </c>
      <c r="G354" t="str">
        <f>Dbase_velden_versie4_2!G350</f>
        <v>DSS AFSCHUIFSNELHEID %UUR</v>
      </c>
      <c r="H354" t="str">
        <f>Dbase_velden_versie4_2!H350</f>
        <v>[%/uur]</v>
      </c>
      <c r="I354" t="str">
        <f>Dbase_velden_versie4_2!I350</f>
        <v>DSS</v>
      </c>
      <c r="J354" t="str">
        <f>Dbase_velden_versie4_2!J350</f>
        <v>DSS proef</v>
      </c>
      <c r="K354">
        <v>350</v>
      </c>
      <c r="L354" t="str">
        <v>DSS_AFSCHUIFSNELHEID_%UUR</v>
      </c>
      <c r="M354" t="str">
        <v>%/uur</v>
      </c>
      <c r="N354" t="str">
        <v>De afschuifsnelheid tijdens de proef in %/uur</v>
      </c>
      <c r="O354" t="str">
        <v>Double</v>
      </c>
      <c r="P354">
        <v>0</v>
      </c>
      <c r="Q354" t="str">
        <v>DSS AFSCHUIFSNELHEID %UUR</v>
      </c>
      <c r="R354" t="str">
        <v>[%/uur]</v>
      </c>
      <c r="S354" t="str">
        <f t="shared" si="89"/>
        <v>OK</v>
      </c>
      <c r="T354" t="str">
        <f t="shared" si="83"/>
        <v>OK</v>
      </c>
      <c r="U354" t="str">
        <f t="shared" si="84"/>
        <v>OK</v>
      </c>
      <c r="V354" t="str">
        <f t="shared" si="85"/>
        <v>OK</v>
      </c>
      <c r="W354" t="str">
        <f t="shared" si="86"/>
        <v>OK</v>
      </c>
      <c r="X354" t="str">
        <f t="shared" si="87"/>
        <v>OK</v>
      </c>
      <c r="Y354" t="str">
        <f t="shared" si="88"/>
        <v>OK</v>
      </c>
      <c r="Z354">
        <v>349</v>
      </c>
      <c r="AA354">
        <v>351</v>
      </c>
      <c r="AB354" t="s">
        <v>2602</v>
      </c>
      <c r="AC354" t="s">
        <v>350</v>
      </c>
      <c r="AD354" t="s">
        <v>476</v>
      </c>
      <c r="AE354" t="s">
        <v>800</v>
      </c>
      <c r="AG354" t="s">
        <v>897</v>
      </c>
      <c r="AI354" t="s">
        <v>2620</v>
      </c>
      <c r="AJ354" t="s">
        <v>1408</v>
      </c>
      <c r="AK354" t="s">
        <v>2602</v>
      </c>
      <c r="AL354" t="s">
        <v>2603</v>
      </c>
      <c r="AN354" t="str">
        <f t="shared" si="90"/>
        <v>OK</v>
      </c>
      <c r="AO354" t="str">
        <f t="shared" si="91"/>
        <v>OK</v>
      </c>
      <c r="AP354" t="str">
        <f t="shared" si="92"/>
        <v>OK</v>
      </c>
      <c r="AR354" t="str">
        <f t="shared" si="93"/>
        <v>OK</v>
      </c>
      <c r="AS354" t="str">
        <f t="shared" si="94"/>
        <v>OK</v>
      </c>
      <c r="AT354" t="str">
        <f t="shared" si="95"/>
        <v>NOK</v>
      </c>
      <c r="AU354" t="str">
        <f t="shared" si="96"/>
        <v>OK</v>
      </c>
      <c r="AV354" t="str">
        <f t="shared" si="97"/>
        <v>OK</v>
      </c>
      <c r="AW354" t="str">
        <f t="shared" si="98"/>
        <v>OK</v>
      </c>
    </row>
    <row r="355" spans="1:49">
      <c r="A355">
        <f>Dbase_velden_versie4_2!A351</f>
        <v>351</v>
      </c>
      <c r="B355" t="str">
        <f>Dbase_velden_versie4_2!B351</f>
        <v>DSS_AFSCHUIFSNELHEID_MMUUR</v>
      </c>
      <c r="C355" t="str">
        <f>Dbase_velden_versie4_2!C351</f>
        <v>mm/uur</v>
      </c>
      <c r="D355" t="str">
        <f>Dbase_velden_versie4_2!D351</f>
        <v>De afschuifsnelheid tijdens de proef in mm/uur</v>
      </c>
      <c r="E355" t="str">
        <f>Dbase_velden_versie4_2!E351</f>
        <v>Double</v>
      </c>
      <c r="F355">
        <f>Dbase_velden_versie4_2!F351</f>
        <v>0</v>
      </c>
      <c r="G355" t="str">
        <f>Dbase_velden_versie4_2!G351</f>
        <v>DSS AFSCHUIFSNELHEID MMUUR</v>
      </c>
      <c r="H355" t="str">
        <f>Dbase_velden_versie4_2!H351</f>
        <v>[mm/uur]</v>
      </c>
      <c r="I355" t="str">
        <f>Dbase_velden_versie4_2!I351</f>
        <v>DSS</v>
      </c>
      <c r="J355" t="str">
        <f>Dbase_velden_versie4_2!J351</f>
        <v>DSS proef</v>
      </c>
      <c r="K355">
        <v>351</v>
      </c>
      <c r="L355" t="str">
        <v>DSS_AFSCHUIFSNELHEID_MMUUR</v>
      </c>
      <c r="M355" t="str">
        <v>mm/uur</v>
      </c>
      <c r="N355" t="str">
        <v>De afschuifsnelheid tijdens de proef in mm/uur</v>
      </c>
      <c r="O355" t="str">
        <v>Double</v>
      </c>
      <c r="P355">
        <v>0</v>
      </c>
      <c r="Q355" t="str">
        <v>DSS AFSCHUIFSNELHEID MMUUR</v>
      </c>
      <c r="R355" t="str">
        <v>[mm/uur]</v>
      </c>
      <c r="S355" t="str">
        <f t="shared" si="89"/>
        <v>OK</v>
      </c>
      <c r="T355" t="str">
        <f t="shared" si="83"/>
        <v>OK</v>
      </c>
      <c r="U355" t="str">
        <f t="shared" si="84"/>
        <v>OK</v>
      </c>
      <c r="V355" t="str">
        <f t="shared" si="85"/>
        <v>OK</v>
      </c>
      <c r="W355" t="str">
        <f t="shared" si="86"/>
        <v>OK</v>
      </c>
      <c r="X355" t="str">
        <f t="shared" si="87"/>
        <v>OK</v>
      </c>
      <c r="Y355" t="str">
        <f t="shared" si="88"/>
        <v>OK</v>
      </c>
      <c r="Z355">
        <v>350</v>
      </c>
      <c r="AA355">
        <v>352</v>
      </c>
      <c r="AB355" t="s">
        <v>2602</v>
      </c>
      <c r="AC355" t="s">
        <v>351</v>
      </c>
      <c r="AD355" t="s">
        <v>480</v>
      </c>
      <c r="AE355" t="s">
        <v>801</v>
      </c>
      <c r="AG355" t="s">
        <v>897</v>
      </c>
      <c r="AI355" t="s">
        <v>2621</v>
      </c>
      <c r="AJ355" t="s">
        <v>1412</v>
      </c>
      <c r="AK355" t="s">
        <v>2602</v>
      </c>
      <c r="AL355" t="s">
        <v>2603</v>
      </c>
      <c r="AN355" t="str">
        <f t="shared" si="90"/>
        <v>OK</v>
      </c>
      <c r="AO355" t="str">
        <f t="shared" si="91"/>
        <v>OK</v>
      </c>
      <c r="AP355" t="str">
        <f t="shared" si="92"/>
        <v>OK</v>
      </c>
      <c r="AR355" t="str">
        <f t="shared" si="93"/>
        <v>OK</v>
      </c>
      <c r="AS355" t="str">
        <f t="shared" si="94"/>
        <v>OK</v>
      </c>
      <c r="AT355" t="str">
        <f t="shared" si="95"/>
        <v>NOK</v>
      </c>
      <c r="AU355" t="str">
        <f t="shared" si="96"/>
        <v>OK</v>
      </c>
      <c r="AV355" t="str">
        <f t="shared" si="97"/>
        <v>OK</v>
      </c>
      <c r="AW355" t="str">
        <f t="shared" si="98"/>
        <v>OK</v>
      </c>
    </row>
    <row r="356" spans="1:49">
      <c r="A356">
        <f>Dbase_velden_versie4_2!A352</f>
        <v>352</v>
      </c>
      <c r="B356" t="str">
        <f>Dbase_velden_versie4_2!B352</f>
        <v>DSS_S_2%</v>
      </c>
      <c r="C356" t="str">
        <f>Dbase_velden_versie4_2!C352</f>
        <v>kPa</v>
      </c>
      <c r="D356" t="str">
        <f>Dbase_velden_versie4_2!D352</f>
        <v>De normaalspanning (sigma) bij 2% rek</v>
      </c>
      <c r="E356" t="str">
        <f>Dbase_velden_versie4_2!E352</f>
        <v>Double</v>
      </c>
      <c r="F356">
        <f>Dbase_velden_versie4_2!F352</f>
        <v>0</v>
      </c>
      <c r="G356" t="str">
        <f>Dbase_velden_versie4_2!G352</f>
        <v>DSS S 2%</v>
      </c>
      <c r="H356" t="str">
        <f>Dbase_velden_versie4_2!H352</f>
        <v>[kPa]</v>
      </c>
      <c r="I356" t="str">
        <f>Dbase_velden_versie4_2!I352</f>
        <v>DSS</v>
      </c>
      <c r="J356" t="str">
        <f>Dbase_velden_versie4_2!J352</f>
        <v>DSS proef</v>
      </c>
      <c r="K356">
        <v>352</v>
      </c>
      <c r="L356" t="str">
        <v>DSS_S_2%</v>
      </c>
      <c r="M356" t="str">
        <v>kPa</v>
      </c>
      <c r="N356" t="str">
        <v>De normaalspanning (sigma) bij 2% rek</v>
      </c>
      <c r="O356" t="str">
        <v>Double</v>
      </c>
      <c r="P356">
        <v>0</v>
      </c>
      <c r="Q356" t="str">
        <v>DSS S 2%</v>
      </c>
      <c r="R356" t="str">
        <v>[kPa]</v>
      </c>
      <c r="S356" t="str">
        <f t="shared" si="89"/>
        <v>OK</v>
      </c>
      <c r="T356" t="str">
        <f t="shared" si="83"/>
        <v>OK</v>
      </c>
      <c r="U356" t="str">
        <f t="shared" si="84"/>
        <v>OK</v>
      </c>
      <c r="V356" t="str">
        <f t="shared" si="85"/>
        <v>OK</v>
      </c>
      <c r="W356" t="str">
        <f t="shared" si="86"/>
        <v>OK</v>
      </c>
      <c r="X356" t="str">
        <f t="shared" si="87"/>
        <v>OK</v>
      </c>
      <c r="Y356" t="str">
        <f t="shared" si="88"/>
        <v>OK</v>
      </c>
      <c r="Z356">
        <v>351</v>
      </c>
      <c r="AA356">
        <v>353</v>
      </c>
      <c r="AB356" t="s">
        <v>2602</v>
      </c>
      <c r="AC356" t="s">
        <v>352</v>
      </c>
      <c r="AD356" t="s">
        <v>470</v>
      </c>
      <c r="AE356" t="s">
        <v>802</v>
      </c>
      <c r="AG356" t="s">
        <v>897</v>
      </c>
      <c r="AI356" t="s">
        <v>2622</v>
      </c>
      <c r="AJ356" t="s">
        <v>1402</v>
      </c>
      <c r="AK356" t="s">
        <v>2602</v>
      </c>
      <c r="AL356" t="s">
        <v>2603</v>
      </c>
      <c r="AN356" t="str">
        <f t="shared" si="90"/>
        <v>OK</v>
      </c>
      <c r="AO356" t="str">
        <f t="shared" si="91"/>
        <v>OK</v>
      </c>
      <c r="AP356" t="str">
        <f t="shared" si="92"/>
        <v>OK</v>
      </c>
      <c r="AR356" t="str">
        <f t="shared" si="93"/>
        <v>OK</v>
      </c>
      <c r="AS356" t="str">
        <f t="shared" si="94"/>
        <v>OK</v>
      </c>
      <c r="AT356" t="str">
        <f t="shared" si="95"/>
        <v>NOK</v>
      </c>
      <c r="AU356" t="str">
        <f t="shared" si="96"/>
        <v>OK</v>
      </c>
      <c r="AV356" t="str">
        <f t="shared" si="97"/>
        <v>OK</v>
      </c>
      <c r="AW356" t="str">
        <f t="shared" si="98"/>
        <v>OK</v>
      </c>
    </row>
    <row r="357" spans="1:49">
      <c r="A357">
        <f>Dbase_velden_versie4_2!A353</f>
        <v>353</v>
      </c>
      <c r="B357" t="str">
        <f>Dbase_velden_versie4_2!B353</f>
        <v>DSS_T_2%</v>
      </c>
      <c r="C357" t="str">
        <f>Dbase_velden_versie4_2!C353</f>
        <v>kPa</v>
      </c>
      <c r="D357" t="str">
        <f>Dbase_velden_versie4_2!D353</f>
        <v>De schuifspanning (tau) bij 2% rek</v>
      </c>
      <c r="E357" t="str">
        <f>Dbase_velden_versie4_2!E353</f>
        <v>Double</v>
      </c>
      <c r="F357">
        <f>Dbase_velden_versie4_2!F353</f>
        <v>0</v>
      </c>
      <c r="G357" t="str">
        <f>Dbase_velden_versie4_2!G353</f>
        <v>DSS T 2%</v>
      </c>
      <c r="H357" t="str">
        <f>Dbase_velden_versie4_2!H353</f>
        <v>[kPa]</v>
      </c>
      <c r="I357" t="str">
        <f>Dbase_velden_versie4_2!I353</f>
        <v>DSS</v>
      </c>
      <c r="J357" t="str">
        <f>Dbase_velden_versie4_2!J353</f>
        <v>DSS proef</v>
      </c>
      <c r="K357">
        <v>353</v>
      </c>
      <c r="L357" t="str">
        <v>DSS_T_2%</v>
      </c>
      <c r="M357" t="str">
        <v>kPa</v>
      </c>
      <c r="N357" t="str">
        <v>De schuifspanning (tau) bij 2% rek</v>
      </c>
      <c r="O357" t="str">
        <v>Double</v>
      </c>
      <c r="P357">
        <v>0</v>
      </c>
      <c r="Q357" t="str">
        <v>DSS T 2%</v>
      </c>
      <c r="R357" t="str">
        <v>[kPa]</v>
      </c>
      <c r="S357" t="str">
        <f t="shared" si="89"/>
        <v>OK</v>
      </c>
      <c r="T357" t="str">
        <f t="shared" si="83"/>
        <v>OK</v>
      </c>
      <c r="U357" t="str">
        <f t="shared" si="84"/>
        <v>OK</v>
      </c>
      <c r="V357" t="str">
        <f t="shared" si="85"/>
        <v>OK</v>
      </c>
      <c r="W357" t="str">
        <f t="shared" si="86"/>
        <v>OK</v>
      </c>
      <c r="X357" t="str">
        <f t="shared" si="87"/>
        <v>OK</v>
      </c>
      <c r="Y357" t="str">
        <f t="shared" si="88"/>
        <v>OK</v>
      </c>
      <c r="Z357">
        <v>352</v>
      </c>
      <c r="AA357">
        <v>354</v>
      </c>
      <c r="AB357" t="s">
        <v>2602</v>
      </c>
      <c r="AC357" t="s">
        <v>353</v>
      </c>
      <c r="AD357" t="s">
        <v>470</v>
      </c>
      <c r="AE357" t="s">
        <v>803</v>
      </c>
      <c r="AG357" t="s">
        <v>897</v>
      </c>
      <c r="AI357" t="s">
        <v>2623</v>
      </c>
      <c r="AJ357" t="s">
        <v>1402</v>
      </c>
      <c r="AK357" t="s">
        <v>2602</v>
      </c>
      <c r="AL357" t="s">
        <v>2603</v>
      </c>
      <c r="AN357" t="str">
        <f t="shared" si="90"/>
        <v>OK</v>
      </c>
      <c r="AO357" t="str">
        <f t="shared" si="91"/>
        <v>OK</v>
      </c>
      <c r="AP357" t="str">
        <f t="shared" si="92"/>
        <v>OK</v>
      </c>
      <c r="AR357" t="str">
        <f t="shared" si="93"/>
        <v>OK</v>
      </c>
      <c r="AS357" t="str">
        <f t="shared" si="94"/>
        <v>OK</v>
      </c>
      <c r="AT357" t="str">
        <f t="shared" si="95"/>
        <v>NOK</v>
      </c>
      <c r="AU357" t="str">
        <f t="shared" si="96"/>
        <v>OK</v>
      </c>
      <c r="AV357" t="str">
        <f t="shared" si="97"/>
        <v>OK</v>
      </c>
      <c r="AW357" t="str">
        <f t="shared" si="98"/>
        <v>OK</v>
      </c>
    </row>
    <row r="358" spans="1:49">
      <c r="A358">
        <f>Dbase_velden_versie4_2!A354</f>
        <v>354</v>
      </c>
      <c r="B358" t="str">
        <f>Dbase_velden_versie4_2!B354</f>
        <v>DSS_S_5%</v>
      </c>
      <c r="C358" t="str">
        <f>Dbase_velden_versie4_2!C354</f>
        <v>kPa</v>
      </c>
      <c r="D358" t="str">
        <f>Dbase_velden_versie4_2!D354</f>
        <v>De normaalspanning (sigma) bij 5% rek</v>
      </c>
      <c r="E358" t="str">
        <f>Dbase_velden_versie4_2!E354</f>
        <v>Double</v>
      </c>
      <c r="F358">
        <f>Dbase_velden_versie4_2!F354</f>
        <v>0</v>
      </c>
      <c r="G358" t="str">
        <f>Dbase_velden_versie4_2!G354</f>
        <v>DSS S 5%</v>
      </c>
      <c r="H358" t="str">
        <f>Dbase_velden_versie4_2!H354</f>
        <v>[kPa]</v>
      </c>
      <c r="I358" t="str">
        <f>Dbase_velden_versie4_2!I354</f>
        <v>DSS</v>
      </c>
      <c r="J358" t="str">
        <f>Dbase_velden_versie4_2!J354</f>
        <v>DSS proef</v>
      </c>
      <c r="K358">
        <v>354</v>
      </c>
      <c r="L358" t="str">
        <v>DSS_S_5%</v>
      </c>
      <c r="M358" t="str">
        <v>kPa</v>
      </c>
      <c r="N358" t="str">
        <v>De normaalspanning (sigma) bij 5% rek</v>
      </c>
      <c r="O358" t="str">
        <v>Double</v>
      </c>
      <c r="P358">
        <v>0</v>
      </c>
      <c r="Q358" t="str">
        <v>DSS S 5%</v>
      </c>
      <c r="R358" t="str">
        <v>[kPa]</v>
      </c>
      <c r="S358" t="str">
        <f t="shared" si="89"/>
        <v>OK</v>
      </c>
      <c r="T358" t="str">
        <f t="shared" si="83"/>
        <v>OK</v>
      </c>
      <c r="U358" t="str">
        <f t="shared" si="84"/>
        <v>OK</v>
      </c>
      <c r="V358" t="str">
        <f t="shared" si="85"/>
        <v>OK</v>
      </c>
      <c r="W358" t="str">
        <f t="shared" si="86"/>
        <v>OK</v>
      </c>
      <c r="X358" t="str">
        <f t="shared" si="87"/>
        <v>OK</v>
      </c>
      <c r="Y358" t="str">
        <f t="shared" si="88"/>
        <v>OK</v>
      </c>
      <c r="Z358">
        <v>353</v>
      </c>
      <c r="AA358">
        <v>355</v>
      </c>
      <c r="AB358" t="s">
        <v>2602</v>
      </c>
      <c r="AC358" t="s">
        <v>354</v>
      </c>
      <c r="AD358" t="s">
        <v>470</v>
      </c>
      <c r="AE358" t="s">
        <v>804</v>
      </c>
      <c r="AG358" t="s">
        <v>897</v>
      </c>
      <c r="AI358" t="s">
        <v>2624</v>
      </c>
      <c r="AJ358" t="s">
        <v>1402</v>
      </c>
      <c r="AK358" t="s">
        <v>2602</v>
      </c>
      <c r="AL358" t="s">
        <v>2603</v>
      </c>
      <c r="AN358" t="str">
        <f t="shared" si="90"/>
        <v>OK</v>
      </c>
      <c r="AO358" t="str">
        <f t="shared" si="91"/>
        <v>OK</v>
      </c>
      <c r="AP358" t="str">
        <f t="shared" si="92"/>
        <v>OK</v>
      </c>
      <c r="AR358" t="str">
        <f t="shared" si="93"/>
        <v>OK</v>
      </c>
      <c r="AS358" t="str">
        <f t="shared" si="94"/>
        <v>OK</v>
      </c>
      <c r="AT358" t="str">
        <f t="shared" si="95"/>
        <v>NOK</v>
      </c>
      <c r="AU358" t="str">
        <f t="shared" si="96"/>
        <v>OK</v>
      </c>
      <c r="AV358" t="str">
        <f t="shared" si="97"/>
        <v>OK</v>
      </c>
      <c r="AW358" t="str">
        <f t="shared" si="98"/>
        <v>OK</v>
      </c>
    </row>
    <row r="359" spans="1:49">
      <c r="A359">
        <f>Dbase_velden_versie4_2!A355</f>
        <v>355</v>
      </c>
      <c r="B359" t="str">
        <f>Dbase_velden_versie4_2!B355</f>
        <v>DSS_T_5%</v>
      </c>
      <c r="C359" t="str">
        <f>Dbase_velden_versie4_2!C355</f>
        <v>kPa</v>
      </c>
      <c r="D359" t="str">
        <f>Dbase_velden_versie4_2!D355</f>
        <v>De schuifspanning (tau) bij 5% rek</v>
      </c>
      <c r="E359" t="str">
        <f>Dbase_velden_versie4_2!E355</f>
        <v>Double</v>
      </c>
      <c r="F359">
        <f>Dbase_velden_versie4_2!F355</f>
        <v>0</v>
      </c>
      <c r="G359" t="str">
        <f>Dbase_velden_versie4_2!G355</f>
        <v>DSS T 5%</v>
      </c>
      <c r="H359" t="str">
        <f>Dbase_velden_versie4_2!H355</f>
        <v>[kPa]</v>
      </c>
      <c r="I359" t="str">
        <f>Dbase_velden_versie4_2!I355</f>
        <v>DSS</v>
      </c>
      <c r="J359" t="str">
        <f>Dbase_velden_versie4_2!J355</f>
        <v>DSS proef</v>
      </c>
      <c r="K359">
        <v>355</v>
      </c>
      <c r="L359" t="str">
        <v>DSS_T_5%</v>
      </c>
      <c r="M359" t="str">
        <v>kPa</v>
      </c>
      <c r="N359" t="str">
        <v>De schuifspanning (tau) bij 5% rek</v>
      </c>
      <c r="O359" t="str">
        <v>Double</v>
      </c>
      <c r="P359">
        <v>0</v>
      </c>
      <c r="Q359" t="str">
        <v>DSS T 5%</v>
      </c>
      <c r="R359" t="str">
        <v>[kPa]</v>
      </c>
      <c r="S359" t="str">
        <f t="shared" si="89"/>
        <v>OK</v>
      </c>
      <c r="T359" t="str">
        <f t="shared" si="83"/>
        <v>OK</v>
      </c>
      <c r="U359" t="str">
        <f t="shared" si="84"/>
        <v>OK</v>
      </c>
      <c r="V359" t="str">
        <f t="shared" si="85"/>
        <v>OK</v>
      </c>
      <c r="W359" t="str">
        <f t="shared" si="86"/>
        <v>OK</v>
      </c>
      <c r="X359" t="str">
        <f t="shared" si="87"/>
        <v>OK</v>
      </c>
      <c r="Y359" t="str">
        <f t="shared" si="88"/>
        <v>OK</v>
      </c>
      <c r="Z359">
        <v>354</v>
      </c>
      <c r="AA359">
        <v>356</v>
      </c>
      <c r="AB359" t="s">
        <v>2602</v>
      </c>
      <c r="AC359" t="s">
        <v>355</v>
      </c>
      <c r="AD359" t="s">
        <v>470</v>
      </c>
      <c r="AE359" t="s">
        <v>805</v>
      </c>
      <c r="AG359" t="s">
        <v>897</v>
      </c>
      <c r="AI359" t="s">
        <v>2625</v>
      </c>
      <c r="AJ359" t="s">
        <v>1402</v>
      </c>
      <c r="AK359" t="s">
        <v>2602</v>
      </c>
      <c r="AL359" t="s">
        <v>2603</v>
      </c>
      <c r="AN359" t="str">
        <f t="shared" si="90"/>
        <v>OK</v>
      </c>
      <c r="AO359" t="str">
        <f t="shared" si="91"/>
        <v>OK</v>
      </c>
      <c r="AP359" t="str">
        <f t="shared" si="92"/>
        <v>OK</v>
      </c>
      <c r="AR359" t="str">
        <f t="shared" si="93"/>
        <v>OK</v>
      </c>
      <c r="AS359" t="str">
        <f t="shared" si="94"/>
        <v>OK</v>
      </c>
      <c r="AT359" t="str">
        <f t="shared" si="95"/>
        <v>NOK</v>
      </c>
      <c r="AU359" t="str">
        <f t="shared" si="96"/>
        <v>OK</v>
      </c>
      <c r="AV359" t="str">
        <f t="shared" si="97"/>
        <v>OK</v>
      </c>
      <c r="AW359" t="str">
        <f t="shared" si="98"/>
        <v>OK</v>
      </c>
    </row>
    <row r="360" spans="1:49">
      <c r="A360">
        <f>Dbase_velden_versie4_2!A356</f>
        <v>356</v>
      </c>
      <c r="B360" t="str">
        <f>Dbase_velden_versie4_2!B356</f>
        <v>DSS_S_10%</v>
      </c>
      <c r="C360" t="str">
        <f>Dbase_velden_versie4_2!C356</f>
        <v>kPa</v>
      </c>
      <c r="D360" t="str">
        <f>Dbase_velden_versie4_2!D356</f>
        <v>De normaalspanning (sigma) bij 10% rek</v>
      </c>
      <c r="E360" t="str">
        <f>Dbase_velden_versie4_2!E356</f>
        <v>Double</v>
      </c>
      <c r="F360">
        <f>Dbase_velden_versie4_2!F356</f>
        <v>0</v>
      </c>
      <c r="G360" t="str">
        <f>Dbase_velden_versie4_2!G356</f>
        <v>DSS S 10%</v>
      </c>
      <c r="H360" t="str">
        <f>Dbase_velden_versie4_2!H356</f>
        <v>[kPa]</v>
      </c>
      <c r="I360" t="str">
        <f>Dbase_velden_versie4_2!I356</f>
        <v>DSS</v>
      </c>
      <c r="J360" t="str">
        <f>Dbase_velden_versie4_2!J356</f>
        <v>DSS proef</v>
      </c>
      <c r="K360">
        <v>356</v>
      </c>
      <c r="L360" t="str">
        <v>DSS_S_10%</v>
      </c>
      <c r="M360" t="str">
        <v>kPa</v>
      </c>
      <c r="N360" t="str">
        <v>De normaalspanning (sigma) bij 10% rek</v>
      </c>
      <c r="O360" t="str">
        <v>Double</v>
      </c>
      <c r="P360">
        <v>0</v>
      </c>
      <c r="Q360" t="str">
        <v>DSS S 10%</v>
      </c>
      <c r="R360" t="str">
        <v>[kPa]</v>
      </c>
      <c r="S360" t="str">
        <f t="shared" si="89"/>
        <v>OK</v>
      </c>
      <c r="T360" t="str">
        <f t="shared" si="83"/>
        <v>OK</v>
      </c>
      <c r="U360" t="str">
        <f t="shared" si="84"/>
        <v>OK</v>
      </c>
      <c r="V360" t="str">
        <f t="shared" si="85"/>
        <v>OK</v>
      </c>
      <c r="W360" t="str">
        <f t="shared" si="86"/>
        <v>OK</v>
      </c>
      <c r="X360" t="str">
        <f t="shared" si="87"/>
        <v>OK</v>
      </c>
      <c r="Y360" t="str">
        <f t="shared" si="88"/>
        <v>OK</v>
      </c>
      <c r="Z360">
        <v>355</v>
      </c>
      <c r="AA360">
        <v>357</v>
      </c>
      <c r="AB360" t="s">
        <v>2602</v>
      </c>
      <c r="AC360" t="s">
        <v>356</v>
      </c>
      <c r="AD360" t="s">
        <v>470</v>
      </c>
      <c r="AE360" t="s">
        <v>806</v>
      </c>
      <c r="AG360" t="s">
        <v>897</v>
      </c>
      <c r="AI360" t="s">
        <v>2626</v>
      </c>
      <c r="AJ360" t="s">
        <v>1402</v>
      </c>
      <c r="AK360" t="s">
        <v>2602</v>
      </c>
      <c r="AL360" t="s">
        <v>2603</v>
      </c>
      <c r="AN360" t="str">
        <f t="shared" si="90"/>
        <v>OK</v>
      </c>
      <c r="AO360" t="str">
        <f t="shared" si="91"/>
        <v>OK</v>
      </c>
      <c r="AP360" t="str">
        <f t="shared" si="92"/>
        <v>OK</v>
      </c>
      <c r="AR360" t="str">
        <f t="shared" si="93"/>
        <v>OK</v>
      </c>
      <c r="AS360" t="str">
        <f t="shared" si="94"/>
        <v>OK</v>
      </c>
      <c r="AT360" t="str">
        <f t="shared" si="95"/>
        <v>NOK</v>
      </c>
      <c r="AU360" t="str">
        <f t="shared" si="96"/>
        <v>OK</v>
      </c>
      <c r="AV360" t="str">
        <f t="shared" si="97"/>
        <v>OK</v>
      </c>
      <c r="AW360" t="str">
        <f t="shared" si="98"/>
        <v>OK</v>
      </c>
    </row>
    <row r="361" spans="1:49">
      <c r="A361">
        <f>Dbase_velden_versie4_2!A357</f>
        <v>357</v>
      </c>
      <c r="B361" t="str">
        <f>Dbase_velden_versie4_2!B357</f>
        <v>DSS_T_10%</v>
      </c>
      <c r="C361" t="str">
        <f>Dbase_velden_versie4_2!C357</f>
        <v>kPa</v>
      </c>
      <c r="D361" t="str">
        <f>Dbase_velden_versie4_2!D357</f>
        <v>De schuifspanning (tau) bij 10% rek</v>
      </c>
      <c r="E361" t="str">
        <f>Dbase_velden_versie4_2!E357</f>
        <v>Double</v>
      </c>
      <c r="F361">
        <f>Dbase_velden_versie4_2!F357</f>
        <v>0</v>
      </c>
      <c r="G361" t="str">
        <f>Dbase_velden_versie4_2!G357</f>
        <v>DSS T 10%</v>
      </c>
      <c r="H361" t="str">
        <f>Dbase_velden_versie4_2!H357</f>
        <v>[kPa]</v>
      </c>
      <c r="I361" t="str">
        <f>Dbase_velden_versie4_2!I357</f>
        <v>DSS</v>
      </c>
      <c r="J361" t="str">
        <f>Dbase_velden_versie4_2!J357</f>
        <v>DSS proef</v>
      </c>
      <c r="K361">
        <v>357</v>
      </c>
      <c r="L361" t="str">
        <v>DSS_T_10%</v>
      </c>
      <c r="M361" t="str">
        <v>kPa</v>
      </c>
      <c r="N361" t="str">
        <v>De schuifspanning (tau) bij 10% rek</v>
      </c>
      <c r="O361" t="str">
        <v>Double</v>
      </c>
      <c r="P361">
        <v>0</v>
      </c>
      <c r="Q361" t="str">
        <v>DSS T 10%</v>
      </c>
      <c r="R361" t="str">
        <v>[kPa]</v>
      </c>
      <c r="S361" t="str">
        <f t="shared" si="89"/>
        <v>OK</v>
      </c>
      <c r="T361" t="str">
        <f t="shared" si="83"/>
        <v>OK</v>
      </c>
      <c r="U361" t="str">
        <f t="shared" si="84"/>
        <v>OK</v>
      </c>
      <c r="V361" t="str">
        <f t="shared" si="85"/>
        <v>OK</v>
      </c>
      <c r="W361" t="str">
        <f t="shared" si="86"/>
        <v>OK</v>
      </c>
      <c r="X361" t="str">
        <f t="shared" si="87"/>
        <v>OK</v>
      </c>
      <c r="Y361" t="str">
        <f t="shared" si="88"/>
        <v>OK</v>
      </c>
      <c r="Z361">
        <v>356</v>
      </c>
      <c r="AA361">
        <v>358</v>
      </c>
      <c r="AB361" t="s">
        <v>2602</v>
      </c>
      <c r="AC361" t="s">
        <v>357</v>
      </c>
      <c r="AD361" t="s">
        <v>470</v>
      </c>
      <c r="AE361" t="s">
        <v>807</v>
      </c>
      <c r="AG361" t="s">
        <v>897</v>
      </c>
      <c r="AI361" t="s">
        <v>2627</v>
      </c>
      <c r="AJ361" t="s">
        <v>1402</v>
      </c>
      <c r="AK361" t="s">
        <v>2602</v>
      </c>
      <c r="AL361" t="s">
        <v>2603</v>
      </c>
      <c r="AN361" t="str">
        <f t="shared" si="90"/>
        <v>OK</v>
      </c>
      <c r="AO361" t="str">
        <f t="shared" si="91"/>
        <v>OK</v>
      </c>
      <c r="AP361" t="str">
        <f t="shared" si="92"/>
        <v>OK</v>
      </c>
      <c r="AR361" t="str">
        <f t="shared" si="93"/>
        <v>OK</v>
      </c>
      <c r="AS361" t="str">
        <f t="shared" si="94"/>
        <v>OK</v>
      </c>
      <c r="AT361" t="str">
        <f t="shared" si="95"/>
        <v>NOK</v>
      </c>
      <c r="AU361" t="str">
        <f t="shared" si="96"/>
        <v>OK</v>
      </c>
      <c r="AV361" t="str">
        <f t="shared" si="97"/>
        <v>OK</v>
      </c>
      <c r="AW361" t="str">
        <f t="shared" si="98"/>
        <v>OK</v>
      </c>
    </row>
    <row r="362" spans="1:49">
      <c r="A362">
        <f>Dbase_velden_versie4_2!A358</f>
        <v>358</v>
      </c>
      <c r="B362" t="str">
        <f>Dbase_velden_versie4_2!B358</f>
        <v>DSS_S_15%</v>
      </c>
      <c r="C362" t="str">
        <f>Dbase_velden_versie4_2!C358</f>
        <v>kPa</v>
      </c>
      <c r="D362" t="str">
        <f>Dbase_velden_versie4_2!D358</f>
        <v>De normaalspanning (sigma) bij 15% rek</v>
      </c>
      <c r="E362" t="str">
        <f>Dbase_velden_versie4_2!E358</f>
        <v>Double</v>
      </c>
      <c r="F362">
        <f>Dbase_velden_versie4_2!F358</f>
        <v>0</v>
      </c>
      <c r="G362" t="str">
        <f>Dbase_velden_versie4_2!G358</f>
        <v>DSS S 15%</v>
      </c>
      <c r="H362" t="str">
        <f>Dbase_velden_versie4_2!H358</f>
        <v>[kPa]</v>
      </c>
      <c r="I362" t="str">
        <f>Dbase_velden_versie4_2!I358</f>
        <v>DSS</v>
      </c>
      <c r="J362" t="str">
        <f>Dbase_velden_versie4_2!J358</f>
        <v>DSS proef</v>
      </c>
      <c r="K362">
        <v>358</v>
      </c>
      <c r="L362" t="str">
        <v>DSS_S_15%</v>
      </c>
      <c r="M362" t="str">
        <v>kPa</v>
      </c>
      <c r="N362" t="str">
        <v>De normaalspanning (sigma) bij 15% rek</v>
      </c>
      <c r="O362" t="str">
        <v>Double</v>
      </c>
      <c r="P362">
        <v>0</v>
      </c>
      <c r="Q362" t="str">
        <v>DSS S 15%</v>
      </c>
      <c r="R362" t="str">
        <v>[kPa]</v>
      </c>
      <c r="S362" t="str">
        <f t="shared" si="89"/>
        <v>OK</v>
      </c>
      <c r="T362" t="str">
        <f t="shared" si="83"/>
        <v>OK</v>
      </c>
      <c r="U362" t="str">
        <f t="shared" si="84"/>
        <v>OK</v>
      </c>
      <c r="V362" t="str">
        <f t="shared" si="85"/>
        <v>OK</v>
      </c>
      <c r="W362" t="str">
        <f t="shared" si="86"/>
        <v>OK</v>
      </c>
      <c r="X362" t="str">
        <f t="shared" si="87"/>
        <v>OK</v>
      </c>
      <c r="Y362" t="str">
        <f t="shared" si="88"/>
        <v>OK</v>
      </c>
      <c r="Z362">
        <v>357</v>
      </c>
      <c r="AA362">
        <v>359</v>
      </c>
      <c r="AB362" t="s">
        <v>2602</v>
      </c>
      <c r="AC362" t="s">
        <v>358</v>
      </c>
      <c r="AD362" t="s">
        <v>470</v>
      </c>
      <c r="AE362" t="s">
        <v>808</v>
      </c>
      <c r="AG362" t="s">
        <v>897</v>
      </c>
      <c r="AI362" t="s">
        <v>2628</v>
      </c>
      <c r="AJ362" t="s">
        <v>1402</v>
      </c>
      <c r="AK362" t="s">
        <v>2602</v>
      </c>
      <c r="AL362" t="s">
        <v>2603</v>
      </c>
      <c r="AN362" t="str">
        <f t="shared" si="90"/>
        <v>OK</v>
      </c>
      <c r="AO362" t="str">
        <f t="shared" si="91"/>
        <v>OK</v>
      </c>
      <c r="AP362" t="str">
        <f t="shared" si="92"/>
        <v>OK</v>
      </c>
      <c r="AR362" t="str">
        <f t="shared" si="93"/>
        <v>OK</v>
      </c>
      <c r="AS362" t="str">
        <f t="shared" si="94"/>
        <v>OK</v>
      </c>
      <c r="AT362" t="str">
        <f t="shared" si="95"/>
        <v>NOK</v>
      </c>
      <c r="AU362" t="str">
        <f t="shared" si="96"/>
        <v>OK</v>
      </c>
      <c r="AV362" t="str">
        <f t="shared" si="97"/>
        <v>OK</v>
      </c>
      <c r="AW362" t="str">
        <f t="shared" si="98"/>
        <v>OK</v>
      </c>
    </row>
    <row r="363" spans="1:49">
      <c r="A363">
        <f>Dbase_velden_versie4_2!A359</f>
        <v>359</v>
      </c>
      <c r="B363" t="str">
        <f>Dbase_velden_versie4_2!B359</f>
        <v>DSS_T_15%</v>
      </c>
      <c r="C363" t="str">
        <f>Dbase_velden_versie4_2!C359</f>
        <v>kPa</v>
      </c>
      <c r="D363" t="str">
        <f>Dbase_velden_versie4_2!D359</f>
        <v>De schuifspanning (tau) bij 15% rek</v>
      </c>
      <c r="E363" t="str">
        <f>Dbase_velden_versie4_2!E359</f>
        <v>Double</v>
      </c>
      <c r="F363">
        <f>Dbase_velden_versie4_2!F359</f>
        <v>0</v>
      </c>
      <c r="G363" t="str">
        <f>Dbase_velden_versie4_2!G359</f>
        <v>DSS T 15%</v>
      </c>
      <c r="H363" t="str">
        <f>Dbase_velden_versie4_2!H359</f>
        <v>[kPa]</v>
      </c>
      <c r="I363" t="str">
        <f>Dbase_velden_versie4_2!I359</f>
        <v>DSS</v>
      </c>
      <c r="J363" t="str">
        <f>Dbase_velden_versie4_2!J359</f>
        <v>DSS proef</v>
      </c>
      <c r="K363">
        <v>359</v>
      </c>
      <c r="L363" t="str">
        <v>DSS_T_15%</v>
      </c>
      <c r="M363" t="str">
        <v>kPa</v>
      </c>
      <c r="N363" t="str">
        <v>De schuifspanning (tau) bij 15% rek</v>
      </c>
      <c r="O363" t="str">
        <v>Double</v>
      </c>
      <c r="P363">
        <v>0</v>
      </c>
      <c r="Q363" t="str">
        <v>DSS T 15%</v>
      </c>
      <c r="R363" t="str">
        <v>[kPa]</v>
      </c>
      <c r="S363" t="str">
        <f t="shared" si="89"/>
        <v>OK</v>
      </c>
      <c r="T363" t="str">
        <f t="shared" si="83"/>
        <v>OK</v>
      </c>
      <c r="U363" t="str">
        <f t="shared" si="84"/>
        <v>OK</v>
      </c>
      <c r="V363" t="str">
        <f t="shared" si="85"/>
        <v>OK</v>
      </c>
      <c r="W363" t="str">
        <f t="shared" si="86"/>
        <v>OK</v>
      </c>
      <c r="X363" t="str">
        <f t="shared" si="87"/>
        <v>OK</v>
      </c>
      <c r="Y363" t="str">
        <f t="shared" si="88"/>
        <v>OK</v>
      </c>
      <c r="Z363">
        <v>358</v>
      </c>
      <c r="AA363">
        <v>360</v>
      </c>
      <c r="AB363" t="s">
        <v>2602</v>
      </c>
      <c r="AC363" t="s">
        <v>359</v>
      </c>
      <c r="AD363" t="s">
        <v>470</v>
      </c>
      <c r="AE363" t="s">
        <v>809</v>
      </c>
      <c r="AG363" t="s">
        <v>897</v>
      </c>
      <c r="AI363" t="s">
        <v>2629</v>
      </c>
      <c r="AJ363" t="s">
        <v>1402</v>
      </c>
      <c r="AK363" t="s">
        <v>2602</v>
      </c>
      <c r="AL363" t="s">
        <v>2603</v>
      </c>
      <c r="AN363" t="str">
        <f t="shared" si="90"/>
        <v>OK</v>
      </c>
      <c r="AO363" t="str">
        <f t="shared" si="91"/>
        <v>OK</v>
      </c>
      <c r="AP363" t="str">
        <f t="shared" si="92"/>
        <v>OK</v>
      </c>
      <c r="AR363" t="str">
        <f t="shared" si="93"/>
        <v>OK</v>
      </c>
      <c r="AS363" t="str">
        <f t="shared" si="94"/>
        <v>OK</v>
      </c>
      <c r="AT363" t="str">
        <f t="shared" si="95"/>
        <v>NOK</v>
      </c>
      <c r="AU363" t="str">
        <f t="shared" si="96"/>
        <v>OK</v>
      </c>
      <c r="AV363" t="str">
        <f t="shared" si="97"/>
        <v>OK</v>
      </c>
      <c r="AW363" t="str">
        <f t="shared" si="98"/>
        <v>OK</v>
      </c>
    </row>
    <row r="364" spans="1:49">
      <c r="A364">
        <f>Dbase_velden_versie4_2!A360</f>
        <v>360</v>
      </c>
      <c r="B364" t="str">
        <f>Dbase_velden_versie4_2!B360</f>
        <v>DSS_S_20%</v>
      </c>
      <c r="C364" t="str">
        <f>Dbase_velden_versie4_2!C360</f>
        <v>kPa</v>
      </c>
      <c r="D364" t="str">
        <f>Dbase_velden_versie4_2!D360</f>
        <v>De normaalspanning (sigma) bij 20% rek</v>
      </c>
      <c r="E364" t="str">
        <f>Dbase_velden_versie4_2!E360</f>
        <v>Double</v>
      </c>
      <c r="F364">
        <f>Dbase_velden_versie4_2!F360</f>
        <v>0</v>
      </c>
      <c r="G364" t="str">
        <f>Dbase_velden_versie4_2!G360</f>
        <v>DSS S 20%</v>
      </c>
      <c r="H364" t="str">
        <f>Dbase_velden_versie4_2!H360</f>
        <v>[kPa]</v>
      </c>
      <c r="I364" t="str">
        <f>Dbase_velden_versie4_2!I360</f>
        <v>DSS</v>
      </c>
      <c r="J364" t="str">
        <f>Dbase_velden_versie4_2!J360</f>
        <v>DSS proef</v>
      </c>
      <c r="K364">
        <v>360</v>
      </c>
      <c r="L364" t="str">
        <v>DSS_S_20%</v>
      </c>
      <c r="M364" t="str">
        <v>kPa</v>
      </c>
      <c r="N364" t="str">
        <v>De normaalspanning (sigma) bij 20% rek</v>
      </c>
      <c r="O364" t="str">
        <v>Double</v>
      </c>
      <c r="P364">
        <v>0</v>
      </c>
      <c r="Q364" t="str">
        <v>DSS S 20%</v>
      </c>
      <c r="R364" t="str">
        <v>[kPa]</v>
      </c>
      <c r="S364" t="str">
        <f t="shared" si="89"/>
        <v>OK</v>
      </c>
      <c r="T364" t="str">
        <f t="shared" si="83"/>
        <v>OK</v>
      </c>
      <c r="U364" t="str">
        <f t="shared" si="84"/>
        <v>OK</v>
      </c>
      <c r="V364" t="str">
        <f t="shared" si="85"/>
        <v>OK</v>
      </c>
      <c r="W364" t="str">
        <f t="shared" si="86"/>
        <v>OK</v>
      </c>
      <c r="X364" t="str">
        <f t="shared" si="87"/>
        <v>OK</v>
      </c>
      <c r="Y364" t="str">
        <f t="shared" si="88"/>
        <v>OK</v>
      </c>
      <c r="Z364">
        <v>359</v>
      </c>
      <c r="AA364">
        <v>361</v>
      </c>
      <c r="AB364" t="s">
        <v>2602</v>
      </c>
      <c r="AC364" t="s">
        <v>360</v>
      </c>
      <c r="AD364" t="s">
        <v>470</v>
      </c>
      <c r="AE364" t="s">
        <v>810</v>
      </c>
      <c r="AG364" t="s">
        <v>897</v>
      </c>
      <c r="AI364" t="s">
        <v>2630</v>
      </c>
      <c r="AJ364" t="s">
        <v>1402</v>
      </c>
      <c r="AK364" t="s">
        <v>2602</v>
      </c>
      <c r="AL364" t="s">
        <v>2603</v>
      </c>
      <c r="AN364" t="str">
        <f t="shared" si="90"/>
        <v>OK</v>
      </c>
      <c r="AO364" t="str">
        <f t="shared" si="91"/>
        <v>OK</v>
      </c>
      <c r="AP364" t="str">
        <f t="shared" si="92"/>
        <v>OK</v>
      </c>
      <c r="AR364" t="str">
        <f t="shared" si="93"/>
        <v>OK</v>
      </c>
      <c r="AS364" t="str">
        <f t="shared" si="94"/>
        <v>OK</v>
      </c>
      <c r="AT364" t="str">
        <f t="shared" si="95"/>
        <v>NOK</v>
      </c>
      <c r="AU364" t="str">
        <f t="shared" si="96"/>
        <v>OK</v>
      </c>
      <c r="AV364" t="str">
        <f t="shared" si="97"/>
        <v>OK</v>
      </c>
      <c r="AW364" t="str">
        <f t="shared" si="98"/>
        <v>OK</v>
      </c>
    </row>
    <row r="365" spans="1:49">
      <c r="A365">
        <f>Dbase_velden_versie4_2!A361</f>
        <v>361</v>
      </c>
      <c r="B365" t="str">
        <f>Dbase_velden_versie4_2!B361</f>
        <v>DSS_T_20%</v>
      </c>
      <c r="C365" t="str">
        <f>Dbase_velden_versie4_2!C361</f>
        <v>kPa</v>
      </c>
      <c r="D365" t="str">
        <f>Dbase_velden_versie4_2!D361</f>
        <v>De schuifspanning (tau) bij 20% rek</v>
      </c>
      <c r="E365" t="str">
        <f>Dbase_velden_versie4_2!E361</f>
        <v>Double</v>
      </c>
      <c r="F365">
        <f>Dbase_velden_versie4_2!F361</f>
        <v>0</v>
      </c>
      <c r="G365" t="str">
        <f>Dbase_velden_versie4_2!G361</f>
        <v>DSS T 20%</v>
      </c>
      <c r="H365" t="str">
        <f>Dbase_velden_versie4_2!H361</f>
        <v>[kPa]</v>
      </c>
      <c r="I365" t="str">
        <f>Dbase_velden_versie4_2!I361</f>
        <v>DSS</v>
      </c>
      <c r="J365" t="str">
        <f>Dbase_velden_versie4_2!J361</f>
        <v>DSS proef</v>
      </c>
      <c r="K365">
        <v>361</v>
      </c>
      <c r="L365" t="str">
        <v>DSS_T_20%</v>
      </c>
      <c r="M365" t="str">
        <v>kPa</v>
      </c>
      <c r="N365" t="str">
        <v>De schuifspanning (tau) bij 20% rek</v>
      </c>
      <c r="O365" t="str">
        <v>Double</v>
      </c>
      <c r="P365">
        <v>0</v>
      </c>
      <c r="Q365" t="str">
        <v>DSS T 20%</v>
      </c>
      <c r="R365" t="str">
        <v>[kPa]</v>
      </c>
      <c r="S365" t="str">
        <f t="shared" si="89"/>
        <v>OK</v>
      </c>
      <c r="T365" t="str">
        <f t="shared" si="83"/>
        <v>OK</v>
      </c>
      <c r="U365" t="str">
        <f t="shared" si="84"/>
        <v>OK</v>
      </c>
      <c r="V365" t="str">
        <f t="shared" si="85"/>
        <v>OK</v>
      </c>
      <c r="W365" t="str">
        <f t="shared" si="86"/>
        <v>OK</v>
      </c>
      <c r="X365" t="str">
        <f t="shared" si="87"/>
        <v>OK</v>
      </c>
      <c r="Y365" t="str">
        <f t="shared" si="88"/>
        <v>OK</v>
      </c>
      <c r="Z365">
        <v>360</v>
      </c>
      <c r="AA365">
        <v>362</v>
      </c>
      <c r="AB365" t="s">
        <v>2602</v>
      </c>
      <c r="AC365" t="s">
        <v>361</v>
      </c>
      <c r="AD365" t="s">
        <v>470</v>
      </c>
      <c r="AE365" t="s">
        <v>811</v>
      </c>
      <c r="AG365" t="s">
        <v>897</v>
      </c>
      <c r="AI365" t="s">
        <v>2631</v>
      </c>
      <c r="AJ365" t="s">
        <v>1402</v>
      </c>
      <c r="AK365" t="s">
        <v>2602</v>
      </c>
      <c r="AL365" t="s">
        <v>2603</v>
      </c>
      <c r="AN365" t="str">
        <f t="shared" si="90"/>
        <v>OK</v>
      </c>
      <c r="AO365" t="str">
        <f t="shared" si="91"/>
        <v>OK</v>
      </c>
      <c r="AP365" t="str">
        <f t="shared" si="92"/>
        <v>OK</v>
      </c>
      <c r="AR365" t="str">
        <f t="shared" si="93"/>
        <v>OK</v>
      </c>
      <c r="AS365" t="str">
        <f t="shared" si="94"/>
        <v>OK</v>
      </c>
      <c r="AT365" t="str">
        <f t="shared" si="95"/>
        <v>NOK</v>
      </c>
      <c r="AU365" t="str">
        <f t="shared" si="96"/>
        <v>OK</v>
      </c>
      <c r="AV365" t="str">
        <f t="shared" si="97"/>
        <v>OK</v>
      </c>
      <c r="AW365" t="str">
        <f t="shared" si="98"/>
        <v>OK</v>
      </c>
    </row>
    <row r="366" spans="1:49">
      <c r="A366">
        <f>Dbase_velden_versie4_2!A362</f>
        <v>362</v>
      </c>
      <c r="B366" t="str">
        <f>Dbase_velden_versie4_2!B362</f>
        <v>DSS_S_BIJ_T_MAX</v>
      </c>
      <c r="C366" t="str">
        <f>Dbase_velden_versie4_2!C362</f>
        <v>kPa</v>
      </c>
      <c r="D366" t="str">
        <f>Dbase_velden_versie4_2!D362</f>
        <v>De normaalspanning (sigma) bij de maximale schuifspanning (bij tau_piek)</v>
      </c>
      <c r="E366" t="str">
        <f>Dbase_velden_versie4_2!E362</f>
        <v>Double</v>
      </c>
      <c r="F366">
        <f>Dbase_velden_versie4_2!F362</f>
        <v>0</v>
      </c>
      <c r="G366" t="str">
        <f>Dbase_velden_versie4_2!G362</f>
        <v>DSS S BIJ T MAX</v>
      </c>
      <c r="H366" t="str">
        <f>Dbase_velden_versie4_2!H362</f>
        <v>[kPa]</v>
      </c>
      <c r="I366" t="str">
        <f>Dbase_velden_versie4_2!I362</f>
        <v>DSS</v>
      </c>
      <c r="J366" t="str">
        <f>Dbase_velden_versie4_2!J362</f>
        <v>DSS proef</v>
      </c>
      <c r="K366">
        <v>362</v>
      </c>
      <c r="L366" t="str">
        <v>DSS_S_BIJ_T_MAX</v>
      </c>
      <c r="M366" t="str">
        <v>kPa</v>
      </c>
      <c r="N366" t="str">
        <v>De normaalspanning (sigma) bij de maximale schuifspanning (bij tau_piek)</v>
      </c>
      <c r="O366" t="str">
        <v>Double</v>
      </c>
      <c r="P366">
        <v>0</v>
      </c>
      <c r="Q366" t="str">
        <v>DSS S BIJ T MAX</v>
      </c>
      <c r="R366" t="str">
        <v>[kPa]</v>
      </c>
      <c r="S366" t="str">
        <f t="shared" si="89"/>
        <v>OK</v>
      </c>
      <c r="T366" t="str">
        <f t="shared" si="83"/>
        <v>OK</v>
      </c>
      <c r="U366" t="str">
        <f t="shared" si="84"/>
        <v>OK</v>
      </c>
      <c r="V366" t="str">
        <f t="shared" si="85"/>
        <v>OK</v>
      </c>
      <c r="W366" t="str">
        <f t="shared" si="86"/>
        <v>OK</v>
      </c>
      <c r="X366" t="str">
        <f t="shared" si="87"/>
        <v>OK</v>
      </c>
      <c r="Y366" t="str">
        <f t="shared" si="88"/>
        <v>OK</v>
      </c>
      <c r="Z366">
        <v>361</v>
      </c>
      <c r="AA366">
        <v>363</v>
      </c>
      <c r="AB366" t="s">
        <v>2602</v>
      </c>
      <c r="AC366" t="s">
        <v>362</v>
      </c>
      <c r="AD366" t="s">
        <v>470</v>
      </c>
      <c r="AE366" t="s">
        <v>812</v>
      </c>
      <c r="AG366" t="s">
        <v>897</v>
      </c>
      <c r="AI366" t="s">
        <v>2632</v>
      </c>
      <c r="AJ366" t="s">
        <v>1402</v>
      </c>
      <c r="AK366" t="s">
        <v>2602</v>
      </c>
      <c r="AL366" t="s">
        <v>2603</v>
      </c>
      <c r="AN366" t="str">
        <f t="shared" si="90"/>
        <v>OK</v>
      </c>
      <c r="AO366" t="str">
        <f t="shared" si="91"/>
        <v>OK</v>
      </c>
      <c r="AP366" t="str">
        <f t="shared" si="92"/>
        <v>OK</v>
      </c>
      <c r="AR366" t="str">
        <f t="shared" si="93"/>
        <v>OK</v>
      </c>
      <c r="AS366" t="str">
        <f t="shared" si="94"/>
        <v>OK</v>
      </c>
      <c r="AT366" t="str">
        <f t="shared" si="95"/>
        <v>NOK</v>
      </c>
      <c r="AU366" t="str">
        <f t="shared" si="96"/>
        <v>OK</v>
      </c>
      <c r="AV366" t="str">
        <f t="shared" si="97"/>
        <v>OK</v>
      </c>
      <c r="AW366" t="str">
        <f t="shared" si="98"/>
        <v>OK</v>
      </c>
    </row>
    <row r="367" spans="1:49">
      <c r="A367">
        <f>Dbase_velden_versie4_2!A363</f>
        <v>363</v>
      </c>
      <c r="B367" t="str">
        <f>Dbase_velden_versie4_2!B363</f>
        <v>DSS_T_MAX</v>
      </c>
      <c r="C367" t="str">
        <f>Dbase_velden_versie4_2!C363</f>
        <v>kPa</v>
      </c>
      <c r="D367" t="str">
        <f>Dbase_velden_versie4_2!D363</f>
        <v xml:space="preserve">De maximale schuifspanning (tau_piek) </v>
      </c>
      <c r="E367" t="str">
        <f>Dbase_velden_versie4_2!E363</f>
        <v>Double</v>
      </c>
      <c r="F367">
        <f>Dbase_velden_versie4_2!F363</f>
        <v>0</v>
      </c>
      <c r="G367" t="str">
        <f>Dbase_velden_versie4_2!G363</f>
        <v>DSS T MAX</v>
      </c>
      <c r="H367" t="str">
        <f>Dbase_velden_versie4_2!H363</f>
        <v>[kPa]</v>
      </c>
      <c r="I367" t="str">
        <f>Dbase_velden_versie4_2!I363</f>
        <v>DSS</v>
      </c>
      <c r="J367" t="str">
        <f>Dbase_velden_versie4_2!J363</f>
        <v>DSS proef</v>
      </c>
      <c r="K367">
        <v>363</v>
      </c>
      <c r="L367" t="str">
        <v>DSS_T_MAX</v>
      </c>
      <c r="M367" t="str">
        <v>kPa</v>
      </c>
      <c r="N367" t="str">
        <v xml:space="preserve">De maximale schuifspanning (tau_piek) </v>
      </c>
      <c r="O367" t="str">
        <v>Double</v>
      </c>
      <c r="P367">
        <v>0</v>
      </c>
      <c r="Q367" t="str">
        <v>DSS T MAX</v>
      </c>
      <c r="R367" t="str">
        <v>[kPa]</v>
      </c>
      <c r="S367" t="str">
        <f t="shared" si="89"/>
        <v>OK</v>
      </c>
      <c r="T367" t="str">
        <f t="shared" si="83"/>
        <v>OK</v>
      </c>
      <c r="U367" t="str">
        <f t="shared" si="84"/>
        <v>OK</v>
      </c>
      <c r="V367" t="str">
        <f t="shared" si="85"/>
        <v>OK</v>
      </c>
      <c r="W367" t="str">
        <f t="shared" si="86"/>
        <v>OK</v>
      </c>
      <c r="X367" t="str">
        <f t="shared" si="87"/>
        <v>OK</v>
      </c>
      <c r="Y367" t="str">
        <f t="shared" si="88"/>
        <v>OK</v>
      </c>
      <c r="Z367">
        <v>362</v>
      </c>
      <c r="AA367">
        <v>364</v>
      </c>
      <c r="AB367" t="s">
        <v>2602</v>
      </c>
      <c r="AC367" t="s">
        <v>363</v>
      </c>
      <c r="AD367" t="s">
        <v>470</v>
      </c>
      <c r="AE367" t="s">
        <v>813</v>
      </c>
      <c r="AG367" t="s">
        <v>897</v>
      </c>
      <c r="AI367" t="s">
        <v>2633</v>
      </c>
      <c r="AJ367" t="s">
        <v>1402</v>
      </c>
      <c r="AK367" t="s">
        <v>2602</v>
      </c>
      <c r="AL367" t="s">
        <v>2603</v>
      </c>
      <c r="AN367" t="str">
        <f t="shared" si="90"/>
        <v>OK</v>
      </c>
      <c r="AO367" t="str">
        <f t="shared" si="91"/>
        <v>OK</v>
      </c>
      <c r="AP367" t="str">
        <f t="shared" si="92"/>
        <v>OK</v>
      </c>
      <c r="AR367" t="str">
        <f t="shared" si="93"/>
        <v>OK</v>
      </c>
      <c r="AS367" t="str">
        <f t="shared" si="94"/>
        <v>OK</v>
      </c>
      <c r="AT367" t="str">
        <f t="shared" si="95"/>
        <v>NOK</v>
      </c>
      <c r="AU367" t="str">
        <f t="shared" si="96"/>
        <v>OK</v>
      </c>
      <c r="AV367" t="str">
        <f t="shared" si="97"/>
        <v>OK</v>
      </c>
      <c r="AW367" t="str">
        <f t="shared" si="98"/>
        <v>OK</v>
      </c>
    </row>
    <row r="368" spans="1:49">
      <c r="A368">
        <f>Dbase_velden_versie4_2!A364</f>
        <v>364</v>
      </c>
      <c r="B368" t="str">
        <f>Dbase_velden_versie4_2!B364</f>
        <v>DSS_REK_BIJ_T_MAX</v>
      </c>
      <c r="C368" t="str">
        <f>Dbase_velden_versie4_2!C364</f>
        <v>%</v>
      </c>
      <c r="D368" t="str">
        <f>Dbase_velden_versie4_2!D364</f>
        <v>De rek op het moment dat de schuifspanning maximaal is</v>
      </c>
      <c r="E368" t="str">
        <f>Dbase_velden_versie4_2!E364</f>
        <v>Double</v>
      </c>
      <c r="F368" t="str">
        <f>Dbase_velden_versie4_2!F364</f>
        <v>0% - 100%</v>
      </c>
      <c r="G368" t="str">
        <f>Dbase_velden_versie4_2!G364</f>
        <v>DSS REK BIJ T MAX</v>
      </c>
      <c r="H368" t="str">
        <f>Dbase_velden_versie4_2!H364</f>
        <v>[%]</v>
      </c>
      <c r="I368" t="str">
        <f>Dbase_velden_versie4_2!I364</f>
        <v>DSS</v>
      </c>
      <c r="J368" t="str">
        <f>Dbase_velden_versie4_2!J364</f>
        <v>DSS proef</v>
      </c>
      <c r="K368">
        <v>364</v>
      </c>
      <c r="L368" t="str">
        <v>DSS_REK_BIJ_T_MAX</v>
      </c>
      <c r="M368" t="str">
        <v>%</v>
      </c>
      <c r="N368" t="str">
        <v>De rek op het moment dat de schuifspanning maximaal is</v>
      </c>
      <c r="O368" t="str">
        <v>Double</v>
      </c>
      <c r="P368" t="str">
        <v>0% - 100%</v>
      </c>
      <c r="Q368" t="str">
        <v>DSS REK BIJ T MAX</v>
      </c>
      <c r="R368" t="str">
        <v>[%]</v>
      </c>
      <c r="S368" t="str">
        <f t="shared" si="89"/>
        <v>OK</v>
      </c>
      <c r="T368" t="str">
        <f t="shared" si="83"/>
        <v>OK</v>
      </c>
      <c r="U368" t="str">
        <f t="shared" si="84"/>
        <v>OK</v>
      </c>
      <c r="V368" t="str">
        <f t="shared" si="85"/>
        <v>OK</v>
      </c>
      <c r="W368" t="str">
        <f t="shared" si="86"/>
        <v>OK</v>
      </c>
      <c r="X368" t="str">
        <f t="shared" si="87"/>
        <v>OK</v>
      </c>
      <c r="Y368" t="str">
        <f t="shared" si="88"/>
        <v>OK</v>
      </c>
      <c r="Z368">
        <v>363</v>
      </c>
      <c r="AA368">
        <v>365</v>
      </c>
      <c r="AB368" t="s">
        <v>2602</v>
      </c>
      <c r="AC368" t="s">
        <v>364</v>
      </c>
      <c r="AD368" t="s">
        <v>468</v>
      </c>
      <c r="AE368" t="s">
        <v>814</v>
      </c>
      <c r="AG368" t="s">
        <v>897</v>
      </c>
      <c r="AH368" t="s">
        <v>911</v>
      </c>
      <c r="AI368" t="s">
        <v>2634</v>
      </c>
      <c r="AJ368" t="s">
        <v>1400</v>
      </c>
      <c r="AK368" t="s">
        <v>2602</v>
      </c>
      <c r="AL368" t="s">
        <v>2603</v>
      </c>
      <c r="AN368" t="str">
        <f t="shared" si="90"/>
        <v>OK</v>
      </c>
      <c r="AO368" t="str">
        <f t="shared" si="91"/>
        <v>OK</v>
      </c>
      <c r="AP368" t="str">
        <f t="shared" si="92"/>
        <v>OK</v>
      </c>
      <c r="AR368" t="str">
        <f t="shared" si="93"/>
        <v>OK</v>
      </c>
      <c r="AS368" t="str">
        <f t="shared" si="94"/>
        <v>OK</v>
      </c>
      <c r="AT368" t="str">
        <f t="shared" si="95"/>
        <v>NOK</v>
      </c>
      <c r="AU368" t="str">
        <f t="shared" si="96"/>
        <v>OK</v>
      </c>
      <c r="AV368" t="str">
        <f t="shared" si="97"/>
        <v>OK</v>
      </c>
      <c r="AW368" t="str">
        <f t="shared" si="98"/>
        <v>OK</v>
      </c>
    </row>
    <row r="369" spans="1:49">
      <c r="A369">
        <f>Dbase_velden_versie4_2!A365</f>
        <v>365</v>
      </c>
      <c r="B369" t="str">
        <f>Dbase_velden_versie4_2!B365</f>
        <v>DSS_S_BIJ_T_EIND</v>
      </c>
      <c r="C369" t="str">
        <f>Dbase_velden_versie4_2!C365</f>
        <v>kPa</v>
      </c>
      <c r="D369" t="str">
        <f>Dbase_velden_versie4_2!D365</f>
        <v>De axiale spanning (sigma) bij het einde van de proef (bij tau_eind)</v>
      </c>
      <c r="E369" t="str">
        <f>Dbase_velden_versie4_2!E365</f>
        <v>Double</v>
      </c>
      <c r="F369">
        <f>Dbase_velden_versie4_2!F365</f>
        <v>0</v>
      </c>
      <c r="G369" t="str">
        <f>Dbase_velden_versie4_2!G365</f>
        <v>DSS S BIJ T EIND</v>
      </c>
      <c r="H369" t="str">
        <f>Dbase_velden_versie4_2!H365</f>
        <v>[kPa]</v>
      </c>
      <c r="I369" t="str">
        <f>Dbase_velden_versie4_2!I365</f>
        <v>DSS</v>
      </c>
      <c r="J369" t="str">
        <f>Dbase_velden_versie4_2!J365</f>
        <v>DSS proef</v>
      </c>
      <c r="K369">
        <v>365</v>
      </c>
      <c r="L369" t="str">
        <v>DSS_S_BIJ_T_EIND</v>
      </c>
      <c r="M369" t="str">
        <v>kPa</v>
      </c>
      <c r="N369" t="str">
        <v>De axiale spanning (sigma) bij het einde van de proef (bij tau_eind)</v>
      </c>
      <c r="O369" t="str">
        <v>Double</v>
      </c>
      <c r="P369">
        <v>0</v>
      </c>
      <c r="Q369" t="str">
        <v>DSS S BIJ T EIND</v>
      </c>
      <c r="R369" t="str">
        <v>[kPa]</v>
      </c>
      <c r="S369" t="str">
        <f t="shared" si="89"/>
        <v>OK</v>
      </c>
      <c r="T369" t="str">
        <f t="shared" si="83"/>
        <v>OK</v>
      </c>
      <c r="U369" t="str">
        <f t="shared" si="84"/>
        <v>OK</v>
      </c>
      <c r="V369" t="str">
        <f t="shared" si="85"/>
        <v>OK</v>
      </c>
      <c r="W369" t="str">
        <f t="shared" si="86"/>
        <v>OK</v>
      </c>
      <c r="X369" t="str">
        <f t="shared" si="87"/>
        <v>OK</v>
      </c>
      <c r="Y369" t="str">
        <f t="shared" si="88"/>
        <v>OK</v>
      </c>
      <c r="Z369">
        <v>364</v>
      </c>
      <c r="AA369">
        <v>366</v>
      </c>
      <c r="AB369" t="s">
        <v>2602</v>
      </c>
      <c r="AC369" t="s">
        <v>365</v>
      </c>
      <c r="AD369" t="s">
        <v>470</v>
      </c>
      <c r="AE369" t="s">
        <v>815</v>
      </c>
      <c r="AG369" t="s">
        <v>897</v>
      </c>
      <c r="AI369" t="s">
        <v>2635</v>
      </c>
      <c r="AJ369" t="s">
        <v>1402</v>
      </c>
      <c r="AK369" t="s">
        <v>2602</v>
      </c>
      <c r="AL369" t="s">
        <v>2603</v>
      </c>
      <c r="AN369" t="str">
        <f t="shared" si="90"/>
        <v>OK</v>
      </c>
      <c r="AO369" t="str">
        <f t="shared" si="91"/>
        <v>OK</v>
      </c>
      <c r="AP369" t="str">
        <f t="shared" si="92"/>
        <v>OK</v>
      </c>
      <c r="AR369" t="str">
        <f t="shared" si="93"/>
        <v>OK</v>
      </c>
      <c r="AS369" t="str">
        <f t="shared" si="94"/>
        <v>OK</v>
      </c>
      <c r="AT369" t="str">
        <f t="shared" si="95"/>
        <v>NOK</v>
      </c>
      <c r="AU369" t="str">
        <f t="shared" si="96"/>
        <v>OK</v>
      </c>
      <c r="AV369" t="str">
        <f t="shared" si="97"/>
        <v>OK</v>
      </c>
      <c r="AW369" t="str">
        <f t="shared" si="98"/>
        <v>OK</v>
      </c>
    </row>
    <row r="370" spans="1:49">
      <c r="A370">
        <f>Dbase_velden_versie4_2!A366</f>
        <v>366</v>
      </c>
      <c r="B370" t="str">
        <f>Dbase_velden_versie4_2!B366</f>
        <v>DSS_T_EIND</v>
      </c>
      <c r="C370" t="str">
        <f>Dbase_velden_versie4_2!C366</f>
        <v>kPa</v>
      </c>
      <c r="D370" t="str">
        <f>Dbase_velden_versie4_2!D366</f>
        <v>De schuifspanning (tau_eind) bij het einde van de proef</v>
      </c>
      <c r="E370" t="str">
        <f>Dbase_velden_versie4_2!E366</f>
        <v>Double</v>
      </c>
      <c r="F370">
        <f>Dbase_velden_versie4_2!F366</f>
        <v>0</v>
      </c>
      <c r="G370" t="str">
        <f>Dbase_velden_versie4_2!G366</f>
        <v>DSS T EIND</v>
      </c>
      <c r="H370" t="str">
        <f>Dbase_velden_versie4_2!H366</f>
        <v>[kPa]</v>
      </c>
      <c r="I370" t="str">
        <f>Dbase_velden_versie4_2!I366</f>
        <v>DSS</v>
      </c>
      <c r="J370" t="str">
        <f>Dbase_velden_versie4_2!J366</f>
        <v>DSS proef</v>
      </c>
      <c r="K370">
        <v>366</v>
      </c>
      <c r="L370" t="str">
        <v>DSS_T_EIND</v>
      </c>
      <c r="M370" t="str">
        <v>kPa</v>
      </c>
      <c r="N370" t="str">
        <v>De schuifspanning (tau_eind) bij het einde van de proef</v>
      </c>
      <c r="O370" t="str">
        <v>Double</v>
      </c>
      <c r="P370">
        <v>0</v>
      </c>
      <c r="Q370" t="str">
        <v>DSS T EIND</v>
      </c>
      <c r="R370" t="str">
        <v>[kPa]</v>
      </c>
      <c r="S370" t="str">
        <f t="shared" si="89"/>
        <v>OK</v>
      </c>
      <c r="T370" t="str">
        <f t="shared" si="83"/>
        <v>OK</v>
      </c>
      <c r="U370" t="str">
        <f t="shared" si="84"/>
        <v>OK</v>
      </c>
      <c r="V370" t="str">
        <f t="shared" si="85"/>
        <v>OK</v>
      </c>
      <c r="W370" t="str">
        <f t="shared" si="86"/>
        <v>OK</v>
      </c>
      <c r="X370" t="str">
        <f t="shared" si="87"/>
        <v>OK</v>
      </c>
      <c r="Y370" t="str">
        <f t="shared" si="88"/>
        <v>OK</v>
      </c>
      <c r="Z370">
        <v>365</v>
      </c>
      <c r="AA370">
        <v>367</v>
      </c>
      <c r="AB370" t="s">
        <v>2602</v>
      </c>
      <c r="AC370" t="s">
        <v>366</v>
      </c>
      <c r="AD370" t="s">
        <v>470</v>
      </c>
      <c r="AE370" t="s">
        <v>816</v>
      </c>
      <c r="AG370" t="s">
        <v>897</v>
      </c>
      <c r="AI370" t="s">
        <v>2636</v>
      </c>
      <c r="AJ370" t="s">
        <v>1402</v>
      </c>
      <c r="AK370" t="s">
        <v>2602</v>
      </c>
      <c r="AL370" t="s">
        <v>2603</v>
      </c>
      <c r="AN370" t="str">
        <f t="shared" si="90"/>
        <v>OK</v>
      </c>
      <c r="AO370" t="str">
        <f t="shared" si="91"/>
        <v>OK</v>
      </c>
      <c r="AP370" t="str">
        <f t="shared" si="92"/>
        <v>OK</v>
      </c>
      <c r="AR370" t="str">
        <f t="shared" si="93"/>
        <v>OK</v>
      </c>
      <c r="AS370" t="str">
        <f t="shared" si="94"/>
        <v>OK</v>
      </c>
      <c r="AT370" t="str">
        <f t="shared" si="95"/>
        <v>NOK</v>
      </c>
      <c r="AU370" t="str">
        <f t="shared" si="96"/>
        <v>OK</v>
      </c>
      <c r="AV370" t="str">
        <f t="shared" si="97"/>
        <v>OK</v>
      </c>
      <c r="AW370" t="str">
        <f t="shared" si="98"/>
        <v>OK</v>
      </c>
    </row>
    <row r="371" spans="1:49">
      <c r="A371">
        <f>Dbase_velden_versie4_2!A367</f>
        <v>367</v>
      </c>
      <c r="B371" t="str">
        <f>Dbase_velden_versie4_2!B367</f>
        <v>DSS_REK_BIJ_T_EIND</v>
      </c>
      <c r="C371" t="str">
        <f>Dbase_velden_versie4_2!C367</f>
        <v>%</v>
      </c>
      <c r="D371" t="str">
        <f>Dbase_velden_versie4_2!D367</f>
        <v>De rek bij het einde van de proef</v>
      </c>
      <c r="E371" t="str">
        <f>Dbase_velden_versie4_2!E367</f>
        <v>Double</v>
      </c>
      <c r="F371">
        <f>Dbase_velden_versie4_2!F367</f>
        <v>0</v>
      </c>
      <c r="G371" t="str">
        <f>Dbase_velden_versie4_2!G367</f>
        <v>DSS REK BIJ T EIND</v>
      </c>
      <c r="H371" t="str">
        <f>Dbase_velden_versie4_2!H367</f>
        <v>[%]</v>
      </c>
      <c r="I371" t="str">
        <f>Dbase_velden_versie4_2!I367</f>
        <v>DSS</v>
      </c>
      <c r="J371" t="str">
        <f>Dbase_velden_versie4_2!J367</f>
        <v>DSS proef</v>
      </c>
      <c r="K371">
        <v>367</v>
      </c>
      <c r="L371" t="str">
        <v>DSS_REK_BIJ_T_EIND</v>
      </c>
      <c r="M371" t="str">
        <v>%</v>
      </c>
      <c r="N371" t="str">
        <v>De rek bij het einde van de proef</v>
      </c>
      <c r="O371" t="str">
        <v>Double</v>
      </c>
      <c r="P371">
        <v>0</v>
      </c>
      <c r="Q371" t="str">
        <v>DSS REK BIJ T EIND</v>
      </c>
      <c r="R371" t="str">
        <v>[%]</v>
      </c>
      <c r="S371" t="str">
        <f t="shared" si="89"/>
        <v>OK</v>
      </c>
      <c r="T371" t="str">
        <f t="shared" si="83"/>
        <v>OK</v>
      </c>
      <c r="U371" t="str">
        <f t="shared" si="84"/>
        <v>OK</v>
      </c>
      <c r="V371" t="str">
        <f t="shared" si="85"/>
        <v>OK</v>
      </c>
      <c r="W371" t="str">
        <f t="shared" si="86"/>
        <v>OK</v>
      </c>
      <c r="X371" t="str">
        <f t="shared" si="87"/>
        <v>OK</v>
      </c>
      <c r="Y371" t="str">
        <f t="shared" si="88"/>
        <v>OK</v>
      </c>
      <c r="Z371">
        <v>366</v>
      </c>
      <c r="AA371">
        <v>368</v>
      </c>
      <c r="AB371" t="s">
        <v>2602</v>
      </c>
      <c r="AC371" t="s">
        <v>367</v>
      </c>
      <c r="AD371" t="s">
        <v>468</v>
      </c>
      <c r="AE371" t="s">
        <v>817</v>
      </c>
      <c r="AG371" t="s">
        <v>897</v>
      </c>
      <c r="AI371" t="s">
        <v>2637</v>
      </c>
      <c r="AJ371" t="s">
        <v>1400</v>
      </c>
      <c r="AK371" t="s">
        <v>2602</v>
      </c>
      <c r="AL371" t="s">
        <v>2603</v>
      </c>
      <c r="AN371" t="str">
        <f t="shared" si="90"/>
        <v>OK</v>
      </c>
      <c r="AO371" t="str">
        <f t="shared" si="91"/>
        <v>OK</v>
      </c>
      <c r="AP371" t="str">
        <f t="shared" si="92"/>
        <v>OK</v>
      </c>
      <c r="AR371" t="str">
        <f t="shared" si="93"/>
        <v>OK</v>
      </c>
      <c r="AS371" t="str">
        <f t="shared" si="94"/>
        <v>OK</v>
      </c>
      <c r="AT371" t="str">
        <f t="shared" si="95"/>
        <v>NOK</v>
      </c>
      <c r="AU371" t="str">
        <f t="shared" si="96"/>
        <v>OK</v>
      </c>
      <c r="AV371" t="str">
        <f t="shared" si="97"/>
        <v>OK</v>
      </c>
      <c r="AW371" t="str">
        <f t="shared" si="98"/>
        <v>OK</v>
      </c>
    </row>
    <row r="372" spans="1:49">
      <c r="A372">
        <f>Dbase_velden_versie4_2!A368</f>
        <v>368</v>
      </c>
      <c r="B372" t="str">
        <f>Dbase_velden_versie4_2!B368</f>
        <v>DSS_S_BIJ_MAX_S1S3</v>
      </c>
      <c r="C372" t="str">
        <f>Dbase_velden_versie4_2!C368</f>
        <v>NVT</v>
      </c>
      <c r="D372" t="str">
        <f>Dbase_velden_versie4_2!D368</f>
        <v>Databaseveld komt te vervallen</v>
      </c>
      <c r="E372" t="str">
        <f>Dbase_velden_versie4_2!E368</f>
        <v>Double</v>
      </c>
      <c r="F372" t="str">
        <f>Dbase_velden_versie4_2!F368</f>
        <v>NVT</v>
      </c>
      <c r="G372" t="str">
        <f>Dbase_velden_versie4_2!G368</f>
        <v>DSS S BIJ MAX S1S3</v>
      </c>
      <c r="H372" t="str">
        <f>Dbase_velden_versie4_2!H368</f>
        <v>[NVT]</v>
      </c>
      <c r="I372" t="str">
        <f>Dbase_velden_versie4_2!I368</f>
        <v>DSS</v>
      </c>
      <c r="J372" t="str">
        <f>Dbase_velden_versie4_2!J368</f>
        <v>DSS proef</v>
      </c>
      <c r="K372">
        <v>368</v>
      </c>
      <c r="L372" t="str">
        <v>DSS_S_BIJ_MAX_S1S3</v>
      </c>
      <c r="M372" t="str">
        <v>NVT</v>
      </c>
      <c r="N372" t="str">
        <v>Databaseveld komt te vervallen</v>
      </c>
      <c r="O372" t="str">
        <v>Double</v>
      </c>
      <c r="P372" t="str">
        <v>NVT</v>
      </c>
      <c r="Q372" t="str">
        <v>DSS S BIJ MAX S1S3</v>
      </c>
      <c r="R372" t="str">
        <v>[NVT]</v>
      </c>
      <c r="S372" t="str">
        <f t="shared" si="89"/>
        <v>OK</v>
      </c>
      <c r="T372" t="str">
        <f t="shared" si="83"/>
        <v>OK</v>
      </c>
      <c r="U372" t="str">
        <f t="shared" si="84"/>
        <v>OK</v>
      </c>
      <c r="V372" t="str">
        <f t="shared" si="85"/>
        <v>OK</v>
      </c>
      <c r="W372" t="str">
        <f t="shared" si="86"/>
        <v>OK</v>
      </c>
      <c r="X372" t="str">
        <f t="shared" si="87"/>
        <v>OK</v>
      </c>
      <c r="Y372" t="str">
        <f t="shared" si="88"/>
        <v>OK</v>
      </c>
      <c r="Z372">
        <v>367</v>
      </c>
      <c r="AA372">
        <v>369</v>
      </c>
      <c r="AB372" t="s">
        <v>2602</v>
      </c>
      <c r="AC372" t="s">
        <v>368</v>
      </c>
      <c r="AD372" t="s">
        <v>481</v>
      </c>
      <c r="AE372" t="s">
        <v>818</v>
      </c>
      <c r="AG372" t="s">
        <v>897</v>
      </c>
      <c r="AH372" t="s">
        <v>481</v>
      </c>
      <c r="AI372" t="s">
        <v>818</v>
      </c>
      <c r="AJ372" t="s">
        <v>1413</v>
      </c>
      <c r="AK372" t="s">
        <v>2602</v>
      </c>
      <c r="AL372" t="s">
        <v>2603</v>
      </c>
      <c r="AN372" t="str">
        <f t="shared" si="90"/>
        <v>OK</v>
      </c>
      <c r="AO372" t="str">
        <f t="shared" si="91"/>
        <v>OK</v>
      </c>
      <c r="AP372" t="str">
        <f t="shared" si="92"/>
        <v>OK</v>
      </c>
      <c r="AR372" t="str">
        <f t="shared" si="93"/>
        <v>OK</v>
      </c>
      <c r="AS372" t="str">
        <f t="shared" si="94"/>
        <v>OK</v>
      </c>
      <c r="AT372" t="str">
        <f t="shared" si="95"/>
        <v>NOK</v>
      </c>
      <c r="AU372" t="str">
        <f t="shared" si="96"/>
        <v>OK</v>
      </c>
      <c r="AV372" t="str">
        <f t="shared" si="97"/>
        <v>OK</v>
      </c>
      <c r="AW372" t="str">
        <f t="shared" si="98"/>
        <v>OK</v>
      </c>
    </row>
    <row r="373" spans="1:49">
      <c r="A373">
        <f>Dbase_velden_versie4_2!A369</f>
        <v>369</v>
      </c>
      <c r="B373" t="str">
        <f>Dbase_velden_versie4_2!B369</f>
        <v>DSS_T_BIJ_MAX_S1S3</v>
      </c>
      <c r="C373" t="str">
        <f>Dbase_velden_versie4_2!C369</f>
        <v>NVT</v>
      </c>
      <c r="D373" t="str">
        <f>Dbase_velden_versie4_2!D369</f>
        <v>Databaseveld komt te vervallen</v>
      </c>
      <c r="E373" t="str">
        <f>Dbase_velden_versie4_2!E369</f>
        <v>Double</v>
      </c>
      <c r="F373" t="str">
        <f>Dbase_velden_versie4_2!F369</f>
        <v>NVT</v>
      </c>
      <c r="G373" t="str">
        <f>Dbase_velden_versie4_2!G369</f>
        <v>DSS T BIJ MAX S1S3</v>
      </c>
      <c r="H373" t="str">
        <f>Dbase_velden_versie4_2!H369</f>
        <v>[NVT]</v>
      </c>
      <c r="I373" t="str">
        <f>Dbase_velden_versie4_2!I369</f>
        <v>DSS</v>
      </c>
      <c r="J373" t="str">
        <f>Dbase_velden_versie4_2!J369</f>
        <v>DSS proef</v>
      </c>
      <c r="K373">
        <v>369</v>
      </c>
      <c r="L373" t="str">
        <v>DSS_T_BIJ_MAX_S1S3</v>
      </c>
      <c r="M373" t="str">
        <v>NVT</v>
      </c>
      <c r="N373" t="str">
        <v>Databaseveld komt te vervallen</v>
      </c>
      <c r="O373" t="str">
        <v>Double</v>
      </c>
      <c r="P373" t="str">
        <v>NVT</v>
      </c>
      <c r="Q373" t="str">
        <v>DSS T BIJ MAX S1S3</v>
      </c>
      <c r="R373" t="str">
        <v>[NVT]</v>
      </c>
      <c r="S373" t="str">
        <f t="shared" si="89"/>
        <v>OK</v>
      </c>
      <c r="T373" t="str">
        <f t="shared" si="83"/>
        <v>OK</v>
      </c>
      <c r="U373" t="str">
        <f t="shared" si="84"/>
        <v>OK</v>
      </c>
      <c r="V373" t="str">
        <f t="shared" si="85"/>
        <v>OK</v>
      </c>
      <c r="W373" t="str">
        <f t="shared" si="86"/>
        <v>OK</v>
      </c>
      <c r="X373" t="str">
        <f t="shared" si="87"/>
        <v>OK</v>
      </c>
      <c r="Y373" t="str">
        <f t="shared" si="88"/>
        <v>OK</v>
      </c>
      <c r="Z373">
        <v>368</v>
      </c>
      <c r="AA373">
        <v>370</v>
      </c>
      <c r="AB373" t="s">
        <v>2602</v>
      </c>
      <c r="AC373" t="s">
        <v>369</v>
      </c>
      <c r="AD373" t="s">
        <v>481</v>
      </c>
      <c r="AE373" t="s">
        <v>818</v>
      </c>
      <c r="AG373" t="s">
        <v>897</v>
      </c>
      <c r="AH373" t="s">
        <v>481</v>
      </c>
      <c r="AI373" t="s">
        <v>818</v>
      </c>
      <c r="AJ373" t="s">
        <v>1413</v>
      </c>
      <c r="AK373" t="s">
        <v>2602</v>
      </c>
      <c r="AL373" t="s">
        <v>2603</v>
      </c>
      <c r="AN373" t="str">
        <f t="shared" si="90"/>
        <v>OK</v>
      </c>
      <c r="AO373" t="str">
        <f t="shared" si="91"/>
        <v>OK</v>
      </c>
      <c r="AP373" t="str">
        <f t="shared" si="92"/>
        <v>OK</v>
      </c>
      <c r="AR373" t="str">
        <f t="shared" si="93"/>
        <v>OK</v>
      </c>
      <c r="AS373" t="str">
        <f t="shared" si="94"/>
        <v>OK</v>
      </c>
      <c r="AT373" t="str">
        <f t="shared" si="95"/>
        <v>NOK</v>
      </c>
      <c r="AU373" t="str">
        <f t="shared" si="96"/>
        <v>OK</v>
      </c>
      <c r="AV373" t="str">
        <f t="shared" si="97"/>
        <v>OK</v>
      </c>
      <c r="AW373" t="str">
        <f t="shared" si="98"/>
        <v>OK</v>
      </c>
    </row>
    <row r="374" spans="1:49">
      <c r="A374">
        <f>Dbase_velden_versie4_2!A370</f>
        <v>370</v>
      </c>
      <c r="B374" t="str">
        <f>Dbase_velden_versie4_2!B370</f>
        <v>DSS_REK_BIJ_MAX_S1S3</v>
      </c>
      <c r="C374" t="str">
        <f>Dbase_velden_versie4_2!C370</f>
        <v>NVT</v>
      </c>
      <c r="D374" t="str">
        <f>Dbase_velden_versie4_2!D370</f>
        <v>Databaseveld komt te vervallen</v>
      </c>
      <c r="E374" t="str">
        <f>Dbase_velden_versie4_2!E370</f>
        <v>Double</v>
      </c>
      <c r="F374" t="str">
        <f>Dbase_velden_versie4_2!F370</f>
        <v>NVT</v>
      </c>
      <c r="G374" t="str">
        <f>Dbase_velden_versie4_2!G370</f>
        <v>DSS REK BIJ MAX S1S3</v>
      </c>
      <c r="H374" t="str">
        <f>Dbase_velden_versie4_2!H370</f>
        <v>[NVT]</v>
      </c>
      <c r="I374" t="str">
        <f>Dbase_velden_versie4_2!I370</f>
        <v>DSS</v>
      </c>
      <c r="J374" t="str">
        <f>Dbase_velden_versie4_2!J370</f>
        <v>DSS proef</v>
      </c>
      <c r="K374">
        <v>370</v>
      </c>
      <c r="L374" t="str">
        <v>DSS_REK_BIJ_MAX_S1S3</v>
      </c>
      <c r="M374" t="str">
        <v>NVT</v>
      </c>
      <c r="N374" t="str">
        <v>Databaseveld komt te vervallen</v>
      </c>
      <c r="O374" t="str">
        <v>Double</v>
      </c>
      <c r="P374" t="str">
        <v>NVT</v>
      </c>
      <c r="Q374" t="str">
        <v>DSS REK BIJ MAX S1S3</v>
      </c>
      <c r="R374" t="str">
        <v>[NVT]</v>
      </c>
      <c r="S374" t="str">
        <f t="shared" si="89"/>
        <v>OK</v>
      </c>
      <c r="T374" t="str">
        <f t="shared" si="83"/>
        <v>OK</v>
      </c>
      <c r="U374" t="str">
        <f t="shared" si="84"/>
        <v>OK</v>
      </c>
      <c r="V374" t="str">
        <f t="shared" si="85"/>
        <v>OK</v>
      </c>
      <c r="W374" t="str">
        <f t="shared" si="86"/>
        <v>OK</v>
      </c>
      <c r="X374" t="str">
        <f t="shared" si="87"/>
        <v>OK</v>
      </c>
      <c r="Y374" t="str">
        <f t="shared" si="88"/>
        <v>OK</v>
      </c>
      <c r="Z374">
        <v>369</v>
      </c>
      <c r="AA374">
        <v>371</v>
      </c>
      <c r="AB374" t="s">
        <v>2602</v>
      </c>
      <c r="AC374" t="s">
        <v>370</v>
      </c>
      <c r="AD374" t="s">
        <v>481</v>
      </c>
      <c r="AE374" t="s">
        <v>818</v>
      </c>
      <c r="AG374" t="s">
        <v>897</v>
      </c>
      <c r="AH374" t="s">
        <v>481</v>
      </c>
      <c r="AI374" t="s">
        <v>818</v>
      </c>
      <c r="AJ374" t="s">
        <v>1413</v>
      </c>
      <c r="AK374" t="s">
        <v>2602</v>
      </c>
      <c r="AL374" t="s">
        <v>2603</v>
      </c>
      <c r="AN374" t="str">
        <f t="shared" si="90"/>
        <v>OK</v>
      </c>
      <c r="AO374" t="str">
        <f t="shared" si="91"/>
        <v>OK</v>
      </c>
      <c r="AP374" t="str">
        <f t="shared" si="92"/>
        <v>OK</v>
      </c>
      <c r="AR374" t="str">
        <f t="shared" si="93"/>
        <v>OK</v>
      </c>
      <c r="AS374" t="str">
        <f t="shared" si="94"/>
        <v>OK</v>
      </c>
      <c r="AT374" t="str">
        <f t="shared" si="95"/>
        <v>NOK</v>
      </c>
      <c r="AU374" t="str">
        <f t="shared" si="96"/>
        <v>OK</v>
      </c>
      <c r="AV374" t="str">
        <f t="shared" si="97"/>
        <v>OK</v>
      </c>
      <c r="AW374" t="str">
        <f t="shared" si="98"/>
        <v>OK</v>
      </c>
    </row>
    <row r="375" spans="1:49">
      <c r="A375">
        <f>Dbase_velden_versie4_2!A371</f>
        <v>371</v>
      </c>
      <c r="B375" t="str">
        <f>Dbase_velden_versie4_2!B371</f>
        <v>DSS_SCHUIFMODULUS_G50</v>
      </c>
      <c r="C375" t="str">
        <f>Dbase_velden_versie4_2!C371</f>
        <v>kPa</v>
      </c>
      <c r="D375" t="str">
        <f>Dbase_velden_versie4_2!D371</f>
        <v>De schuifmodulus G50. De G50 wordt bepaald door de helling van de tau-rek curve op het moment dat de halve pieksterkte wordt gehaald.</v>
      </c>
      <c r="E375" t="str">
        <f>Dbase_velden_versie4_2!E371</f>
        <v>Double</v>
      </c>
      <c r="F375">
        <f>Dbase_velden_versie4_2!F371</f>
        <v>0</v>
      </c>
      <c r="G375" t="str">
        <f>Dbase_velden_versie4_2!G371</f>
        <v>DSS SCHUIFMODULUS G50</v>
      </c>
      <c r="H375" t="str">
        <f>Dbase_velden_versie4_2!H371</f>
        <v>[kPa]</v>
      </c>
      <c r="I375" t="str">
        <f>Dbase_velden_versie4_2!I371</f>
        <v>DSS</v>
      </c>
      <c r="J375" t="str">
        <f>Dbase_velden_versie4_2!J371</f>
        <v>DSS proef</v>
      </c>
      <c r="K375">
        <v>371</v>
      </c>
      <c r="L375" t="str">
        <v>DSS_SCHUIFMODULUS_G50</v>
      </c>
      <c r="M375" t="str">
        <v>kPa</v>
      </c>
      <c r="N375" t="str">
        <v>De schuifmodulus G50. De G50 wordt bepaald door de helling van de tau-rek curve op het moment dat de halve pieksterkte wordt gehaald.</v>
      </c>
      <c r="O375" t="str">
        <v>Double</v>
      </c>
      <c r="P375">
        <v>0</v>
      </c>
      <c r="Q375" t="str">
        <v>DSS SCHUIFMODULUS G50</v>
      </c>
      <c r="R375" t="str">
        <v>[kPa]</v>
      </c>
      <c r="S375" t="str">
        <f t="shared" si="89"/>
        <v>OK</v>
      </c>
      <c r="T375" t="str">
        <f t="shared" si="83"/>
        <v>OK</v>
      </c>
      <c r="U375" t="str">
        <f t="shared" si="84"/>
        <v>OK</v>
      </c>
      <c r="V375" t="str">
        <f t="shared" si="85"/>
        <v>OK</v>
      </c>
      <c r="W375" t="str">
        <f t="shared" si="86"/>
        <v>OK</v>
      </c>
      <c r="X375" t="str">
        <f t="shared" si="87"/>
        <v>OK</v>
      </c>
      <c r="Y375" t="str">
        <f t="shared" si="88"/>
        <v>OK</v>
      </c>
      <c r="Z375">
        <v>370</v>
      </c>
      <c r="AA375">
        <v>372</v>
      </c>
      <c r="AB375" t="s">
        <v>2602</v>
      </c>
      <c r="AC375" t="s">
        <v>371</v>
      </c>
      <c r="AD375" t="s">
        <v>470</v>
      </c>
      <c r="AE375" t="s">
        <v>819</v>
      </c>
      <c r="AG375" t="s">
        <v>897</v>
      </c>
      <c r="AI375" t="s">
        <v>2638</v>
      </c>
      <c r="AJ375" t="s">
        <v>1402</v>
      </c>
      <c r="AK375" t="s">
        <v>2602</v>
      </c>
      <c r="AL375" t="s">
        <v>2603</v>
      </c>
      <c r="AN375" t="str">
        <f t="shared" si="90"/>
        <v>OK</v>
      </c>
      <c r="AO375" t="str">
        <f t="shared" si="91"/>
        <v>OK</v>
      </c>
      <c r="AP375" t="str">
        <f t="shared" si="92"/>
        <v>OK</v>
      </c>
      <c r="AR375" t="str">
        <f t="shared" si="93"/>
        <v>OK</v>
      </c>
      <c r="AS375" t="str">
        <f t="shared" si="94"/>
        <v>OK</v>
      </c>
      <c r="AT375" t="str">
        <f t="shared" si="95"/>
        <v>NOK</v>
      </c>
      <c r="AU375" t="str">
        <f t="shared" si="96"/>
        <v>OK</v>
      </c>
      <c r="AV375" t="str">
        <f t="shared" si="97"/>
        <v>OK</v>
      </c>
      <c r="AW375" t="str">
        <f t="shared" si="98"/>
        <v>OK</v>
      </c>
    </row>
    <row r="376" spans="1:49">
      <c r="A376">
        <f>Dbase_velden_versie4_2!A372</f>
        <v>372</v>
      </c>
      <c r="B376" t="str">
        <f>Dbase_velden_versie4_2!B372</f>
        <v>TXT_SS_FILENAAM_PDF</v>
      </c>
      <c r="C376" t="str">
        <f>Dbase_velden_versie4_2!C372</f>
        <v>-</v>
      </c>
      <c r="D376" t="str">
        <f>Dbase_velden_versie4_2!D372</f>
        <v>Bestandnaam van de pdf waarin de triaxiaal-proef is gerapporteerd</v>
      </c>
      <c r="E376" t="str">
        <f>Dbase_velden_versie4_2!E372</f>
        <v>String</v>
      </c>
      <c r="F376">
        <f>Dbase_velden_versie4_2!F372</f>
        <v>0</v>
      </c>
      <c r="G376" t="str">
        <f>Dbase_velden_versie4_2!G372</f>
        <v>TXT SS FILENAAM PDF</v>
      </c>
      <c r="H376" t="str">
        <f>Dbase_velden_versie4_2!H372</f>
        <v>[-]</v>
      </c>
      <c r="I376" t="str">
        <f>Dbase_velden_versie4_2!I372</f>
        <v>TXT_SS</v>
      </c>
      <c r="J376" t="str">
        <f>Dbase_velden_versie4_2!J372</f>
        <v>Triaxiaalproeven single stage (CU SS)</v>
      </c>
      <c r="K376">
        <v>372</v>
      </c>
      <c r="L376" t="str">
        <v>TXT_SS_FILENAAM_PDF</v>
      </c>
      <c r="M376" t="str">
        <v>-</v>
      </c>
      <c r="N376" t="str">
        <v>Bestandnaam van de pdf waarin de triaxiaal-proef is gerapporteerd</v>
      </c>
      <c r="O376" t="str">
        <v>String</v>
      </c>
      <c r="P376">
        <v>0</v>
      </c>
      <c r="Q376" t="str">
        <v>TXT SS FILENAAM PDF</v>
      </c>
      <c r="R376" t="str">
        <v>[-]</v>
      </c>
      <c r="S376" t="str">
        <f t="shared" si="89"/>
        <v>OK</v>
      </c>
      <c r="T376" t="str">
        <f t="shared" si="83"/>
        <v>OK</v>
      </c>
      <c r="U376" t="str">
        <f t="shared" si="84"/>
        <v>OK</v>
      </c>
      <c r="V376" t="str">
        <f t="shared" si="85"/>
        <v>OK</v>
      </c>
      <c r="W376" t="str">
        <f t="shared" si="86"/>
        <v>OK</v>
      </c>
      <c r="X376" t="str">
        <f t="shared" si="87"/>
        <v>OK</v>
      </c>
      <c r="Y376" t="str">
        <f t="shared" si="88"/>
        <v>OK</v>
      </c>
      <c r="Z376">
        <v>371</v>
      </c>
      <c r="AA376">
        <v>373</v>
      </c>
      <c r="AB376" t="s">
        <v>2639</v>
      </c>
      <c r="AC376" t="s">
        <v>372</v>
      </c>
      <c r="AD376" t="s">
        <v>463</v>
      </c>
      <c r="AE376" t="s">
        <v>820</v>
      </c>
      <c r="AG376" t="s">
        <v>896</v>
      </c>
      <c r="AI376" t="s">
        <v>2328</v>
      </c>
      <c r="AJ376" t="s">
        <v>1395</v>
      </c>
      <c r="AK376" t="s">
        <v>2639</v>
      </c>
      <c r="AL376" t="s">
        <v>2640</v>
      </c>
      <c r="AN376" t="str">
        <f t="shared" si="90"/>
        <v>OK</v>
      </c>
      <c r="AO376" t="str">
        <f t="shared" si="91"/>
        <v>OK</v>
      </c>
      <c r="AP376" t="str">
        <f t="shared" si="92"/>
        <v>OK</v>
      </c>
      <c r="AR376" t="str">
        <f t="shared" si="93"/>
        <v>OK</v>
      </c>
      <c r="AS376" t="str">
        <f t="shared" si="94"/>
        <v>OK</v>
      </c>
      <c r="AT376" t="str">
        <f t="shared" si="95"/>
        <v>NOK</v>
      </c>
      <c r="AU376" t="str">
        <f t="shared" si="96"/>
        <v>OK</v>
      </c>
      <c r="AV376" t="str">
        <f t="shared" si="97"/>
        <v>OK</v>
      </c>
      <c r="AW376" t="str">
        <f t="shared" si="98"/>
        <v>OK</v>
      </c>
    </row>
    <row r="377" spans="1:49">
      <c r="A377">
        <f>Dbase_velden_versie4_2!A373</f>
        <v>373</v>
      </c>
      <c r="B377" t="str">
        <f>Dbase_velden_versie4_2!B373</f>
        <v>TXT_SS_FILENAAM_SPANNINGSPAD</v>
      </c>
      <c r="C377" t="str">
        <f>Dbase_velden_versie4_2!C373</f>
        <v>-</v>
      </c>
      <c r="D377" t="str">
        <f>Dbase_velden_versie4_2!D373</f>
        <v>Bestandsnaam van de file waarin het spanningspad conform het STOWA-format is opgenomen</v>
      </c>
      <c r="E377" t="str">
        <f>Dbase_velden_versie4_2!E373</f>
        <v>String</v>
      </c>
      <c r="F377">
        <f>Dbase_velden_versie4_2!F373</f>
        <v>0</v>
      </c>
      <c r="G377" t="str">
        <f>Dbase_velden_versie4_2!G373</f>
        <v>TXT SS FILENAAM SPANNINGSPAD</v>
      </c>
      <c r="H377" t="str">
        <f>Dbase_velden_versie4_2!H373</f>
        <v>[-]</v>
      </c>
      <c r="I377" t="str">
        <f>Dbase_velden_versie4_2!I373</f>
        <v>TXT_SS</v>
      </c>
      <c r="J377" t="str">
        <f>Dbase_velden_versie4_2!J373</f>
        <v>Triaxiaalproeven single stage (CU SS)</v>
      </c>
      <c r="K377">
        <v>373</v>
      </c>
      <c r="L377" t="str">
        <v>TXT_SS_FILENAAM_SPANNINGSPAD</v>
      </c>
      <c r="M377" t="str">
        <v>-</v>
      </c>
      <c r="N377" t="str">
        <v>Bestandsnaam van de file waarin het spanningspad conform het STOWA-format is opgenomen</v>
      </c>
      <c r="O377" t="str">
        <v>String</v>
      </c>
      <c r="P377">
        <v>0</v>
      </c>
      <c r="Q377" t="str">
        <v>TXT SS FILENAAM SPANNINGSPAD</v>
      </c>
      <c r="R377" t="str">
        <v>[-]</v>
      </c>
      <c r="S377" t="str">
        <f t="shared" si="89"/>
        <v>OK</v>
      </c>
      <c r="T377" t="str">
        <f t="shared" si="83"/>
        <v>OK</v>
      </c>
      <c r="U377" t="str">
        <f t="shared" si="84"/>
        <v>OK</v>
      </c>
      <c r="V377" t="str">
        <f t="shared" si="85"/>
        <v>OK</v>
      </c>
      <c r="W377" t="str">
        <f t="shared" si="86"/>
        <v>OK</v>
      </c>
      <c r="X377" t="str">
        <f t="shared" si="87"/>
        <v>OK</v>
      </c>
      <c r="Y377" t="str">
        <f t="shared" si="88"/>
        <v>OK</v>
      </c>
      <c r="Z377">
        <v>372</v>
      </c>
      <c r="AA377">
        <v>374</v>
      </c>
      <c r="AB377" t="s">
        <v>2639</v>
      </c>
      <c r="AC377" t="s">
        <v>373</v>
      </c>
      <c r="AD377" t="s">
        <v>463</v>
      </c>
      <c r="AE377" t="s">
        <v>612</v>
      </c>
      <c r="AG377" t="s">
        <v>896</v>
      </c>
      <c r="AI377" t="s">
        <v>2434</v>
      </c>
      <c r="AJ377" t="s">
        <v>1395</v>
      </c>
      <c r="AK377" t="s">
        <v>2639</v>
      </c>
      <c r="AL377" t="s">
        <v>2640</v>
      </c>
      <c r="AN377" t="str">
        <f t="shared" si="90"/>
        <v>OK</v>
      </c>
      <c r="AO377" t="str">
        <f t="shared" si="91"/>
        <v>OK</v>
      </c>
      <c r="AP377" t="str">
        <f t="shared" si="92"/>
        <v>OK</v>
      </c>
      <c r="AR377" t="str">
        <f t="shared" si="93"/>
        <v>OK</v>
      </c>
      <c r="AS377" t="str">
        <f t="shared" si="94"/>
        <v>OK</v>
      </c>
      <c r="AT377" t="str">
        <f t="shared" si="95"/>
        <v>NOK</v>
      </c>
      <c r="AU377" t="str">
        <f t="shared" si="96"/>
        <v>OK</v>
      </c>
      <c r="AV377" t="str">
        <f t="shared" si="97"/>
        <v>OK</v>
      </c>
      <c r="AW377" t="str">
        <f t="shared" si="98"/>
        <v>OK</v>
      </c>
    </row>
    <row r="378" spans="1:49">
      <c r="A378">
        <f>Dbase_velden_versie4_2!A374</f>
        <v>374</v>
      </c>
      <c r="B378" t="str">
        <f>Dbase_velden_versie4_2!B374</f>
        <v>TXT_SS_MONSTERID</v>
      </c>
      <c r="C378" t="str">
        <f>Dbase_velden_versie4_2!C374</f>
        <v>-</v>
      </c>
      <c r="D378" t="str">
        <f>Dbase_velden_versie4_2!D374</f>
        <v>Monsternummering van de triaxiaal-proef</v>
      </c>
      <c r="E378" t="str">
        <f>Dbase_velden_versie4_2!E374</f>
        <v>String</v>
      </c>
      <c r="F378">
        <f>Dbase_velden_versie4_2!F374</f>
        <v>0</v>
      </c>
      <c r="G378" t="str">
        <f>Dbase_velden_versie4_2!G374</f>
        <v>TXT SS MONSTERID</v>
      </c>
      <c r="H378" t="str">
        <f>Dbase_velden_versie4_2!H374</f>
        <v>[-]</v>
      </c>
      <c r="I378" t="str">
        <f>Dbase_velden_versie4_2!I374</f>
        <v>TXT_SS</v>
      </c>
      <c r="J378" t="str">
        <f>Dbase_velden_versie4_2!J374</f>
        <v>Triaxiaalproeven single stage (CU SS)</v>
      </c>
      <c r="K378">
        <v>374</v>
      </c>
      <c r="L378" t="str">
        <v>TXT_SS_MONSTERID</v>
      </c>
      <c r="M378" t="str">
        <v>-</v>
      </c>
      <c r="N378" t="str">
        <v>Monsternummering van de triaxiaal-proef</v>
      </c>
      <c r="O378" t="str">
        <v>String</v>
      </c>
      <c r="P378">
        <v>0</v>
      </c>
      <c r="Q378" t="str">
        <v>TXT SS MONSTERID</v>
      </c>
      <c r="R378" t="str">
        <v>[-]</v>
      </c>
      <c r="S378" t="str">
        <f t="shared" si="89"/>
        <v>OK</v>
      </c>
      <c r="T378" t="str">
        <f t="shared" si="83"/>
        <v>OK</v>
      </c>
      <c r="U378" t="str">
        <f t="shared" si="84"/>
        <v>OK</v>
      </c>
      <c r="V378" t="str">
        <f t="shared" si="85"/>
        <v>OK</v>
      </c>
      <c r="W378" t="str">
        <f t="shared" si="86"/>
        <v>OK</v>
      </c>
      <c r="X378" t="str">
        <f t="shared" si="87"/>
        <v>OK</v>
      </c>
      <c r="Y378" t="str">
        <f t="shared" si="88"/>
        <v>OK</v>
      </c>
      <c r="Z378">
        <v>373</v>
      </c>
      <c r="AA378">
        <v>375</v>
      </c>
      <c r="AB378" t="s">
        <v>2639</v>
      </c>
      <c r="AC378" t="s">
        <v>374</v>
      </c>
      <c r="AD378" t="s">
        <v>463</v>
      </c>
      <c r="AE378" t="s">
        <v>821</v>
      </c>
      <c r="AG378" t="s">
        <v>896</v>
      </c>
      <c r="AI378" t="s">
        <v>2348</v>
      </c>
      <c r="AJ378" t="s">
        <v>1395</v>
      </c>
      <c r="AK378" t="s">
        <v>2639</v>
      </c>
      <c r="AL378" t="s">
        <v>2640</v>
      </c>
      <c r="AN378" t="str">
        <f t="shared" si="90"/>
        <v>OK</v>
      </c>
      <c r="AO378" t="str">
        <f t="shared" si="91"/>
        <v>OK</v>
      </c>
      <c r="AP378" t="str">
        <f t="shared" si="92"/>
        <v>OK</v>
      </c>
      <c r="AR378" t="str">
        <f t="shared" si="93"/>
        <v>OK</v>
      </c>
      <c r="AS378" t="str">
        <f t="shared" si="94"/>
        <v>OK</v>
      </c>
      <c r="AT378" t="str">
        <f t="shared" si="95"/>
        <v>NOK</v>
      </c>
      <c r="AU378" t="str">
        <f t="shared" si="96"/>
        <v>OK</v>
      </c>
      <c r="AV378" t="str">
        <f t="shared" si="97"/>
        <v>OK</v>
      </c>
      <c r="AW378" t="str">
        <f t="shared" si="98"/>
        <v>OK</v>
      </c>
    </row>
    <row r="379" spans="1:49">
      <c r="A379">
        <f>Dbase_velden_versie4_2!A375</f>
        <v>375</v>
      </c>
      <c r="B379" t="str">
        <f>Dbase_velden_versie4_2!B375</f>
        <v>TXT_SS_LABORATORIUM</v>
      </c>
      <c r="C379" t="str">
        <f>Dbase_velden_versie4_2!C375</f>
        <v>-</v>
      </c>
      <c r="D379" t="str">
        <f>Dbase_velden_versie4_2!D375</f>
        <v>Laboratorium waar de triaxiaal-proef is uitgevoerd</v>
      </c>
      <c r="E379" t="str">
        <f>Dbase_velden_versie4_2!E375</f>
        <v>String</v>
      </c>
      <c r="F379">
        <f>Dbase_velden_versie4_2!F375</f>
        <v>0</v>
      </c>
      <c r="G379" t="str">
        <f>Dbase_velden_versie4_2!G375</f>
        <v>TXT SS LABORATORIUM</v>
      </c>
      <c r="H379" t="str">
        <f>Dbase_velden_versie4_2!H375</f>
        <v>[-]</v>
      </c>
      <c r="I379" t="str">
        <f>Dbase_velden_versie4_2!I375</f>
        <v>TXT_SS</v>
      </c>
      <c r="J379" t="str">
        <f>Dbase_velden_versie4_2!J375</f>
        <v>Triaxiaalproeven single stage (CU SS)</v>
      </c>
      <c r="K379">
        <v>375</v>
      </c>
      <c r="L379" t="str">
        <v>TXT_SS_LABORATORIUM</v>
      </c>
      <c r="M379" t="str">
        <v>-</v>
      </c>
      <c r="N379" t="str">
        <v>Laboratorium waar de triaxiaal-proef is uitgevoerd</v>
      </c>
      <c r="O379" t="str">
        <v>String</v>
      </c>
      <c r="P379">
        <v>0</v>
      </c>
      <c r="Q379" t="str">
        <v>TXT SS LABORATORIUM</v>
      </c>
      <c r="R379" t="str">
        <v>[-]</v>
      </c>
      <c r="S379" t="str">
        <f t="shared" si="89"/>
        <v>OK</v>
      </c>
      <c r="T379" t="str">
        <f t="shared" si="83"/>
        <v>OK</v>
      </c>
      <c r="U379" t="str">
        <f t="shared" si="84"/>
        <v>OK</v>
      </c>
      <c r="V379" t="str">
        <f t="shared" si="85"/>
        <v>OK</v>
      </c>
      <c r="W379" t="str">
        <f t="shared" si="86"/>
        <v>OK</v>
      </c>
      <c r="X379" t="str">
        <f t="shared" si="87"/>
        <v>OK</v>
      </c>
      <c r="Y379" t="str">
        <f t="shared" si="88"/>
        <v>OK</v>
      </c>
      <c r="Z379">
        <v>374</v>
      </c>
      <c r="AA379">
        <v>376</v>
      </c>
      <c r="AB379" t="s">
        <v>2639</v>
      </c>
      <c r="AC379" t="s">
        <v>375</v>
      </c>
      <c r="AD379" t="s">
        <v>463</v>
      </c>
      <c r="AE379" t="s">
        <v>822</v>
      </c>
      <c r="AG379" t="s">
        <v>896</v>
      </c>
      <c r="AI379" t="s">
        <v>2391</v>
      </c>
      <c r="AJ379" t="s">
        <v>1395</v>
      </c>
      <c r="AK379" t="s">
        <v>2639</v>
      </c>
      <c r="AL379" t="s">
        <v>2640</v>
      </c>
      <c r="AN379" t="str">
        <f t="shared" si="90"/>
        <v>OK</v>
      </c>
      <c r="AO379" t="str">
        <f t="shared" si="91"/>
        <v>OK</v>
      </c>
      <c r="AP379" t="str">
        <f t="shared" si="92"/>
        <v>OK</v>
      </c>
      <c r="AR379" t="str">
        <f t="shared" si="93"/>
        <v>OK</v>
      </c>
      <c r="AS379" t="str">
        <f t="shared" si="94"/>
        <v>OK</v>
      </c>
      <c r="AT379" t="str">
        <f t="shared" si="95"/>
        <v>NOK</v>
      </c>
      <c r="AU379" t="str">
        <f t="shared" si="96"/>
        <v>OK</v>
      </c>
      <c r="AV379" t="str">
        <f t="shared" si="97"/>
        <v>OK</v>
      </c>
      <c r="AW379" t="str">
        <f t="shared" si="98"/>
        <v>OK</v>
      </c>
    </row>
    <row r="380" spans="1:49">
      <c r="A380">
        <f>Dbase_velden_versie4_2!A376</f>
        <v>376</v>
      </c>
      <c r="B380" t="str">
        <f>Dbase_velden_versie4_2!B376</f>
        <v>TXT_SS_NORM</v>
      </c>
      <c r="C380" t="str">
        <f>Dbase_velden_versie4_2!C376</f>
        <v>-</v>
      </c>
      <c r="D380" t="str">
        <f>Dbase_velden_versie4_2!D376</f>
        <v>Bij de uitvoering van de triaxiaal-proef aangehouden normen</v>
      </c>
      <c r="E380" t="str">
        <f>Dbase_velden_versie4_2!E376</f>
        <v>String</v>
      </c>
      <c r="F380">
        <f>Dbase_velden_versie4_2!F376</f>
        <v>0</v>
      </c>
      <c r="G380" t="str">
        <f>Dbase_velden_versie4_2!G376</f>
        <v>TXT SS NORM</v>
      </c>
      <c r="H380" t="str">
        <f>Dbase_velden_versie4_2!H376</f>
        <v>[-]</v>
      </c>
      <c r="I380" t="str">
        <f>Dbase_velden_versie4_2!I376</f>
        <v>TXT_SS</v>
      </c>
      <c r="J380" t="str">
        <f>Dbase_velden_versie4_2!J376</f>
        <v>Triaxiaalproeven single stage (CU SS)</v>
      </c>
      <c r="K380">
        <v>376</v>
      </c>
      <c r="L380" t="str">
        <v>TXT_SS_NORM</v>
      </c>
      <c r="M380" t="str">
        <v>-</v>
      </c>
      <c r="N380" t="str">
        <v>Bij de uitvoering van de triaxiaal-proef aangehouden normen</v>
      </c>
      <c r="O380" t="str">
        <v>String</v>
      </c>
      <c r="P380">
        <v>0</v>
      </c>
      <c r="Q380" t="str">
        <v>TXT SS NORM</v>
      </c>
      <c r="R380" t="str">
        <v>[-]</v>
      </c>
      <c r="S380" t="str">
        <f t="shared" si="89"/>
        <v>OK</v>
      </c>
      <c r="T380" t="str">
        <f t="shared" si="83"/>
        <v>OK</v>
      </c>
      <c r="U380" t="str">
        <f t="shared" si="84"/>
        <v>OK</v>
      </c>
      <c r="V380" t="str">
        <f t="shared" si="85"/>
        <v>OK</v>
      </c>
      <c r="W380" t="str">
        <f t="shared" si="86"/>
        <v>OK</v>
      </c>
      <c r="X380" t="str">
        <f t="shared" si="87"/>
        <v>OK</v>
      </c>
      <c r="Y380" t="str">
        <f t="shared" si="88"/>
        <v>OK</v>
      </c>
      <c r="Z380">
        <v>375</v>
      </c>
      <c r="AA380">
        <v>377</v>
      </c>
      <c r="AB380" t="s">
        <v>2639</v>
      </c>
      <c r="AC380" t="s">
        <v>376</v>
      </c>
      <c r="AD380" t="s">
        <v>463</v>
      </c>
      <c r="AE380" t="s">
        <v>823</v>
      </c>
      <c r="AG380" t="s">
        <v>896</v>
      </c>
      <c r="AI380" t="s">
        <v>2435</v>
      </c>
      <c r="AJ380" t="s">
        <v>1395</v>
      </c>
      <c r="AK380" t="s">
        <v>2639</v>
      </c>
      <c r="AL380" t="s">
        <v>2640</v>
      </c>
      <c r="AN380" t="str">
        <f t="shared" si="90"/>
        <v>OK</v>
      </c>
      <c r="AO380" t="str">
        <f t="shared" si="91"/>
        <v>OK</v>
      </c>
      <c r="AP380" t="str">
        <f t="shared" si="92"/>
        <v>OK</v>
      </c>
      <c r="AR380" t="str">
        <f t="shared" si="93"/>
        <v>OK</v>
      </c>
      <c r="AS380" t="str">
        <f t="shared" si="94"/>
        <v>OK</v>
      </c>
      <c r="AT380" t="str">
        <f t="shared" si="95"/>
        <v>NOK</v>
      </c>
      <c r="AU380" t="str">
        <f t="shared" si="96"/>
        <v>OK</v>
      </c>
      <c r="AV380" t="str">
        <f t="shared" si="97"/>
        <v>OK</v>
      </c>
      <c r="AW380" t="str">
        <f t="shared" si="98"/>
        <v>OK</v>
      </c>
    </row>
    <row r="381" spans="1:49">
      <c r="A381">
        <f>Dbase_velden_versie4_2!A377</f>
        <v>377</v>
      </c>
      <c r="B381" t="str">
        <f>Dbase_velden_versie4_2!B377</f>
        <v>TXT_SS_DATUM</v>
      </c>
      <c r="C381" t="str">
        <f>Dbase_velden_versie4_2!C377</f>
        <v>DD-MM-JJJJ</v>
      </c>
      <c r="D381" t="str">
        <f>Dbase_velden_versie4_2!D377</f>
        <v>Datum waarop de triaxiaal-proef is uitgevoerd</v>
      </c>
      <c r="E381" t="str">
        <f>Dbase_velden_versie4_2!E377</f>
        <v>Date</v>
      </c>
      <c r="F381">
        <f>Dbase_velden_versie4_2!F377</f>
        <v>0</v>
      </c>
      <c r="G381" t="str">
        <f>Dbase_velden_versie4_2!G377</f>
        <v>TXT SS DATUM</v>
      </c>
      <c r="H381" t="str">
        <f>Dbase_velden_versie4_2!H377</f>
        <v>[DD-MM-JJJJ]</v>
      </c>
      <c r="I381" t="str">
        <f>Dbase_velden_versie4_2!I377</f>
        <v>TXT_SS</v>
      </c>
      <c r="J381" t="str">
        <f>Dbase_velden_versie4_2!J377</f>
        <v>Triaxiaalproeven single stage (CU SS)</v>
      </c>
      <c r="K381">
        <v>377</v>
      </c>
      <c r="L381" t="str">
        <v>TXT_SS_DATUM</v>
      </c>
      <c r="M381" t="str">
        <v>DD-MM-JJJJ</v>
      </c>
      <c r="N381" t="str">
        <v>Datum waarop de triaxiaal-proef is uitgevoerd</v>
      </c>
      <c r="O381" t="str">
        <v>Date</v>
      </c>
      <c r="P381">
        <v>0</v>
      </c>
      <c r="Q381" t="str">
        <v>TXT SS DATUM</v>
      </c>
      <c r="R381" t="str">
        <v>[DD-MM-JJJJ]</v>
      </c>
      <c r="S381" t="str">
        <f t="shared" si="89"/>
        <v>OK</v>
      </c>
      <c r="T381" t="str">
        <f t="shared" si="83"/>
        <v>OK</v>
      </c>
      <c r="U381" t="str">
        <f t="shared" si="84"/>
        <v>OK</v>
      </c>
      <c r="V381" t="str">
        <f t="shared" si="85"/>
        <v>OK</v>
      </c>
      <c r="W381" t="str">
        <f t="shared" si="86"/>
        <v>OK</v>
      </c>
      <c r="X381" t="str">
        <f t="shared" si="87"/>
        <v>OK</v>
      </c>
      <c r="Y381" t="str">
        <f t="shared" si="88"/>
        <v>OK</v>
      </c>
      <c r="Z381">
        <v>376</v>
      </c>
      <c r="AA381">
        <v>378</v>
      </c>
      <c r="AB381" t="s">
        <v>2639</v>
      </c>
      <c r="AC381" t="s">
        <v>377</v>
      </c>
      <c r="AD381" t="s">
        <v>466</v>
      </c>
      <c r="AE381" t="s">
        <v>824</v>
      </c>
      <c r="AG381" t="s">
        <v>898</v>
      </c>
      <c r="AI381" t="s">
        <v>2327</v>
      </c>
      <c r="AJ381" t="s">
        <v>1398</v>
      </c>
      <c r="AK381" t="s">
        <v>2639</v>
      </c>
      <c r="AL381" t="s">
        <v>2640</v>
      </c>
      <c r="AN381" t="str">
        <f t="shared" si="90"/>
        <v>OK</v>
      </c>
      <c r="AO381" t="str">
        <f t="shared" si="91"/>
        <v>OK</v>
      </c>
      <c r="AP381" t="str">
        <f t="shared" si="92"/>
        <v>OK</v>
      </c>
      <c r="AR381" t="str">
        <f t="shared" si="93"/>
        <v>OK</v>
      </c>
      <c r="AS381" t="str">
        <f t="shared" si="94"/>
        <v>OK</v>
      </c>
      <c r="AT381" t="str">
        <f t="shared" si="95"/>
        <v>NOK</v>
      </c>
      <c r="AU381" t="str">
        <f t="shared" si="96"/>
        <v>OK</v>
      </c>
      <c r="AV381" t="str">
        <f t="shared" si="97"/>
        <v>OK</v>
      </c>
      <c r="AW381" t="str">
        <f t="shared" si="98"/>
        <v>OK</v>
      </c>
    </row>
    <row r="382" spans="1:49">
      <c r="A382">
        <f>Dbase_velden_versie4_2!A378</f>
        <v>378</v>
      </c>
      <c r="B382" t="str">
        <f>Dbase_velden_versie4_2!B378</f>
        <v>TXT_SS_CLASSIFICATIE</v>
      </c>
      <c r="C382" t="str">
        <f>Dbase_velden_versie4_2!C378</f>
        <v>-</v>
      </c>
      <c r="D382" t="str">
        <f>Dbase_velden_versie4_2!D378</f>
        <v>Classificatie van de grond conform de gehanteerde norm</v>
      </c>
      <c r="E382" t="str">
        <f>Dbase_velden_versie4_2!E378</f>
        <v>String</v>
      </c>
      <c r="F382">
        <f>Dbase_velden_versie4_2!F378</f>
        <v>0</v>
      </c>
      <c r="G382" t="str">
        <f>Dbase_velden_versie4_2!G378</f>
        <v>TXT SS CLASSIFICATIE</v>
      </c>
      <c r="H382" t="str">
        <f>Dbase_velden_versie4_2!H378</f>
        <v>[-]</v>
      </c>
      <c r="I382" t="str">
        <f>Dbase_velden_versie4_2!I378</f>
        <v>TXT_SS</v>
      </c>
      <c r="J382" t="str">
        <f>Dbase_velden_versie4_2!J378</f>
        <v>Triaxiaalproeven single stage (CU SS)</v>
      </c>
      <c r="K382">
        <v>378</v>
      </c>
      <c r="L382" t="str">
        <v>TXT_SS_GRONDSOORT</v>
      </c>
      <c r="M382" t="str">
        <v>-</v>
      </c>
      <c r="N382" t="str">
        <v>Classificatie van de grond conform de gehanteerde norm</v>
      </c>
      <c r="O382" t="str">
        <v>String</v>
      </c>
      <c r="P382">
        <v>0</v>
      </c>
      <c r="Q382" t="str">
        <v>TXT SS CLASSIFICATIE</v>
      </c>
      <c r="R382" t="str">
        <v>[-]</v>
      </c>
      <c r="S382" t="str">
        <f t="shared" si="89"/>
        <v>OK</v>
      </c>
      <c r="T382" t="str">
        <f t="shared" si="83"/>
        <v>NOK</v>
      </c>
      <c r="U382" t="str">
        <f t="shared" si="84"/>
        <v>OK</v>
      </c>
      <c r="V382" t="str">
        <f t="shared" si="85"/>
        <v>OK</v>
      </c>
      <c r="W382" t="str">
        <f t="shared" si="86"/>
        <v>OK</v>
      </c>
      <c r="X382" t="str">
        <f t="shared" si="87"/>
        <v>OK</v>
      </c>
      <c r="Y382" t="str">
        <f t="shared" si="88"/>
        <v>OK</v>
      </c>
      <c r="Z382">
        <v>377</v>
      </c>
      <c r="AA382">
        <v>379</v>
      </c>
      <c r="AB382" t="s">
        <v>2639</v>
      </c>
      <c r="AC382" t="s">
        <v>2641</v>
      </c>
      <c r="AD382" t="s">
        <v>463</v>
      </c>
      <c r="AE382" t="s">
        <v>2353</v>
      </c>
      <c r="AG382" t="s">
        <v>896</v>
      </c>
      <c r="AH382" t="s">
        <v>2354</v>
      </c>
      <c r="AI382" t="s">
        <v>2355</v>
      </c>
      <c r="AJ382" t="s">
        <v>1395</v>
      </c>
      <c r="AK382" t="s">
        <v>2639</v>
      </c>
      <c r="AL382" t="s">
        <v>2640</v>
      </c>
      <c r="AN382" t="str">
        <f t="shared" si="90"/>
        <v>NOK</v>
      </c>
      <c r="AO382" t="str">
        <f t="shared" si="91"/>
        <v>OK</v>
      </c>
      <c r="AP382" t="str">
        <f t="shared" si="92"/>
        <v>NOK</v>
      </c>
      <c r="AR382" t="str">
        <f t="shared" si="93"/>
        <v>OK</v>
      </c>
      <c r="AS382" t="str">
        <f t="shared" si="94"/>
        <v>NOK</v>
      </c>
      <c r="AT382" t="str">
        <f t="shared" si="95"/>
        <v>NOK</v>
      </c>
      <c r="AU382" t="str">
        <f t="shared" si="96"/>
        <v>OK</v>
      </c>
      <c r="AV382" t="str">
        <f t="shared" si="97"/>
        <v>OK</v>
      </c>
      <c r="AW382" t="str">
        <f t="shared" si="98"/>
        <v>OK</v>
      </c>
    </row>
    <row r="383" spans="1:49">
      <c r="A383">
        <f>Dbase_velden_versie4_2!A379</f>
        <v>379</v>
      </c>
      <c r="B383" t="str">
        <f>Dbase_velden_versie4_2!B379</f>
        <v>TXT_SS_CLASSIFICATIE_BIJMENGING</v>
      </c>
      <c r="C383" t="str">
        <f>Dbase_velden_versie4_2!C379</f>
        <v>-</v>
      </c>
      <c r="D383" t="str">
        <f>Dbase_velden_versie4_2!D379</f>
        <v>Beschrijving van de bijzondere bestanddelen of secundaire of tertiaire fracties</v>
      </c>
      <c r="E383" t="str">
        <f>Dbase_velden_versie4_2!E379</f>
        <v>String</v>
      </c>
      <c r="F383">
        <f>Dbase_velden_versie4_2!F379</f>
        <v>0</v>
      </c>
      <c r="G383" t="str">
        <f>Dbase_velden_versie4_2!G379</f>
        <v>TXT SS CLASSIFICATIE BIJMENGING</v>
      </c>
      <c r="H383" t="str">
        <f>Dbase_velden_versie4_2!H379</f>
        <v>[-]</v>
      </c>
      <c r="I383" t="str">
        <f>Dbase_velden_versie4_2!I379</f>
        <v>TXT_SS</v>
      </c>
      <c r="J383" t="str">
        <f>Dbase_velden_versie4_2!J379</f>
        <v>Triaxiaalproeven single stage (CU SS)</v>
      </c>
      <c r="K383">
        <v>379</v>
      </c>
      <c r="L383" t="str">
        <v>TXT_SS_OVERIGE_BESTANDDELEN</v>
      </c>
      <c r="M383" t="str">
        <v>-</v>
      </c>
      <c r="N383" t="str">
        <v>Beschrijving van de bijzondere bestanddelen of secundaire of tertiaire fracties</v>
      </c>
      <c r="O383" t="str">
        <v>String</v>
      </c>
      <c r="P383">
        <v>0</v>
      </c>
      <c r="Q383" t="str">
        <v>TXT SS OVERIGE BESTANDDELEN</v>
      </c>
      <c r="R383" t="str">
        <v>[-]</v>
      </c>
      <c r="S383" t="str">
        <f t="shared" si="89"/>
        <v>OK</v>
      </c>
      <c r="T383" t="str">
        <f t="shared" si="83"/>
        <v>NOK</v>
      </c>
      <c r="U383" t="str">
        <f t="shared" si="84"/>
        <v>OK</v>
      </c>
      <c r="V383" t="str">
        <f t="shared" si="85"/>
        <v>OK</v>
      </c>
      <c r="W383" t="str">
        <f t="shared" si="86"/>
        <v>OK</v>
      </c>
      <c r="X383" t="str">
        <f t="shared" si="87"/>
        <v>OK</v>
      </c>
      <c r="Y383" t="str">
        <f t="shared" si="88"/>
        <v>NOK</v>
      </c>
      <c r="Z383">
        <v>378</v>
      </c>
      <c r="AA383">
        <v>380</v>
      </c>
      <c r="AB383" t="s">
        <v>2639</v>
      </c>
      <c r="AC383" t="s">
        <v>2642</v>
      </c>
      <c r="AD383" t="s">
        <v>463</v>
      </c>
      <c r="AE383" t="s">
        <v>2394</v>
      </c>
      <c r="AG383" t="s">
        <v>896</v>
      </c>
      <c r="AI383" t="s">
        <v>2358</v>
      </c>
      <c r="AJ383" t="s">
        <v>1395</v>
      </c>
      <c r="AK383" t="s">
        <v>2639</v>
      </c>
      <c r="AL383" t="s">
        <v>2640</v>
      </c>
      <c r="AN383" t="str">
        <f t="shared" si="90"/>
        <v>NOK</v>
      </c>
      <c r="AO383" t="str">
        <f t="shared" si="91"/>
        <v>OK</v>
      </c>
      <c r="AP383" t="str">
        <f t="shared" si="92"/>
        <v>NOK</v>
      </c>
      <c r="AR383" t="str">
        <f t="shared" si="93"/>
        <v>OK</v>
      </c>
      <c r="AS383" t="str">
        <f t="shared" si="94"/>
        <v>OK</v>
      </c>
      <c r="AT383" t="str">
        <f t="shared" si="95"/>
        <v>NOK</v>
      </c>
      <c r="AU383" t="str">
        <f t="shared" si="96"/>
        <v>OK</v>
      </c>
      <c r="AV383" t="str">
        <f t="shared" si="97"/>
        <v>OK</v>
      </c>
      <c r="AW383" t="str">
        <f t="shared" si="98"/>
        <v>OK</v>
      </c>
    </row>
    <row r="384" spans="1:49">
      <c r="A384">
        <f>Dbase_velden_versie4_2!A380</f>
        <v>380</v>
      </c>
      <c r="B384" t="str">
        <f>Dbase_velden_versie4_2!B380</f>
        <v>TXT_SS_MONSTERNIVEAU</v>
      </c>
      <c r="C384" t="str">
        <f>Dbase_velden_versie4_2!C380</f>
        <v>m NAP</v>
      </c>
      <c r="D384" t="str">
        <f>Dbase_velden_versie4_2!D380</f>
        <v>Niveau van het monster van de triaxiaal-proef</v>
      </c>
      <c r="E384" t="str">
        <f>Dbase_velden_versie4_2!E380</f>
        <v>Double</v>
      </c>
      <c r="F384" t="str">
        <f>Dbase_velden_versie4_2!F380</f>
        <v>+10 / - 50</v>
      </c>
      <c r="G384" t="str">
        <f>Dbase_velden_versie4_2!G380</f>
        <v>TXT SS MONSTERNIVEAU</v>
      </c>
      <c r="H384" t="str">
        <f>Dbase_velden_versie4_2!H380</f>
        <v>[m NAP]</v>
      </c>
      <c r="I384" t="str">
        <f>Dbase_velden_versie4_2!I380</f>
        <v>TXT_SS</v>
      </c>
      <c r="J384" t="str">
        <f>Dbase_velden_versie4_2!J380</f>
        <v>Triaxiaalproeven single stage (CU SS)</v>
      </c>
      <c r="K384">
        <v>380</v>
      </c>
      <c r="L384" t="str">
        <v>TXT_SS_MONSTERNIVEAU</v>
      </c>
      <c r="M384" t="str">
        <v>m NAP</v>
      </c>
      <c r="N384" t="str">
        <v>Niveau van het monster van de triaxiaal-proef</v>
      </c>
      <c r="O384" t="str">
        <v>Double</v>
      </c>
      <c r="P384" t="str">
        <v>+10 / - 50</v>
      </c>
      <c r="Q384" t="str">
        <v>TXT SS MONSTERNIVEAU</v>
      </c>
      <c r="R384" t="str">
        <v>[m NAP]</v>
      </c>
      <c r="S384" t="str">
        <f t="shared" si="89"/>
        <v>OK</v>
      </c>
      <c r="T384" t="str">
        <f t="shared" si="83"/>
        <v>OK</v>
      </c>
      <c r="U384" t="str">
        <f t="shared" si="84"/>
        <v>OK</v>
      </c>
      <c r="V384" t="str">
        <f t="shared" si="85"/>
        <v>OK</v>
      </c>
      <c r="W384" t="str">
        <f t="shared" si="86"/>
        <v>OK</v>
      </c>
      <c r="X384" t="str">
        <f t="shared" si="87"/>
        <v>OK</v>
      </c>
      <c r="Y384" t="str">
        <f t="shared" si="88"/>
        <v>OK</v>
      </c>
      <c r="Z384">
        <v>379</v>
      </c>
      <c r="AA384">
        <v>381</v>
      </c>
      <c r="AB384" t="s">
        <v>2639</v>
      </c>
      <c r="AC384" t="s">
        <v>380</v>
      </c>
      <c r="AD384" t="s">
        <v>465</v>
      </c>
      <c r="AE384" t="s">
        <v>825</v>
      </c>
      <c r="AG384" t="s">
        <v>897</v>
      </c>
      <c r="AH384" t="s">
        <v>907</v>
      </c>
      <c r="AI384" t="s">
        <v>2359</v>
      </c>
      <c r="AJ384" t="s">
        <v>1397</v>
      </c>
      <c r="AK384" t="s">
        <v>2639</v>
      </c>
      <c r="AL384" t="s">
        <v>2640</v>
      </c>
      <c r="AN384" t="str">
        <f t="shared" si="90"/>
        <v>OK</v>
      </c>
      <c r="AO384" t="str">
        <f t="shared" si="91"/>
        <v>OK</v>
      </c>
      <c r="AP384" t="str">
        <f t="shared" si="92"/>
        <v>OK</v>
      </c>
      <c r="AR384" t="str">
        <f t="shared" si="93"/>
        <v>OK</v>
      </c>
      <c r="AS384" t="str">
        <f t="shared" si="94"/>
        <v>OK</v>
      </c>
      <c r="AT384" t="str">
        <f t="shared" si="95"/>
        <v>NOK</v>
      </c>
      <c r="AU384" t="str">
        <f t="shared" si="96"/>
        <v>OK</v>
      </c>
      <c r="AV384" t="str">
        <f t="shared" si="97"/>
        <v>OK</v>
      </c>
      <c r="AW384" t="str">
        <f t="shared" si="98"/>
        <v>OK</v>
      </c>
    </row>
    <row r="385" spans="1:49">
      <c r="A385">
        <f>Dbase_velden_versie4_2!A381</f>
        <v>381</v>
      </c>
      <c r="B385" t="str">
        <f>Dbase_velden_versie4_2!B381</f>
        <v>TXT_SS_TERREINSPANNING</v>
      </c>
      <c r="C385" t="str">
        <f>Dbase_velden_versie4_2!C381</f>
        <v>kPa</v>
      </c>
      <c r="D385" t="str">
        <f>Dbase_velden_versie4_2!D381</f>
        <v>Inschatting van de terreinspanning (= effectieve verticale spanning) op het niveau van het beproefde monster</v>
      </c>
      <c r="E385" t="str">
        <f>Dbase_velden_versie4_2!E381</f>
        <v>Double</v>
      </c>
      <c r="F385">
        <f>Dbase_velden_versie4_2!F381</f>
        <v>0</v>
      </c>
      <c r="G385" t="str">
        <f>Dbase_velden_versie4_2!G381</f>
        <v>TXT SS TERREINSPANNING</v>
      </c>
      <c r="H385" t="str">
        <f>Dbase_velden_versie4_2!H381</f>
        <v>[kPa]</v>
      </c>
      <c r="I385" t="str">
        <f>Dbase_velden_versie4_2!I381</f>
        <v>TXT_SS</v>
      </c>
      <c r="J385" t="str">
        <f>Dbase_velden_versie4_2!J381</f>
        <v>Triaxiaalproeven single stage (CU SS)</v>
      </c>
      <c r="K385">
        <v>381</v>
      </c>
      <c r="L385" t="str">
        <v>TXT_SS_TERREINSPANNING</v>
      </c>
      <c r="M385" t="str">
        <v>kPa</v>
      </c>
      <c r="N385" t="str">
        <v>Inschatting van de terreinspanning (= effectieve verticale spanning) op het niveau van het beproefde monster</v>
      </c>
      <c r="O385" t="str">
        <v>Double</v>
      </c>
      <c r="P385">
        <v>0</v>
      </c>
      <c r="Q385" t="str">
        <v>TXT SS TERREINSPANNING</v>
      </c>
      <c r="R385" t="str">
        <v>[kPa]</v>
      </c>
      <c r="S385" t="str">
        <f t="shared" si="89"/>
        <v>OK</v>
      </c>
      <c r="T385" t="str">
        <f t="shared" si="83"/>
        <v>OK</v>
      </c>
      <c r="U385" t="str">
        <f t="shared" si="84"/>
        <v>OK</v>
      </c>
      <c r="V385" t="str">
        <f t="shared" si="85"/>
        <v>OK</v>
      </c>
      <c r="W385" t="str">
        <f t="shared" si="86"/>
        <v>OK</v>
      </c>
      <c r="X385" t="str">
        <f t="shared" si="87"/>
        <v>OK</v>
      </c>
      <c r="Y385" t="str">
        <f t="shared" si="88"/>
        <v>OK</v>
      </c>
      <c r="Z385">
        <v>380</v>
      </c>
      <c r="AA385">
        <v>382</v>
      </c>
      <c r="AB385" t="s">
        <v>2639</v>
      </c>
      <c r="AC385" t="s">
        <v>381</v>
      </c>
      <c r="AD385" t="s">
        <v>470</v>
      </c>
      <c r="AE385" t="s">
        <v>784</v>
      </c>
      <c r="AG385" t="s">
        <v>897</v>
      </c>
      <c r="AI385" t="s">
        <v>2643</v>
      </c>
      <c r="AJ385" t="s">
        <v>1402</v>
      </c>
      <c r="AK385" t="s">
        <v>2639</v>
      </c>
      <c r="AL385" t="s">
        <v>2640</v>
      </c>
      <c r="AN385" t="str">
        <f t="shared" si="90"/>
        <v>OK</v>
      </c>
      <c r="AO385" t="str">
        <f t="shared" si="91"/>
        <v>OK</v>
      </c>
      <c r="AP385" t="str">
        <f t="shared" si="92"/>
        <v>OK</v>
      </c>
      <c r="AR385" t="str">
        <f t="shared" si="93"/>
        <v>OK</v>
      </c>
      <c r="AS385" t="str">
        <f t="shared" si="94"/>
        <v>OK</v>
      </c>
      <c r="AT385" t="str">
        <f t="shared" si="95"/>
        <v>NOK</v>
      </c>
      <c r="AU385" t="str">
        <f t="shared" si="96"/>
        <v>OK</v>
      </c>
      <c r="AV385" t="str">
        <f t="shared" si="97"/>
        <v>OK</v>
      </c>
      <c r="AW385" t="str">
        <f t="shared" si="98"/>
        <v>OK</v>
      </c>
    </row>
    <row r="386" spans="1:49">
      <c r="A386">
        <f>Dbase_velden_versie4_2!A382</f>
        <v>382</v>
      </c>
      <c r="B386" t="str">
        <f>Dbase_velden_versie4_2!B382</f>
        <v>TXT_SS_VOLUMEGEWICHT_NAT</v>
      </c>
      <c r="C386" t="str">
        <f>Dbase_velden_versie4_2!C382</f>
        <v>kN/m3</v>
      </c>
      <c r="D386" t="str">
        <f>Dbase_velden_versie4_2!D382</f>
        <v>Resultaat van de bepaling van het initiele volumieke gewicht conform NEN5110/5111 voor uitvoering van de proef</v>
      </c>
      <c r="E386" t="str">
        <f>Dbase_velden_versie4_2!E382</f>
        <v>Double</v>
      </c>
      <c r="F386" t="str">
        <f>Dbase_velden_versie4_2!F382</f>
        <v>+5,0 - +30,0</v>
      </c>
      <c r="G386" t="str">
        <f>Dbase_velden_versie4_2!G382</f>
        <v>TXT SS VOLUMEGEWICHT NAT</v>
      </c>
      <c r="H386" t="str">
        <f>Dbase_velden_versie4_2!H382</f>
        <v>[kN/m3]</v>
      </c>
      <c r="I386" t="str">
        <f>Dbase_velden_versie4_2!I382</f>
        <v>TXT_SS</v>
      </c>
      <c r="J386" t="str">
        <f>Dbase_velden_versie4_2!J382</f>
        <v>Triaxiaalproeven single stage (CU SS)</v>
      </c>
      <c r="K386">
        <v>382</v>
      </c>
      <c r="L386" t="str">
        <v>TXT_SS_VOLUMEGEWICHT_NAT</v>
      </c>
      <c r="M386" t="str">
        <v>kN/m3</v>
      </c>
      <c r="N386" t="str">
        <v>Resultaat van de bepaling van het initiele volumieke gewicht conform NEN5110/5111 voor uitvoering van de proef</v>
      </c>
      <c r="O386" t="str">
        <v>Double</v>
      </c>
      <c r="P386" t="str">
        <v>+5,0 - +30,0</v>
      </c>
      <c r="Q386" t="str">
        <v>TXT SS VOLUMEGEWICHT NAT</v>
      </c>
      <c r="R386" t="str">
        <v>[kN/m3]</v>
      </c>
      <c r="S386" t="str">
        <f t="shared" si="89"/>
        <v>OK</v>
      </c>
      <c r="T386" t="str">
        <f t="shared" si="83"/>
        <v>OK</v>
      </c>
      <c r="U386" t="str">
        <f t="shared" si="84"/>
        <v>OK</v>
      </c>
      <c r="V386" t="str">
        <f t="shared" si="85"/>
        <v>OK</v>
      </c>
      <c r="W386" t="str">
        <f t="shared" si="86"/>
        <v>OK</v>
      </c>
      <c r="X386" t="str">
        <f t="shared" si="87"/>
        <v>OK</v>
      </c>
      <c r="Y386" t="str">
        <f t="shared" si="88"/>
        <v>OK</v>
      </c>
      <c r="Z386">
        <v>381</v>
      </c>
      <c r="AA386">
        <v>383</v>
      </c>
      <c r="AB386" t="s">
        <v>2639</v>
      </c>
      <c r="AC386" t="s">
        <v>382</v>
      </c>
      <c r="AD386" t="s">
        <v>467</v>
      </c>
      <c r="AE386" t="s">
        <v>619</v>
      </c>
      <c r="AG386" t="s">
        <v>897</v>
      </c>
      <c r="AH386" t="s">
        <v>908</v>
      </c>
      <c r="AI386" t="s">
        <v>2360</v>
      </c>
      <c r="AJ386" t="s">
        <v>1399</v>
      </c>
      <c r="AK386" t="s">
        <v>2639</v>
      </c>
      <c r="AL386" t="s">
        <v>2640</v>
      </c>
      <c r="AN386" t="str">
        <f t="shared" si="90"/>
        <v>OK</v>
      </c>
      <c r="AO386" t="str">
        <f t="shared" si="91"/>
        <v>OK</v>
      </c>
      <c r="AP386" t="str">
        <f t="shared" si="92"/>
        <v>OK</v>
      </c>
      <c r="AR386" t="str">
        <f t="shared" si="93"/>
        <v>OK</v>
      </c>
      <c r="AS386" t="str">
        <f t="shared" si="94"/>
        <v>OK</v>
      </c>
      <c r="AT386" t="str">
        <f t="shared" si="95"/>
        <v>NOK</v>
      </c>
      <c r="AU386" t="str">
        <f t="shared" si="96"/>
        <v>OK</v>
      </c>
      <c r="AV386" t="str">
        <f t="shared" si="97"/>
        <v>OK</v>
      </c>
      <c r="AW386" t="str">
        <f t="shared" si="98"/>
        <v>OK</v>
      </c>
    </row>
    <row r="387" spans="1:49">
      <c r="A387">
        <f>Dbase_velden_versie4_2!A383</f>
        <v>383</v>
      </c>
      <c r="B387" t="str">
        <f>Dbase_velden_versie4_2!B383</f>
        <v>TXT_SS_VOLUMEGEWICHT_DRG</v>
      </c>
      <c r="C387" t="str">
        <f>Dbase_velden_versie4_2!C383</f>
        <v>kN/m3</v>
      </c>
      <c r="D387" t="str">
        <f>Dbase_velden_versie4_2!D383</f>
        <v>Resultaat van de bepaling van het droge volumieke gewicht conform NEN5110/5111 voor uitvoering van de proef</v>
      </c>
      <c r="E387" t="str">
        <f>Dbase_velden_versie4_2!E383</f>
        <v>Double</v>
      </c>
      <c r="F387" t="str">
        <f>Dbase_velden_versie4_2!F383</f>
        <v>+0,0 - +30,0</v>
      </c>
      <c r="G387" t="str">
        <f>Dbase_velden_versie4_2!G383</f>
        <v>TXT SS VOLUMEGEWICHT DRG</v>
      </c>
      <c r="H387" t="str">
        <f>Dbase_velden_versie4_2!H383</f>
        <v>[kN/m3]</v>
      </c>
      <c r="I387" t="str">
        <f>Dbase_velden_versie4_2!I383</f>
        <v>TXT_SS</v>
      </c>
      <c r="J387" t="str">
        <f>Dbase_velden_versie4_2!J383</f>
        <v>Triaxiaalproeven single stage (CU SS)</v>
      </c>
      <c r="K387">
        <v>383</v>
      </c>
      <c r="L387" t="str">
        <v>TXT_SS_VOLUMEGEWICHT_DRG</v>
      </c>
      <c r="M387" t="str">
        <v>kN/m3</v>
      </c>
      <c r="N387" t="str">
        <v>Resultaat van de bepaling van het droge volumieke gewicht conform NEN5110/5111 voor uitvoering van de proef</v>
      </c>
      <c r="O387" t="str">
        <v>Double</v>
      </c>
      <c r="P387" t="str">
        <v>+0,0 - +30,0</v>
      </c>
      <c r="Q387" t="str">
        <v>TXT SS VOLUMEGEWICHT DRG</v>
      </c>
      <c r="R387" t="str">
        <v>[kN/m3]</v>
      </c>
      <c r="S387" t="str">
        <f t="shared" si="89"/>
        <v>OK</v>
      </c>
      <c r="T387" t="str">
        <f t="shared" si="83"/>
        <v>OK</v>
      </c>
      <c r="U387" t="str">
        <f t="shared" si="84"/>
        <v>OK</v>
      </c>
      <c r="V387" t="str">
        <f t="shared" si="85"/>
        <v>OK</v>
      </c>
      <c r="W387" t="str">
        <f t="shared" si="86"/>
        <v>OK</v>
      </c>
      <c r="X387" t="str">
        <f t="shared" si="87"/>
        <v>OK</v>
      </c>
      <c r="Y387" t="str">
        <f t="shared" si="88"/>
        <v>OK</v>
      </c>
      <c r="Z387">
        <v>382</v>
      </c>
      <c r="AA387">
        <v>384</v>
      </c>
      <c r="AB387" t="s">
        <v>2639</v>
      </c>
      <c r="AC387" t="s">
        <v>383</v>
      </c>
      <c r="AD387" t="s">
        <v>467</v>
      </c>
      <c r="AE387" t="s">
        <v>620</v>
      </c>
      <c r="AG387" t="s">
        <v>897</v>
      </c>
      <c r="AH387" t="s">
        <v>909</v>
      </c>
      <c r="AI387" t="s">
        <v>2361</v>
      </c>
      <c r="AJ387" t="s">
        <v>1399</v>
      </c>
      <c r="AK387" t="s">
        <v>2639</v>
      </c>
      <c r="AL387" t="s">
        <v>2640</v>
      </c>
      <c r="AN387" t="str">
        <f t="shared" si="90"/>
        <v>OK</v>
      </c>
      <c r="AO387" t="str">
        <f t="shared" si="91"/>
        <v>OK</v>
      </c>
      <c r="AP387" t="str">
        <f t="shared" si="92"/>
        <v>OK</v>
      </c>
      <c r="AR387" t="str">
        <f t="shared" si="93"/>
        <v>OK</v>
      </c>
      <c r="AS387" t="str">
        <f t="shared" si="94"/>
        <v>OK</v>
      </c>
      <c r="AT387" t="str">
        <f t="shared" si="95"/>
        <v>NOK</v>
      </c>
      <c r="AU387" t="str">
        <f t="shared" si="96"/>
        <v>OK</v>
      </c>
      <c r="AV387" t="str">
        <f t="shared" si="97"/>
        <v>OK</v>
      </c>
      <c r="AW387" t="str">
        <f t="shared" si="98"/>
        <v>OK</v>
      </c>
    </row>
    <row r="388" spans="1:49">
      <c r="A388">
        <f>Dbase_velden_versie4_2!A384</f>
        <v>384</v>
      </c>
      <c r="B388" t="str">
        <f>Dbase_velden_versie4_2!B384</f>
        <v>TXT_SS_WATERGEHALTE_NA_PROEF</v>
      </c>
      <c r="C388" t="str">
        <f>Dbase_velden_versie4_2!C384</f>
        <v>%</v>
      </c>
      <c r="D388" t="str">
        <f>Dbase_velden_versie4_2!D384</f>
        <v>Resultaat van de bepaling van het initiele watergehalte conform NEN5112/5113 na uitvoering van de proef</v>
      </c>
      <c r="E388" t="str">
        <f>Dbase_velden_versie4_2!E384</f>
        <v>Double</v>
      </c>
      <c r="F388" t="str">
        <f>Dbase_velden_versie4_2!F384</f>
        <v>0,0 - 1000,0</v>
      </c>
      <c r="G388" t="str">
        <f>Dbase_velden_versie4_2!G384</f>
        <v>TXT SS WATERGEHALTE NA PROEF</v>
      </c>
      <c r="H388" t="str">
        <f>Dbase_velden_versie4_2!H384</f>
        <v>[%]</v>
      </c>
      <c r="I388" t="str">
        <f>Dbase_velden_versie4_2!I384</f>
        <v>TXT_SS</v>
      </c>
      <c r="J388" t="str">
        <f>Dbase_velden_versie4_2!J384</f>
        <v>Triaxiaalproeven single stage (CU SS)</v>
      </c>
      <c r="K388">
        <v>384</v>
      </c>
      <c r="L388" t="str">
        <v>TXT_SS_WATERGEHALTE_NA_PROEF</v>
      </c>
      <c r="M388" t="str">
        <v>%</v>
      </c>
      <c r="N388" t="str">
        <v>Resultaat van de bepaling van het initiele watergehalte conform NEN5112/5113 na uitvoering van de proef</v>
      </c>
      <c r="O388" t="str">
        <v>Double</v>
      </c>
      <c r="P388" t="str">
        <v>0,0 - 1000,0</v>
      </c>
      <c r="Q388" t="str">
        <v>TXT SS WATERGEHALTE NA PROEF</v>
      </c>
      <c r="R388" t="str">
        <v>[%]</v>
      </c>
      <c r="S388" t="str">
        <f t="shared" si="89"/>
        <v>OK</v>
      </c>
      <c r="T388" t="str">
        <f t="shared" si="83"/>
        <v>OK</v>
      </c>
      <c r="U388" t="str">
        <f t="shared" si="84"/>
        <v>OK</v>
      </c>
      <c r="V388" t="str">
        <f t="shared" si="85"/>
        <v>OK</v>
      </c>
      <c r="W388" t="str">
        <f t="shared" si="86"/>
        <v>OK</v>
      </c>
      <c r="X388" t="str">
        <f t="shared" si="87"/>
        <v>OK</v>
      </c>
      <c r="Y388" t="str">
        <f t="shared" si="88"/>
        <v>OK</v>
      </c>
      <c r="Z388">
        <v>383</v>
      </c>
      <c r="AA388">
        <v>385</v>
      </c>
      <c r="AB388" t="s">
        <v>2639</v>
      </c>
      <c r="AC388" t="s">
        <v>384</v>
      </c>
      <c r="AD388" t="s">
        <v>468</v>
      </c>
      <c r="AE388" t="s">
        <v>622</v>
      </c>
      <c r="AG388" t="s">
        <v>897</v>
      </c>
      <c r="AH388" t="s">
        <v>910</v>
      </c>
      <c r="AI388" t="s">
        <v>2440</v>
      </c>
      <c r="AJ388" t="s">
        <v>1400</v>
      </c>
      <c r="AK388" t="s">
        <v>2639</v>
      </c>
      <c r="AL388" t="s">
        <v>2640</v>
      </c>
      <c r="AN388" t="str">
        <f t="shared" si="90"/>
        <v>OK</v>
      </c>
      <c r="AO388" t="str">
        <f t="shared" si="91"/>
        <v>OK</v>
      </c>
      <c r="AP388" t="str">
        <f t="shared" si="92"/>
        <v>OK</v>
      </c>
      <c r="AR388" t="str">
        <f t="shared" si="93"/>
        <v>OK</v>
      </c>
      <c r="AS388" t="str">
        <f t="shared" si="94"/>
        <v>OK</v>
      </c>
      <c r="AT388" t="str">
        <f t="shared" si="95"/>
        <v>NOK</v>
      </c>
      <c r="AU388" t="str">
        <f t="shared" si="96"/>
        <v>OK</v>
      </c>
      <c r="AV388" t="str">
        <f t="shared" si="97"/>
        <v>OK</v>
      </c>
      <c r="AW388" t="str">
        <f t="shared" si="98"/>
        <v>OK</v>
      </c>
    </row>
    <row r="389" spans="1:49">
      <c r="A389">
        <f>Dbase_velden_versie4_2!A385</f>
        <v>385</v>
      </c>
      <c r="B389" t="str">
        <f>Dbase_velden_versie4_2!B385</f>
        <v>TXT_SS_WATERGEHALTE_VOOR</v>
      </c>
      <c r="C389" t="str">
        <f>Dbase_velden_versie4_2!C385</f>
        <v>%</v>
      </c>
      <c r="D389" t="str">
        <f>Dbase_velden_versie4_2!D385</f>
        <v>Resultaat van de bepaling van het initiele watergehalte conform NEN5112/5113 voor uitvoering van de proef</v>
      </c>
      <c r="E389" t="str">
        <f>Dbase_velden_versie4_2!E385</f>
        <v>Double</v>
      </c>
      <c r="F389" t="str">
        <f>Dbase_velden_versie4_2!F385</f>
        <v>0,0 - 1000,0</v>
      </c>
      <c r="G389" t="str">
        <f>Dbase_velden_versie4_2!G385</f>
        <v>TXT SS WATERGEHALTE VOOR</v>
      </c>
      <c r="H389" t="str">
        <f>Dbase_velden_versie4_2!H385</f>
        <v>[%]</v>
      </c>
      <c r="I389" t="str">
        <f>Dbase_velden_versie4_2!I385</f>
        <v>TXT_SS</v>
      </c>
      <c r="J389" t="str">
        <f>Dbase_velden_versie4_2!J385</f>
        <v>Triaxiaalproeven single stage (CU SS)</v>
      </c>
      <c r="K389">
        <v>385</v>
      </c>
      <c r="L389" t="str">
        <v>TXT_SS_WATERGEHALTE_VOOR</v>
      </c>
      <c r="M389" t="str">
        <v>%</v>
      </c>
      <c r="N389" t="str">
        <v>Resultaat van de bepaling van het initiele watergehalte conform NEN5112/5113 voor uitvoering van de proef</v>
      </c>
      <c r="O389" t="str">
        <v>Double</v>
      </c>
      <c r="P389" t="str">
        <v>0,0 - 1000,0</v>
      </c>
      <c r="Q389" t="str">
        <v>TXT SS WATERGEHALTE VOOR</v>
      </c>
      <c r="R389" t="str">
        <v>[%]</v>
      </c>
      <c r="S389" t="str">
        <f t="shared" si="89"/>
        <v>OK</v>
      </c>
      <c r="T389" t="str">
        <f t="shared" si="83"/>
        <v>OK</v>
      </c>
      <c r="U389" t="str">
        <f t="shared" si="84"/>
        <v>OK</v>
      </c>
      <c r="V389" t="str">
        <f t="shared" si="85"/>
        <v>OK</v>
      </c>
      <c r="W389" t="str">
        <f t="shared" si="86"/>
        <v>OK</v>
      </c>
      <c r="X389" t="str">
        <f t="shared" si="87"/>
        <v>OK</v>
      </c>
      <c r="Y389" t="str">
        <f t="shared" si="88"/>
        <v>OK</v>
      </c>
      <c r="Z389">
        <v>384</v>
      </c>
      <c r="AA389">
        <v>386</v>
      </c>
      <c r="AB389" t="s">
        <v>2639</v>
      </c>
      <c r="AC389" t="s">
        <v>385</v>
      </c>
      <c r="AD389" t="s">
        <v>468</v>
      </c>
      <c r="AE389" t="s">
        <v>621</v>
      </c>
      <c r="AG389" t="s">
        <v>897</v>
      </c>
      <c r="AH389" t="s">
        <v>910</v>
      </c>
      <c r="AI389" t="s">
        <v>2439</v>
      </c>
      <c r="AJ389" t="s">
        <v>1400</v>
      </c>
      <c r="AK389" t="s">
        <v>2639</v>
      </c>
      <c r="AL389" t="s">
        <v>2640</v>
      </c>
      <c r="AN389" t="str">
        <f t="shared" si="90"/>
        <v>OK</v>
      </c>
      <c r="AO389" t="str">
        <f t="shared" si="91"/>
        <v>OK</v>
      </c>
      <c r="AP389" t="str">
        <f t="shared" si="92"/>
        <v>OK</v>
      </c>
      <c r="AR389" t="str">
        <f t="shared" si="93"/>
        <v>OK</v>
      </c>
      <c r="AS389" t="str">
        <f t="shared" si="94"/>
        <v>OK</v>
      </c>
      <c r="AT389" t="str">
        <f t="shared" si="95"/>
        <v>NOK</v>
      </c>
      <c r="AU389" t="str">
        <f t="shared" si="96"/>
        <v>OK</v>
      </c>
      <c r="AV389" t="str">
        <f t="shared" si="97"/>
        <v>OK</v>
      </c>
      <c r="AW389" t="str">
        <f t="shared" si="98"/>
        <v>OK</v>
      </c>
    </row>
    <row r="390" spans="1:49">
      <c r="A390">
        <f>Dbase_velden_versie4_2!A386</f>
        <v>386</v>
      </c>
      <c r="B390" t="str">
        <f>Dbase_velden_versie4_2!B386</f>
        <v>TXT_SS_VERZADIGINGSGRAAD_VOOR</v>
      </c>
      <c r="C390" t="str">
        <f>Dbase_velden_versie4_2!C386</f>
        <v>%</v>
      </c>
      <c r="D390" t="str">
        <f>Dbase_velden_versie4_2!D386</f>
        <v>Resultaat van de bepaling van het verzadigingsgraad voor uitvoering van de proef conform ...</v>
      </c>
      <c r="E390" t="str">
        <f>Dbase_velden_versie4_2!E386</f>
        <v>Double</v>
      </c>
      <c r="F390" t="str">
        <f>Dbase_velden_versie4_2!F386</f>
        <v>0% - 100%</v>
      </c>
      <c r="G390" t="str">
        <f>Dbase_velden_versie4_2!G386</f>
        <v>TXT SS VERZADIGINGSGRAAD VOOR</v>
      </c>
      <c r="H390" t="str">
        <f>Dbase_velden_versie4_2!H386</f>
        <v>[%]</v>
      </c>
      <c r="I390" t="str">
        <f>Dbase_velden_versie4_2!I386</f>
        <v>TXT_SS</v>
      </c>
      <c r="J390" t="str">
        <f>Dbase_velden_versie4_2!J386</f>
        <v>Triaxiaalproeven single stage (CU SS)</v>
      </c>
      <c r="K390">
        <v>386</v>
      </c>
      <c r="L390" t="str">
        <v>TXT_SS_VERZADIGINGSGRAAD_VOOR</v>
      </c>
      <c r="M390" t="str">
        <v>%</v>
      </c>
      <c r="N390" t="str">
        <v>Resultaat van de bepaling van het verzadigingsgraad voor uitvoering van de proef conform ...</v>
      </c>
      <c r="O390" t="str">
        <v>Double</v>
      </c>
      <c r="P390" t="str">
        <v>0% - 100%</v>
      </c>
      <c r="Q390" t="str">
        <v>TXT SS VERZADIGINGSGRAAD VOOR</v>
      </c>
      <c r="R390" t="str">
        <v>[%]</v>
      </c>
      <c r="S390" t="str">
        <f t="shared" si="89"/>
        <v>OK</v>
      </c>
      <c r="T390" t="str">
        <f t="shared" ref="T390:T453" si="99">IF(B390=L390,"OK","NOK")</f>
        <v>OK</v>
      </c>
      <c r="U390" t="str">
        <f t="shared" ref="U390:U453" si="100">IF(C390=M390,"OK","NOK")</f>
        <v>OK</v>
      </c>
      <c r="V390" t="str">
        <f t="shared" ref="V390:V453" si="101">IF(D390=N390,"OK","NOK")</f>
        <v>OK</v>
      </c>
      <c r="W390" t="str">
        <f t="shared" ref="W390:W453" si="102">IF(E390=O390,"OK","NOK")</f>
        <v>OK</v>
      </c>
      <c r="X390" t="str">
        <f t="shared" ref="X390:X453" si="103">IF(F390=P390,"OK","NOK")</f>
        <v>OK</v>
      </c>
      <c r="Y390" t="str">
        <f t="shared" ref="Y390:Y453" si="104">IF(G390=Q390,"OK","NOK")</f>
        <v>OK</v>
      </c>
      <c r="Z390">
        <v>385</v>
      </c>
      <c r="AA390">
        <v>387</v>
      </c>
      <c r="AB390" t="s">
        <v>2639</v>
      </c>
      <c r="AC390" t="s">
        <v>386</v>
      </c>
      <c r="AD390" t="s">
        <v>468</v>
      </c>
      <c r="AE390" t="s">
        <v>785</v>
      </c>
      <c r="AG390" t="s">
        <v>897</v>
      </c>
      <c r="AH390" t="s">
        <v>911</v>
      </c>
      <c r="AI390" t="s">
        <v>2644</v>
      </c>
      <c r="AJ390" t="s">
        <v>1400</v>
      </c>
      <c r="AK390" t="s">
        <v>2639</v>
      </c>
      <c r="AL390" t="s">
        <v>2640</v>
      </c>
      <c r="AN390" t="str">
        <f t="shared" si="90"/>
        <v>OK</v>
      </c>
      <c r="AO390" t="str">
        <f t="shared" si="91"/>
        <v>OK</v>
      </c>
      <c r="AP390" t="str">
        <f t="shared" si="92"/>
        <v>OK</v>
      </c>
      <c r="AR390" t="str">
        <f t="shared" si="93"/>
        <v>OK</v>
      </c>
      <c r="AS390" t="str">
        <f t="shared" si="94"/>
        <v>OK</v>
      </c>
      <c r="AT390" t="str">
        <f t="shared" si="95"/>
        <v>NOK</v>
      </c>
      <c r="AU390" t="str">
        <f t="shared" si="96"/>
        <v>OK</v>
      </c>
      <c r="AV390" t="str">
        <f t="shared" si="97"/>
        <v>OK</v>
      </c>
      <c r="AW390" t="str">
        <f t="shared" si="98"/>
        <v>OK</v>
      </c>
    </row>
    <row r="391" spans="1:49">
      <c r="A391">
        <f>Dbase_velden_versie4_2!A387</f>
        <v>387</v>
      </c>
      <c r="B391" t="str">
        <f>Dbase_velden_versie4_2!B387</f>
        <v>TXT_SS_PORIENGETAL_VOOR</v>
      </c>
      <c r="C391" t="str">
        <f>Dbase_velden_versie4_2!C387</f>
        <v>-</v>
      </c>
      <c r="D391" t="str">
        <f>Dbase_velden_versie4_2!D387</f>
        <v>Resultaat van de bepaling van het poriengetal voor uitvoering van de proef conform ...</v>
      </c>
      <c r="E391" t="str">
        <f>Dbase_velden_versie4_2!E387</f>
        <v>Double</v>
      </c>
      <c r="F391" t="str">
        <f>Dbase_velden_versie4_2!F387</f>
        <v>0 - 10</v>
      </c>
      <c r="G391" t="str">
        <f>Dbase_velden_versie4_2!G387</f>
        <v>TXT SS PORIENGETAL VOOR</v>
      </c>
      <c r="H391" t="str">
        <f>Dbase_velden_versie4_2!H387</f>
        <v>[-]</v>
      </c>
      <c r="I391" t="str">
        <f>Dbase_velden_versie4_2!I387</f>
        <v>TXT_SS</v>
      </c>
      <c r="J391" t="str">
        <f>Dbase_velden_versie4_2!J387</f>
        <v>Triaxiaalproeven single stage (CU SS)</v>
      </c>
      <c r="K391">
        <v>387</v>
      </c>
      <c r="L391" t="str">
        <v>TXT_SS_PORIENGETAL_VOOR</v>
      </c>
      <c r="M391" t="str">
        <v>-</v>
      </c>
      <c r="N391" t="str">
        <v>Resultaat van de bepaling van het poriengetal voor uitvoering van de proef conform ...</v>
      </c>
      <c r="O391" t="str">
        <v>Double</v>
      </c>
      <c r="P391" t="str">
        <v>0 - 10</v>
      </c>
      <c r="Q391" t="str">
        <v>TXT SS PORIENGETAL VOOR</v>
      </c>
      <c r="R391" t="str">
        <v>[-]</v>
      </c>
      <c r="S391" t="str">
        <f t="shared" ref="S391:S454" si="105">IF(A391=K391,"OK","NOK")</f>
        <v>OK</v>
      </c>
      <c r="T391" t="str">
        <f t="shared" si="99"/>
        <v>OK</v>
      </c>
      <c r="U391" t="str">
        <f t="shared" si="100"/>
        <v>OK</v>
      </c>
      <c r="V391" t="str">
        <f t="shared" si="101"/>
        <v>OK</v>
      </c>
      <c r="W391" t="str">
        <f t="shared" si="102"/>
        <v>OK</v>
      </c>
      <c r="X391" t="str">
        <f t="shared" si="103"/>
        <v>OK</v>
      </c>
      <c r="Y391" t="str">
        <f t="shared" si="104"/>
        <v>OK</v>
      </c>
      <c r="Z391">
        <v>386</v>
      </c>
      <c r="AA391">
        <v>388</v>
      </c>
      <c r="AB391" t="s">
        <v>2639</v>
      </c>
      <c r="AC391" t="s">
        <v>387</v>
      </c>
      <c r="AD391" t="s">
        <v>463</v>
      </c>
      <c r="AE391" t="s">
        <v>786</v>
      </c>
      <c r="AG391" t="s">
        <v>897</v>
      </c>
      <c r="AH391" t="s">
        <v>912</v>
      </c>
      <c r="AI391" t="s">
        <v>2607</v>
      </c>
      <c r="AJ391" t="s">
        <v>1395</v>
      </c>
      <c r="AK391" t="s">
        <v>2639</v>
      </c>
      <c r="AL391" t="s">
        <v>2640</v>
      </c>
      <c r="AN391" t="str">
        <f t="shared" ref="AN391:AN454" si="106">IF(B391=AC391,"OK","NOK")</f>
        <v>OK</v>
      </c>
      <c r="AO391" t="str">
        <f t="shared" ref="AO391:AO454" si="107">IF(C391=AD391,"OK","NOK")</f>
        <v>OK</v>
      </c>
      <c r="AP391" t="str">
        <f t="shared" ref="AP391:AP454" si="108">IF(D391=AE391,"OK","NOK")</f>
        <v>OK</v>
      </c>
      <c r="AR391" t="str">
        <f t="shared" ref="AR391:AR454" si="109">IF(E391=AG391,"OK","NOK")</f>
        <v>OK</v>
      </c>
      <c r="AS391" t="str">
        <f t="shared" ref="AS391:AS454" si="110">IF(F391=AH391,"OK","NOK")</f>
        <v>OK</v>
      </c>
      <c r="AT391" t="str">
        <f t="shared" ref="AT391:AT454" si="111">IF(G391=AI391,"OK","NOK")</f>
        <v>NOK</v>
      </c>
      <c r="AU391" t="str">
        <f t="shared" ref="AU391:AU454" si="112">IF(H391=AJ391,"OK","NOK")</f>
        <v>OK</v>
      </c>
      <c r="AV391" t="str">
        <f t="shared" ref="AV391:AV454" si="113">IF(I391=AK391,"OK","NOK")</f>
        <v>OK</v>
      </c>
      <c r="AW391" t="str">
        <f t="shared" ref="AW391:AW454" si="114">IF(J391=AL391,"OK","NOK")</f>
        <v>OK</v>
      </c>
    </row>
    <row r="392" spans="1:49">
      <c r="A392">
        <f>Dbase_velden_versie4_2!A388</f>
        <v>388</v>
      </c>
      <c r="B392" t="str">
        <f>Dbase_velden_versie4_2!B388</f>
        <v>TXT_SS_SPECIFIEKE_MASSA</v>
      </c>
      <c r="C392" t="str">
        <f>Dbase_velden_versie4_2!C388</f>
        <v>kg/m3</v>
      </c>
      <c r="D392" t="str">
        <f>Dbase_velden_versie4_2!D388</f>
        <v>Resultaat van de bepaling van het specifieke massa voor uitvoering van de proef conform ...</v>
      </c>
      <c r="E392" t="str">
        <f>Dbase_velden_versie4_2!E388</f>
        <v>Double</v>
      </c>
      <c r="F392" t="str">
        <f>Dbase_velden_versie4_2!F388</f>
        <v>0 - 5000</v>
      </c>
      <c r="G392" t="str">
        <f>Dbase_velden_versie4_2!G388</f>
        <v>TXT SS SPECIFIEKE MASSA</v>
      </c>
      <c r="H392" t="str">
        <f>Dbase_velden_versie4_2!H388</f>
        <v>[kg/m3]</v>
      </c>
      <c r="I392" t="str">
        <f>Dbase_velden_versie4_2!I388</f>
        <v>TXT_SS</v>
      </c>
      <c r="J392" t="str">
        <f>Dbase_velden_versie4_2!J388</f>
        <v>Triaxiaalproeven single stage (CU SS)</v>
      </c>
      <c r="K392">
        <v>388</v>
      </c>
      <c r="L392" t="str">
        <v>TXT_SS_SPECIFIEKE_MASSA</v>
      </c>
      <c r="M392" t="str">
        <v>kg/m3</v>
      </c>
      <c r="N392" t="str">
        <v>Resultaat van de bepaling van het specifieke massa voor uitvoering van de proef conform ...</v>
      </c>
      <c r="O392" t="str">
        <v>Double</v>
      </c>
      <c r="P392" t="str">
        <v>0 - 5000</v>
      </c>
      <c r="Q392" t="str">
        <v>TXT SS SPECIFIEKE MASSA</v>
      </c>
      <c r="R392" t="str">
        <v>[kg/m3]</v>
      </c>
      <c r="S392" t="str">
        <f t="shared" si="105"/>
        <v>OK</v>
      </c>
      <c r="T392" t="str">
        <f t="shared" si="99"/>
        <v>OK</v>
      </c>
      <c r="U392" t="str">
        <f t="shared" si="100"/>
        <v>OK</v>
      </c>
      <c r="V392" t="str">
        <f t="shared" si="101"/>
        <v>OK</v>
      </c>
      <c r="W392" t="str">
        <f t="shared" si="102"/>
        <v>OK</v>
      </c>
      <c r="X392" t="str">
        <f t="shared" si="103"/>
        <v>OK</v>
      </c>
      <c r="Y392" t="str">
        <f t="shared" si="104"/>
        <v>OK</v>
      </c>
      <c r="Z392">
        <v>387</v>
      </c>
      <c r="AA392">
        <v>389</v>
      </c>
      <c r="AB392" t="s">
        <v>2639</v>
      </c>
      <c r="AC392" t="s">
        <v>388</v>
      </c>
      <c r="AD392" t="s">
        <v>469</v>
      </c>
      <c r="AE392" t="s">
        <v>788</v>
      </c>
      <c r="AG392" t="s">
        <v>897</v>
      </c>
      <c r="AH392" t="s">
        <v>925</v>
      </c>
      <c r="AI392" t="s">
        <v>2368</v>
      </c>
      <c r="AJ392" t="s">
        <v>1401</v>
      </c>
      <c r="AK392" t="s">
        <v>2639</v>
      </c>
      <c r="AL392" t="s">
        <v>2640</v>
      </c>
      <c r="AN392" t="str">
        <f t="shared" si="106"/>
        <v>OK</v>
      </c>
      <c r="AO392" t="str">
        <f t="shared" si="107"/>
        <v>OK</v>
      </c>
      <c r="AP392" t="str">
        <f t="shared" si="108"/>
        <v>OK</v>
      </c>
      <c r="AR392" t="str">
        <f t="shared" si="109"/>
        <v>OK</v>
      </c>
      <c r="AS392" t="str">
        <f t="shared" si="110"/>
        <v>OK</v>
      </c>
      <c r="AT392" t="str">
        <f t="shared" si="111"/>
        <v>NOK</v>
      </c>
      <c r="AU392" t="str">
        <f t="shared" si="112"/>
        <v>OK</v>
      </c>
      <c r="AV392" t="str">
        <f t="shared" si="113"/>
        <v>OK</v>
      </c>
      <c r="AW392" t="str">
        <f t="shared" si="114"/>
        <v>OK</v>
      </c>
    </row>
    <row r="393" spans="1:49">
      <c r="A393">
        <f>Dbase_velden_versie4_2!A389</f>
        <v>389</v>
      </c>
      <c r="B393" t="str">
        <f>Dbase_velden_versie4_2!B389</f>
        <v>TXT_SS_TEMPERATUUR_PROEF_MAX</v>
      </c>
      <c r="C393" t="str">
        <f>Dbase_velden_versie4_2!C389</f>
        <v>°C</v>
      </c>
      <c r="D393" t="str">
        <f>Dbase_velden_versie4_2!D389</f>
        <v>Maximum temperatuur in het laboratorium gedurende de uitvoering van de proef</v>
      </c>
      <c r="E393" t="str">
        <f>Dbase_velden_versie4_2!E389</f>
        <v>Double</v>
      </c>
      <c r="F393" t="str">
        <f>Dbase_velden_versie4_2!F389</f>
        <v>0 / 50</v>
      </c>
      <c r="G393" t="str">
        <f>Dbase_velden_versie4_2!G389</f>
        <v>TXT SS TEMPERATUUR PROEF MAX</v>
      </c>
      <c r="H393" t="str">
        <f>Dbase_velden_versie4_2!H389</f>
        <v>[°C]</v>
      </c>
      <c r="I393" t="str">
        <f>Dbase_velden_versie4_2!I389</f>
        <v>TXT_SS</v>
      </c>
      <c r="J393" t="str">
        <f>Dbase_velden_versie4_2!J389</f>
        <v>Triaxiaalproeven single stage (CU SS)</v>
      </c>
      <c r="K393">
        <v>389</v>
      </c>
      <c r="L393" t="str">
        <v>TXT_SS_TEMPERATUUR_PROEF_MAX</v>
      </c>
      <c r="M393" t="str">
        <v>°C</v>
      </c>
      <c r="N393" t="str">
        <v>Maximum temperatuur in het laboratorium gedurende de uitvoering van de proef</v>
      </c>
      <c r="O393" t="str">
        <v>Double</v>
      </c>
      <c r="P393" t="str">
        <v>0 / 50</v>
      </c>
      <c r="Q393" t="str">
        <v>TXT SS TEMPERATUUR PROEF MAX</v>
      </c>
      <c r="R393" t="str">
        <v>[°C]</v>
      </c>
      <c r="S393" t="str">
        <f t="shared" si="105"/>
        <v>OK</v>
      </c>
      <c r="T393" t="str">
        <f t="shared" si="99"/>
        <v>OK</v>
      </c>
      <c r="U393" t="str">
        <f t="shared" si="100"/>
        <v>OK</v>
      </c>
      <c r="V393" t="str">
        <f t="shared" si="101"/>
        <v>OK</v>
      </c>
      <c r="W393" t="str">
        <f t="shared" si="102"/>
        <v>OK</v>
      </c>
      <c r="X393" t="str">
        <f t="shared" si="103"/>
        <v>OK</v>
      </c>
      <c r="Y393" t="str">
        <f t="shared" si="104"/>
        <v>OK</v>
      </c>
      <c r="Z393">
        <v>388</v>
      </c>
      <c r="AA393">
        <v>390</v>
      </c>
      <c r="AB393" t="s">
        <v>2639</v>
      </c>
      <c r="AC393" t="s">
        <v>389</v>
      </c>
      <c r="AD393" t="s">
        <v>474</v>
      </c>
      <c r="AE393" t="s">
        <v>624</v>
      </c>
      <c r="AG393" t="s">
        <v>897</v>
      </c>
      <c r="AH393" t="s">
        <v>929</v>
      </c>
      <c r="AI393" t="s">
        <v>2442</v>
      </c>
      <c r="AJ393" t="s">
        <v>1406</v>
      </c>
      <c r="AK393" t="s">
        <v>2639</v>
      </c>
      <c r="AL393" t="s">
        <v>2640</v>
      </c>
      <c r="AN393" t="str">
        <f t="shared" si="106"/>
        <v>OK</v>
      </c>
      <c r="AO393" t="str">
        <f t="shared" si="107"/>
        <v>OK</v>
      </c>
      <c r="AP393" t="str">
        <f t="shared" si="108"/>
        <v>OK</v>
      </c>
      <c r="AR393" t="str">
        <f t="shared" si="109"/>
        <v>OK</v>
      </c>
      <c r="AS393" t="str">
        <f t="shared" si="110"/>
        <v>OK</v>
      </c>
      <c r="AT393" t="str">
        <f t="shared" si="111"/>
        <v>NOK</v>
      </c>
      <c r="AU393" t="str">
        <f t="shared" si="112"/>
        <v>OK</v>
      </c>
      <c r="AV393" t="str">
        <f t="shared" si="113"/>
        <v>OK</v>
      </c>
      <c r="AW393" t="str">
        <f t="shared" si="114"/>
        <v>OK</v>
      </c>
    </row>
    <row r="394" spans="1:49">
      <c r="A394">
        <f>Dbase_velden_versie4_2!A390</f>
        <v>390</v>
      </c>
      <c r="B394" t="str">
        <f>Dbase_velden_versie4_2!B390</f>
        <v>TXT_SS_TEMPERATUUR_PROEF_MIN</v>
      </c>
      <c r="C394" t="str">
        <f>Dbase_velden_versie4_2!C390</f>
        <v>°C</v>
      </c>
      <c r="D394" t="str">
        <f>Dbase_velden_versie4_2!D390</f>
        <v>Minimum temperatuur in het laboratorium gedurende de uitvoering van de proef</v>
      </c>
      <c r="E394" t="str">
        <f>Dbase_velden_versie4_2!E390</f>
        <v>Double</v>
      </c>
      <c r="F394" t="str">
        <f>Dbase_velden_versie4_2!F390</f>
        <v>0 / 50</v>
      </c>
      <c r="G394" t="str">
        <f>Dbase_velden_versie4_2!G390</f>
        <v>TXT SS TEMPERATUUR PROEF MIN</v>
      </c>
      <c r="H394" t="str">
        <f>Dbase_velden_versie4_2!H390</f>
        <v>[°C]</v>
      </c>
      <c r="I394" t="str">
        <f>Dbase_velden_versie4_2!I390</f>
        <v>TXT_SS</v>
      </c>
      <c r="J394" t="str">
        <f>Dbase_velden_versie4_2!J390</f>
        <v>Triaxiaalproeven single stage (CU SS)</v>
      </c>
      <c r="K394">
        <v>390</v>
      </c>
      <c r="L394" t="str">
        <v>TXT_SS_TEMPERATUUR_PROEF_MIN</v>
      </c>
      <c r="M394" t="str">
        <v>°C</v>
      </c>
      <c r="N394" t="str">
        <v>Minimum temperatuur in het laboratorium gedurende de uitvoering van de proef</v>
      </c>
      <c r="O394" t="str">
        <v>Double</v>
      </c>
      <c r="P394" t="str">
        <v>0 / 50</v>
      </c>
      <c r="Q394" t="str">
        <v>TXT SS TEMPERATUUR PROEF MIN</v>
      </c>
      <c r="R394" t="str">
        <v>[°C]</v>
      </c>
      <c r="S394" t="str">
        <f t="shared" si="105"/>
        <v>OK</v>
      </c>
      <c r="T394" t="str">
        <f t="shared" si="99"/>
        <v>OK</v>
      </c>
      <c r="U394" t="str">
        <f t="shared" si="100"/>
        <v>OK</v>
      </c>
      <c r="V394" t="str">
        <f t="shared" si="101"/>
        <v>OK</v>
      </c>
      <c r="W394" t="str">
        <f t="shared" si="102"/>
        <v>OK</v>
      </c>
      <c r="X394" t="str">
        <f t="shared" si="103"/>
        <v>OK</v>
      </c>
      <c r="Y394" t="str">
        <f t="shared" si="104"/>
        <v>OK</v>
      </c>
      <c r="Z394">
        <v>389</v>
      </c>
      <c r="AA394">
        <v>391</v>
      </c>
      <c r="AB394" t="s">
        <v>2639</v>
      </c>
      <c r="AC394" t="s">
        <v>390</v>
      </c>
      <c r="AD394" t="s">
        <v>474</v>
      </c>
      <c r="AE394" t="s">
        <v>625</v>
      </c>
      <c r="AG394" t="s">
        <v>897</v>
      </c>
      <c r="AH394" t="s">
        <v>929</v>
      </c>
      <c r="AI394" t="s">
        <v>2443</v>
      </c>
      <c r="AJ394" t="s">
        <v>1406</v>
      </c>
      <c r="AK394" t="s">
        <v>2639</v>
      </c>
      <c r="AL394" t="s">
        <v>2640</v>
      </c>
      <c r="AN394" t="str">
        <f t="shared" si="106"/>
        <v>OK</v>
      </c>
      <c r="AO394" t="str">
        <f t="shared" si="107"/>
        <v>OK</v>
      </c>
      <c r="AP394" t="str">
        <f t="shared" si="108"/>
        <v>OK</v>
      </c>
      <c r="AR394" t="str">
        <f t="shared" si="109"/>
        <v>OK</v>
      </c>
      <c r="AS394" t="str">
        <f t="shared" si="110"/>
        <v>OK</v>
      </c>
      <c r="AT394" t="str">
        <f t="shared" si="111"/>
        <v>NOK</v>
      </c>
      <c r="AU394" t="str">
        <f t="shared" si="112"/>
        <v>OK</v>
      </c>
      <c r="AV394" t="str">
        <f t="shared" si="113"/>
        <v>OK</v>
      </c>
      <c r="AW394" t="str">
        <f t="shared" si="114"/>
        <v>OK</v>
      </c>
    </row>
    <row r="395" spans="1:49">
      <c r="A395">
        <f>Dbase_velden_versie4_2!A391</f>
        <v>391</v>
      </c>
      <c r="B395" t="str">
        <f>Dbase_velden_versie4_2!B391</f>
        <v>TXT_SS_PROEFSTUKDIAMETER_VOOR</v>
      </c>
      <c r="C395" t="str">
        <f>Dbase_velden_versie4_2!C391</f>
        <v>mm</v>
      </c>
      <c r="D395" t="str">
        <f>Dbase_velden_versie4_2!D391</f>
        <v>Diameter van het proefstuk dat in het triaxiaal-apparaat is beproefd voor beproeving</v>
      </c>
      <c r="E395" t="str">
        <f>Dbase_velden_versie4_2!E391</f>
        <v>Double</v>
      </c>
      <c r="F395" t="str">
        <f>Dbase_velden_versie4_2!F391</f>
        <v>0 - 1000</v>
      </c>
      <c r="G395" t="str">
        <f>Dbase_velden_versie4_2!G391</f>
        <v>TXT SS PROEFSTUKDIAMETER VOOR</v>
      </c>
      <c r="H395" t="str">
        <f>Dbase_velden_versie4_2!H391</f>
        <v>[mm]</v>
      </c>
      <c r="I395" t="str">
        <f>Dbase_velden_versie4_2!I391</f>
        <v>TXT_SS</v>
      </c>
      <c r="J395" t="str">
        <f>Dbase_velden_versie4_2!J391</f>
        <v>Triaxiaalproeven single stage (CU SS)</v>
      </c>
      <c r="K395">
        <v>391</v>
      </c>
      <c r="L395" t="str">
        <v>TXT_SS_PROEFSTUKDIAMETER_VOOR</v>
      </c>
      <c r="M395" t="str">
        <v>mm</v>
      </c>
      <c r="N395" t="str">
        <v>Diameter van het proefstuk dat in het triaxiaal-apparaat is beproefd voor beproeving</v>
      </c>
      <c r="O395" t="str">
        <v>Double</v>
      </c>
      <c r="P395" t="str">
        <v>0 - 1000</v>
      </c>
      <c r="Q395" t="str">
        <v>TXT SS PROEFSTUKDIAMETER VOOR</v>
      </c>
      <c r="R395" t="str">
        <v>[mm]</v>
      </c>
      <c r="S395" t="str">
        <f t="shared" si="105"/>
        <v>OK</v>
      </c>
      <c r="T395" t="str">
        <f t="shared" si="99"/>
        <v>OK</v>
      </c>
      <c r="U395" t="str">
        <f t="shared" si="100"/>
        <v>OK</v>
      </c>
      <c r="V395" t="str">
        <f t="shared" si="101"/>
        <v>OK</v>
      </c>
      <c r="W395" t="str">
        <f t="shared" si="102"/>
        <v>OK</v>
      </c>
      <c r="X395" t="str">
        <f t="shared" si="103"/>
        <v>OK</v>
      </c>
      <c r="Y395" t="str">
        <f t="shared" si="104"/>
        <v>OK</v>
      </c>
      <c r="Z395">
        <v>390</v>
      </c>
      <c r="AA395">
        <v>392</v>
      </c>
      <c r="AB395" t="s">
        <v>2639</v>
      </c>
      <c r="AC395" t="s">
        <v>391</v>
      </c>
      <c r="AD395" t="s">
        <v>475</v>
      </c>
      <c r="AE395" t="s">
        <v>826</v>
      </c>
      <c r="AG395" t="s">
        <v>897</v>
      </c>
      <c r="AH395" t="s">
        <v>915</v>
      </c>
      <c r="AI395" t="s">
        <v>2609</v>
      </c>
      <c r="AJ395" t="s">
        <v>1407</v>
      </c>
      <c r="AK395" t="s">
        <v>2639</v>
      </c>
      <c r="AL395" t="s">
        <v>2640</v>
      </c>
      <c r="AN395" t="str">
        <f t="shared" si="106"/>
        <v>OK</v>
      </c>
      <c r="AO395" t="str">
        <f t="shared" si="107"/>
        <v>OK</v>
      </c>
      <c r="AP395" t="str">
        <f t="shared" si="108"/>
        <v>OK</v>
      </c>
      <c r="AR395" t="str">
        <f t="shared" si="109"/>
        <v>OK</v>
      </c>
      <c r="AS395" t="str">
        <f t="shared" si="110"/>
        <v>OK</v>
      </c>
      <c r="AT395" t="str">
        <f t="shared" si="111"/>
        <v>NOK</v>
      </c>
      <c r="AU395" t="str">
        <f t="shared" si="112"/>
        <v>OK</v>
      </c>
      <c r="AV395" t="str">
        <f t="shared" si="113"/>
        <v>OK</v>
      </c>
      <c r="AW395" t="str">
        <f t="shared" si="114"/>
        <v>OK</v>
      </c>
    </row>
    <row r="396" spans="1:49">
      <c r="A396">
        <f>Dbase_velden_versie4_2!A392</f>
        <v>392</v>
      </c>
      <c r="B396" t="str">
        <f>Dbase_velden_versie4_2!B392</f>
        <v>TXT_SS_PROEFSTUKHOOGTE_VOOR</v>
      </c>
      <c r="C396" t="str">
        <f>Dbase_velden_versie4_2!C392</f>
        <v>mm</v>
      </c>
      <c r="D396" t="str">
        <f>Dbase_velden_versie4_2!D392</f>
        <v>Hoogte van het proefstuk dat in het triaxiaal-apparaat is beproefd voor beproeving</v>
      </c>
      <c r="E396" t="str">
        <f>Dbase_velden_versie4_2!E392</f>
        <v>Double</v>
      </c>
      <c r="F396" t="str">
        <f>Dbase_velden_versie4_2!F392</f>
        <v>0 - 1000</v>
      </c>
      <c r="G396" t="str">
        <f>Dbase_velden_versie4_2!G392</f>
        <v>TXT SS PROEFSTUKHOOGTE VOOR</v>
      </c>
      <c r="H396" t="str">
        <f>Dbase_velden_versie4_2!H392</f>
        <v>[mm]</v>
      </c>
      <c r="I396" t="str">
        <f>Dbase_velden_versie4_2!I392</f>
        <v>TXT_SS</v>
      </c>
      <c r="J396" t="str">
        <f>Dbase_velden_versie4_2!J392</f>
        <v>Triaxiaalproeven single stage (CU SS)</v>
      </c>
      <c r="K396">
        <v>392</v>
      </c>
      <c r="L396" t="str">
        <v>TXT_SS_PROEFSTUKHOOGTE_VOOR</v>
      </c>
      <c r="M396" t="str">
        <v>mm</v>
      </c>
      <c r="N396" t="str">
        <v>Hoogte van het proefstuk dat in het triaxiaal-apparaat is beproefd voor beproeving</v>
      </c>
      <c r="O396" t="str">
        <v>Double</v>
      </c>
      <c r="P396" t="str">
        <v>0 - 1000</v>
      </c>
      <c r="Q396" t="str">
        <v>TXT SS PROEFSTUKHOOGTE VOOR</v>
      </c>
      <c r="R396" t="str">
        <v>[mm]</v>
      </c>
      <c r="S396" t="str">
        <f t="shared" si="105"/>
        <v>OK</v>
      </c>
      <c r="T396" t="str">
        <f t="shared" si="99"/>
        <v>OK</v>
      </c>
      <c r="U396" t="str">
        <f t="shared" si="100"/>
        <v>OK</v>
      </c>
      <c r="V396" t="str">
        <f t="shared" si="101"/>
        <v>OK</v>
      </c>
      <c r="W396" t="str">
        <f t="shared" si="102"/>
        <v>OK</v>
      </c>
      <c r="X396" t="str">
        <f t="shared" si="103"/>
        <v>OK</v>
      </c>
      <c r="Y396" t="str">
        <f t="shared" si="104"/>
        <v>OK</v>
      </c>
      <c r="Z396">
        <v>391</v>
      </c>
      <c r="AA396">
        <v>393</v>
      </c>
      <c r="AB396" t="s">
        <v>2639</v>
      </c>
      <c r="AC396" t="s">
        <v>392</v>
      </c>
      <c r="AD396" t="s">
        <v>475</v>
      </c>
      <c r="AE396" t="s">
        <v>827</v>
      </c>
      <c r="AG396" t="s">
        <v>897</v>
      </c>
      <c r="AH396" t="s">
        <v>915</v>
      </c>
      <c r="AI396" t="s">
        <v>2610</v>
      </c>
      <c r="AJ396" t="s">
        <v>1407</v>
      </c>
      <c r="AK396" t="s">
        <v>2639</v>
      </c>
      <c r="AL396" t="s">
        <v>2640</v>
      </c>
      <c r="AN396" t="str">
        <f t="shared" si="106"/>
        <v>OK</v>
      </c>
      <c r="AO396" t="str">
        <f t="shared" si="107"/>
        <v>OK</v>
      </c>
      <c r="AP396" t="str">
        <f t="shared" si="108"/>
        <v>OK</v>
      </c>
      <c r="AR396" t="str">
        <f t="shared" si="109"/>
        <v>OK</v>
      </c>
      <c r="AS396" t="str">
        <f t="shared" si="110"/>
        <v>OK</v>
      </c>
      <c r="AT396" t="str">
        <f t="shared" si="111"/>
        <v>NOK</v>
      </c>
      <c r="AU396" t="str">
        <f t="shared" si="112"/>
        <v>OK</v>
      </c>
      <c r="AV396" t="str">
        <f t="shared" si="113"/>
        <v>OK</v>
      </c>
      <c r="AW396" t="str">
        <f t="shared" si="114"/>
        <v>OK</v>
      </c>
    </row>
    <row r="397" spans="1:49">
      <c r="A397">
        <f>Dbase_velden_versie4_2!A393</f>
        <v>393</v>
      </c>
      <c r="B397" t="str">
        <f>Dbase_velden_versie4_2!B393</f>
        <v>TXT_SS_TYPE_PROEF</v>
      </c>
      <c r="C397" t="str">
        <f>Dbase_velden_versie4_2!C393</f>
        <v>-</v>
      </c>
      <c r="D397" t="str">
        <f>Dbase_velden_versie4_2!D393</f>
        <v>Type triaxiaalproef [gedraineerd, ongedraineerd, geconsolideerd, niet geconsolideerd]</v>
      </c>
      <c r="E397" t="str">
        <f>Dbase_velden_versie4_2!E393</f>
        <v>String</v>
      </c>
      <c r="F397">
        <f>Dbase_velden_versie4_2!F393</f>
        <v>0</v>
      </c>
      <c r="G397" t="str">
        <f>Dbase_velden_versie4_2!G393</f>
        <v>TXT SS TYPE PROEF</v>
      </c>
      <c r="H397" t="str">
        <f>Dbase_velden_versie4_2!H393</f>
        <v>[-]</v>
      </c>
      <c r="I397" t="str">
        <f>Dbase_velden_versie4_2!I393</f>
        <v>TXT_SS</v>
      </c>
      <c r="J397" t="str">
        <f>Dbase_velden_versie4_2!J393</f>
        <v>Triaxiaalproeven single stage (CU SS)</v>
      </c>
      <c r="K397">
        <v>393</v>
      </c>
      <c r="L397" t="str">
        <v>TXT_SS_TYPE_PROEF</v>
      </c>
      <c r="M397" t="str">
        <v>-</v>
      </c>
      <c r="N397" t="str">
        <v>Type triaxiaalproef [gedraineerd, ongedraineerd, geconsolideerd, niet geconsolideerd]</v>
      </c>
      <c r="O397" t="str">
        <v>String</v>
      </c>
      <c r="P397">
        <v>0</v>
      </c>
      <c r="Q397" t="str">
        <v>TXT SS TYPE PROEF</v>
      </c>
      <c r="R397" t="str">
        <v>[-]</v>
      </c>
      <c r="S397" t="str">
        <f t="shared" si="105"/>
        <v>OK</v>
      </c>
      <c r="T397" t="str">
        <f t="shared" si="99"/>
        <v>OK</v>
      </c>
      <c r="U397" t="str">
        <f t="shared" si="100"/>
        <v>OK</v>
      </c>
      <c r="V397" t="str">
        <f t="shared" si="101"/>
        <v>OK</v>
      </c>
      <c r="W397" t="str">
        <f t="shared" si="102"/>
        <v>OK</v>
      </c>
      <c r="X397" t="str">
        <f t="shared" si="103"/>
        <v>OK</v>
      </c>
      <c r="Y397" t="str">
        <f t="shared" si="104"/>
        <v>OK</v>
      </c>
      <c r="Z397">
        <v>392</v>
      </c>
      <c r="AA397">
        <v>394</v>
      </c>
      <c r="AB397" t="s">
        <v>2639</v>
      </c>
      <c r="AC397" t="s">
        <v>393</v>
      </c>
      <c r="AD397" t="s">
        <v>463</v>
      </c>
      <c r="AE397" t="s">
        <v>828</v>
      </c>
      <c r="AG397" t="s">
        <v>896</v>
      </c>
      <c r="AI397" t="s">
        <v>2645</v>
      </c>
      <c r="AJ397" t="s">
        <v>1395</v>
      </c>
      <c r="AK397" t="s">
        <v>2639</v>
      </c>
      <c r="AL397" t="s">
        <v>2640</v>
      </c>
      <c r="AN397" t="str">
        <f t="shared" si="106"/>
        <v>OK</v>
      </c>
      <c r="AO397" t="str">
        <f t="shared" si="107"/>
        <v>OK</v>
      </c>
      <c r="AP397" t="str">
        <f t="shared" si="108"/>
        <v>OK</v>
      </c>
      <c r="AR397" t="str">
        <f t="shared" si="109"/>
        <v>OK</v>
      </c>
      <c r="AS397" t="str">
        <f t="shared" si="110"/>
        <v>OK</v>
      </c>
      <c r="AT397" t="str">
        <f t="shared" si="111"/>
        <v>NOK</v>
      </c>
      <c r="AU397" t="str">
        <f t="shared" si="112"/>
        <v>OK</v>
      </c>
      <c r="AV397" t="str">
        <f t="shared" si="113"/>
        <v>OK</v>
      </c>
      <c r="AW397" t="str">
        <f t="shared" si="114"/>
        <v>OK</v>
      </c>
    </row>
    <row r="398" spans="1:49">
      <c r="A398">
        <f>Dbase_velden_versie4_2!A394</f>
        <v>394</v>
      </c>
      <c r="B398" t="str">
        <f>Dbase_velden_versie4_2!B394</f>
        <v>TXT_SS_MEMBRAANCORRECTIE</v>
      </c>
      <c r="C398" t="str">
        <f>Dbase_velden_versie4_2!C394</f>
        <v>-</v>
      </c>
      <c r="D398" t="str">
        <f>Dbase_velden_versie4_2!D394</f>
        <v>Manier/methode waarop membraam correctie is toegepast</v>
      </c>
      <c r="E398" t="str">
        <f>Dbase_velden_versie4_2!E394</f>
        <v>String</v>
      </c>
      <c r="F398">
        <f>Dbase_velden_versie4_2!F394</f>
        <v>0</v>
      </c>
      <c r="G398" t="str">
        <f>Dbase_velden_versie4_2!G394</f>
        <v>TXT SS MEMBRAANCORRECTIE</v>
      </c>
      <c r="H398" t="str">
        <f>Dbase_velden_versie4_2!H394</f>
        <v>[-]</v>
      </c>
      <c r="I398" t="str">
        <f>Dbase_velden_versie4_2!I394</f>
        <v>TXT_SS</v>
      </c>
      <c r="J398" t="str">
        <f>Dbase_velden_versie4_2!J394</f>
        <v>Triaxiaalproeven single stage (CU SS)</v>
      </c>
      <c r="K398">
        <v>394</v>
      </c>
      <c r="L398" t="str">
        <v>TXT_SS_MEMBRAANCORRECTIE</v>
      </c>
      <c r="M398" t="str">
        <v>-</v>
      </c>
      <c r="N398" t="str">
        <v>Manier/methode waarop membraam correctie is toegepast</v>
      </c>
      <c r="O398" t="str">
        <v>String</v>
      </c>
      <c r="P398">
        <v>0</v>
      </c>
      <c r="Q398" t="str">
        <v>TXT SS MEMBRAANCORRECTIE</v>
      </c>
      <c r="R398" t="str">
        <v>[-]</v>
      </c>
      <c r="S398" t="str">
        <f t="shared" si="105"/>
        <v>OK</v>
      </c>
      <c r="T398" t="str">
        <f t="shared" si="99"/>
        <v>OK</v>
      </c>
      <c r="U398" t="str">
        <f t="shared" si="100"/>
        <v>OK</v>
      </c>
      <c r="V398" t="str">
        <f t="shared" si="101"/>
        <v>OK</v>
      </c>
      <c r="W398" t="str">
        <f t="shared" si="102"/>
        <v>OK</v>
      </c>
      <c r="X398" t="str">
        <f t="shared" si="103"/>
        <v>OK</v>
      </c>
      <c r="Y398" t="str">
        <f t="shared" si="104"/>
        <v>OK</v>
      </c>
      <c r="Z398">
        <v>393</v>
      </c>
      <c r="AA398">
        <v>395</v>
      </c>
      <c r="AB398" t="s">
        <v>2639</v>
      </c>
      <c r="AC398" t="s">
        <v>394</v>
      </c>
      <c r="AD398" t="s">
        <v>463</v>
      </c>
      <c r="AE398" t="s">
        <v>829</v>
      </c>
      <c r="AG398" t="s">
        <v>896</v>
      </c>
      <c r="AI398" t="s">
        <v>2646</v>
      </c>
      <c r="AJ398" t="s">
        <v>1395</v>
      </c>
      <c r="AK398" t="s">
        <v>2639</v>
      </c>
      <c r="AL398" t="s">
        <v>2640</v>
      </c>
      <c r="AN398" t="str">
        <f t="shared" si="106"/>
        <v>OK</v>
      </c>
      <c r="AO398" t="str">
        <f t="shared" si="107"/>
        <v>OK</v>
      </c>
      <c r="AP398" t="str">
        <f t="shared" si="108"/>
        <v>OK</v>
      </c>
      <c r="AR398" t="str">
        <f t="shared" si="109"/>
        <v>OK</v>
      </c>
      <c r="AS398" t="str">
        <f t="shared" si="110"/>
        <v>OK</v>
      </c>
      <c r="AT398" t="str">
        <f t="shared" si="111"/>
        <v>NOK</v>
      </c>
      <c r="AU398" t="str">
        <f t="shared" si="112"/>
        <v>OK</v>
      </c>
      <c r="AV398" t="str">
        <f t="shared" si="113"/>
        <v>OK</v>
      </c>
      <c r="AW398" t="str">
        <f t="shared" si="114"/>
        <v>OK</v>
      </c>
    </row>
    <row r="399" spans="1:49">
      <c r="A399">
        <f>Dbase_velden_versie4_2!A395</f>
        <v>395</v>
      </c>
      <c r="B399" t="str">
        <f>Dbase_velden_versie4_2!B395</f>
        <v>TXT_SS_OVERIGECORRECTIES</v>
      </c>
      <c r="C399" t="str">
        <f>Dbase_velden_versie4_2!C395</f>
        <v>-</v>
      </c>
      <c r="D399" t="str">
        <f>Dbase_velden_versie4_2!D395</f>
        <v>Beschrijving vna de aangehouden overige correcties</v>
      </c>
      <c r="E399" t="str">
        <f>Dbase_velden_versie4_2!E395</f>
        <v>String</v>
      </c>
      <c r="F399">
        <f>Dbase_velden_versie4_2!F395</f>
        <v>0</v>
      </c>
      <c r="G399" t="str">
        <f>Dbase_velden_versie4_2!G395</f>
        <v>TXT SS OVERIGECORRECTIES</v>
      </c>
      <c r="H399" t="str">
        <f>Dbase_velden_versie4_2!H395</f>
        <v>[-]</v>
      </c>
      <c r="I399" t="str">
        <f>Dbase_velden_versie4_2!I395</f>
        <v>TXT_SS</v>
      </c>
      <c r="J399" t="str">
        <f>Dbase_velden_versie4_2!J395</f>
        <v>Triaxiaalproeven single stage (CU SS)</v>
      </c>
      <c r="K399">
        <v>395</v>
      </c>
      <c r="L399" t="str">
        <v>TXT_SS_OVERIGECORRECTIES</v>
      </c>
      <c r="M399" t="str">
        <v>-</v>
      </c>
      <c r="N399" t="str">
        <v>Beschrijving vna de aangehouden overige correcties</v>
      </c>
      <c r="O399" t="str">
        <v>String</v>
      </c>
      <c r="P399">
        <v>0</v>
      </c>
      <c r="Q399" t="str">
        <v>TXT SS OVERIGECORRECTIES</v>
      </c>
      <c r="R399" t="str">
        <v>[-]</v>
      </c>
      <c r="S399" t="str">
        <f t="shared" si="105"/>
        <v>OK</v>
      </c>
      <c r="T399" t="str">
        <f t="shared" si="99"/>
        <v>OK</v>
      </c>
      <c r="U399" t="str">
        <f t="shared" si="100"/>
        <v>OK</v>
      </c>
      <c r="V399" t="str">
        <f t="shared" si="101"/>
        <v>OK</v>
      </c>
      <c r="W399" t="str">
        <f t="shared" si="102"/>
        <v>OK</v>
      </c>
      <c r="X399" t="str">
        <f t="shared" si="103"/>
        <v>OK</v>
      </c>
      <c r="Y399" t="str">
        <f t="shared" si="104"/>
        <v>OK</v>
      </c>
      <c r="Z399">
        <v>394</v>
      </c>
      <c r="AA399">
        <v>396</v>
      </c>
      <c r="AB399" t="s">
        <v>2639</v>
      </c>
      <c r="AC399" t="s">
        <v>395</v>
      </c>
      <c r="AD399" t="s">
        <v>463</v>
      </c>
      <c r="AE399" t="s">
        <v>830</v>
      </c>
      <c r="AG399" t="s">
        <v>896</v>
      </c>
      <c r="AI399" t="s">
        <v>2647</v>
      </c>
      <c r="AJ399" t="s">
        <v>1395</v>
      </c>
      <c r="AK399" t="s">
        <v>2639</v>
      </c>
      <c r="AL399" t="s">
        <v>2640</v>
      </c>
      <c r="AN399" t="str">
        <f t="shared" si="106"/>
        <v>OK</v>
      </c>
      <c r="AO399" t="str">
        <f t="shared" si="107"/>
        <v>OK</v>
      </c>
      <c r="AP399" t="str">
        <f t="shared" si="108"/>
        <v>OK</v>
      </c>
      <c r="AR399" t="str">
        <f t="shared" si="109"/>
        <v>OK</v>
      </c>
      <c r="AS399" t="str">
        <f t="shared" si="110"/>
        <v>OK</v>
      </c>
      <c r="AT399" t="str">
        <f t="shared" si="111"/>
        <v>NOK</v>
      </c>
      <c r="AU399" t="str">
        <f t="shared" si="112"/>
        <v>OK</v>
      </c>
      <c r="AV399" t="str">
        <f t="shared" si="113"/>
        <v>OK</v>
      </c>
      <c r="AW399" t="str">
        <f t="shared" si="114"/>
        <v>OK</v>
      </c>
    </row>
    <row r="400" spans="1:49">
      <c r="A400">
        <f>Dbase_velden_versie4_2!A396</f>
        <v>396</v>
      </c>
      <c r="B400" t="str">
        <f>Dbase_velden_versie4_2!B396</f>
        <v>TXT_SS_BACKPRESSURE</v>
      </c>
      <c r="C400" t="str">
        <f>Dbase_velden_versie4_2!C396</f>
        <v>kPa</v>
      </c>
      <c r="D400" t="str">
        <f>Dbase_velden_versie4_2!D396</f>
        <v>Backpressure</v>
      </c>
      <c r="E400" t="str">
        <f>Dbase_velden_versie4_2!E396</f>
        <v>Double</v>
      </c>
      <c r="F400">
        <f>Dbase_velden_versie4_2!F396</f>
        <v>0</v>
      </c>
      <c r="G400" t="str">
        <f>Dbase_velden_versie4_2!G396</f>
        <v>TXT SS BACKPRESSURE</v>
      </c>
      <c r="H400" t="str">
        <f>Dbase_velden_versie4_2!H396</f>
        <v>[kPa]</v>
      </c>
      <c r="I400" t="str">
        <f>Dbase_velden_versie4_2!I396</f>
        <v>TXT_SS</v>
      </c>
      <c r="J400" t="str">
        <f>Dbase_velden_versie4_2!J396</f>
        <v>Triaxiaalproeven single stage (CU SS)</v>
      </c>
      <c r="K400">
        <v>396</v>
      </c>
      <c r="L400" t="str">
        <v>TXT_SS_BACKPRESSURE</v>
      </c>
      <c r="M400" t="str">
        <v>kPa</v>
      </c>
      <c r="N400" t="str">
        <v>Backpressure</v>
      </c>
      <c r="O400" t="str">
        <v>Double</v>
      </c>
      <c r="P400">
        <v>0</v>
      </c>
      <c r="Q400" t="str">
        <v>TXT SS BACKPRESSURE</v>
      </c>
      <c r="R400" t="str">
        <v>[kPa]</v>
      </c>
      <c r="S400" t="str">
        <f t="shared" si="105"/>
        <v>OK</v>
      </c>
      <c r="T400" t="str">
        <f t="shared" si="99"/>
        <v>OK</v>
      </c>
      <c r="U400" t="str">
        <f t="shared" si="100"/>
        <v>OK</v>
      </c>
      <c r="V400" t="str">
        <f t="shared" si="101"/>
        <v>OK</v>
      </c>
      <c r="W400" t="str">
        <f t="shared" si="102"/>
        <v>OK</v>
      </c>
      <c r="X400" t="str">
        <f t="shared" si="103"/>
        <v>OK</v>
      </c>
      <c r="Y400" t="str">
        <f t="shared" si="104"/>
        <v>OK</v>
      </c>
      <c r="Z400">
        <v>395</v>
      </c>
      <c r="AA400">
        <v>397</v>
      </c>
      <c r="AB400" t="s">
        <v>2639</v>
      </c>
      <c r="AC400" t="s">
        <v>396</v>
      </c>
      <c r="AD400" t="s">
        <v>470</v>
      </c>
      <c r="AE400" t="s">
        <v>831</v>
      </c>
      <c r="AG400" t="s">
        <v>897</v>
      </c>
      <c r="AI400" t="s">
        <v>831</v>
      </c>
      <c r="AJ400" t="s">
        <v>1402</v>
      </c>
      <c r="AK400" t="s">
        <v>2639</v>
      </c>
      <c r="AL400" t="s">
        <v>2640</v>
      </c>
      <c r="AN400" t="str">
        <f t="shared" si="106"/>
        <v>OK</v>
      </c>
      <c r="AO400" t="str">
        <f t="shared" si="107"/>
        <v>OK</v>
      </c>
      <c r="AP400" t="str">
        <f t="shared" si="108"/>
        <v>OK</v>
      </c>
      <c r="AR400" t="str">
        <f t="shared" si="109"/>
        <v>OK</v>
      </c>
      <c r="AS400" t="str">
        <f t="shared" si="110"/>
        <v>OK</v>
      </c>
      <c r="AT400" t="str">
        <f t="shared" si="111"/>
        <v>NOK</v>
      </c>
      <c r="AU400" t="str">
        <f t="shared" si="112"/>
        <v>OK</v>
      </c>
      <c r="AV400" t="str">
        <f t="shared" si="113"/>
        <v>OK</v>
      </c>
      <c r="AW400" t="str">
        <f t="shared" si="114"/>
        <v>OK</v>
      </c>
    </row>
    <row r="401" spans="1:49">
      <c r="A401">
        <f>Dbase_velden_versie4_2!A397</f>
        <v>397</v>
      </c>
      <c r="B401" t="str">
        <f>Dbase_velden_versie4_2!B397</f>
        <v>TXT_SS_CONSOLIDATIEWIJZE</v>
      </c>
      <c r="C401" t="str">
        <f>Dbase_velden_versie4_2!C397</f>
        <v>-</v>
      </c>
      <c r="D401" t="str">
        <f>Dbase_velden_versie4_2!D397</f>
        <v>Consolidatiewijze: [volledig isotroop, volledig anisotroop, eerst isotroop en vervolgens anisotroop]
Shansep methode (bij consolidatie belasten tot voorbij de grensspanning en vervolgens ontlasten): [wel of niet toegepast]</v>
      </c>
      <c r="E401" t="str">
        <f>Dbase_velden_versie4_2!E397</f>
        <v>String</v>
      </c>
      <c r="F401" t="str">
        <f>Dbase_velden_versie4_2!F397</f>
        <v>volledig isotroop, volledig anisotroop, eerst isotroop en vervolgens anisotroop, Shansep toegepast, Shansep niet toegepast</v>
      </c>
      <c r="G401" t="str">
        <f>Dbase_velden_versie4_2!G397</f>
        <v>TXT SS CONSOLIDATIEWIJZE</v>
      </c>
      <c r="H401" t="str">
        <f>Dbase_velden_versie4_2!H397</f>
        <v>[-]</v>
      </c>
      <c r="I401" t="str">
        <f>Dbase_velden_versie4_2!I397</f>
        <v>TXT_SS</v>
      </c>
      <c r="J401" t="str">
        <f>Dbase_velden_versie4_2!J397</f>
        <v>Triaxiaalproeven single stage (CU SS)</v>
      </c>
      <c r="K401">
        <v>397</v>
      </c>
      <c r="L401" t="str">
        <v>TXT_SS_CONSOLIDATIEWIJZE</v>
      </c>
      <c r="M401" t="str">
        <v>-</v>
      </c>
      <c r="N401" t="str">
        <v>Consolidatiewijze: [volledig isotroop, volledig anisotroop, eerst isotroop en vervolgens anisotroop]
Shansep methode (bij consolidatie belasten tot voorbij de grensspanning en vervolgens ontlasten): [wel of niet toegepast]</v>
      </c>
      <c r="O401" t="str">
        <v>String</v>
      </c>
      <c r="P401" t="str">
        <v>volledig isotroop, volledig anisotroop, eerst isotroop en vervolgens anisotroop, Shansep toegepast, Shansep niet toegepast</v>
      </c>
      <c r="Q401" t="str">
        <v>TXT SS CONSOLIDATIEWIJZE</v>
      </c>
      <c r="R401" t="str">
        <v>[-]</v>
      </c>
      <c r="S401" t="str">
        <f t="shared" si="105"/>
        <v>OK</v>
      </c>
      <c r="T401" t="str">
        <f t="shared" si="99"/>
        <v>OK</v>
      </c>
      <c r="U401" t="str">
        <f t="shared" si="100"/>
        <v>OK</v>
      </c>
      <c r="V401" t="str">
        <f t="shared" si="101"/>
        <v>OK</v>
      </c>
      <c r="W401" t="str">
        <f t="shared" si="102"/>
        <v>OK</v>
      </c>
      <c r="X401" t="str">
        <f t="shared" si="103"/>
        <v>OK</v>
      </c>
      <c r="Y401" t="str">
        <f t="shared" si="104"/>
        <v>OK</v>
      </c>
      <c r="Z401">
        <v>396</v>
      </c>
      <c r="AA401">
        <v>398</v>
      </c>
      <c r="AB401" t="s">
        <v>2639</v>
      </c>
      <c r="AC401" t="s">
        <v>397</v>
      </c>
      <c r="AD401" t="s">
        <v>463</v>
      </c>
      <c r="AE401" t="s">
        <v>832</v>
      </c>
      <c r="AG401" t="s">
        <v>896</v>
      </c>
      <c r="AH401" t="s">
        <v>930</v>
      </c>
      <c r="AI401" t="s">
        <v>2648</v>
      </c>
      <c r="AJ401" t="s">
        <v>1395</v>
      </c>
      <c r="AK401" t="s">
        <v>2639</v>
      </c>
      <c r="AL401" t="s">
        <v>2640</v>
      </c>
      <c r="AN401" t="str">
        <f t="shared" si="106"/>
        <v>OK</v>
      </c>
      <c r="AO401" t="str">
        <f t="shared" si="107"/>
        <v>OK</v>
      </c>
      <c r="AP401" t="str">
        <f t="shared" si="108"/>
        <v>OK</v>
      </c>
      <c r="AR401" t="str">
        <f t="shared" si="109"/>
        <v>OK</v>
      </c>
      <c r="AS401" t="str">
        <f t="shared" si="110"/>
        <v>OK</v>
      </c>
      <c r="AT401" t="str">
        <f t="shared" si="111"/>
        <v>NOK</v>
      </c>
      <c r="AU401" t="str">
        <f t="shared" si="112"/>
        <v>OK</v>
      </c>
      <c r="AV401" t="str">
        <f t="shared" si="113"/>
        <v>OK</v>
      </c>
      <c r="AW401" t="str">
        <f t="shared" si="114"/>
        <v>OK</v>
      </c>
    </row>
    <row r="402" spans="1:49">
      <c r="A402">
        <f>Dbase_velden_versie4_2!A398</f>
        <v>398</v>
      </c>
      <c r="B402" t="str">
        <f>Dbase_velden_versie4_2!B398</f>
        <v>TXT_SS_SPANNINGSVERHOUDING_STOPCR_K</v>
      </c>
      <c r="C402" t="str">
        <f>Dbase_velden_versie4_2!C398</f>
        <v>-</v>
      </c>
      <c r="D402" t="str">
        <f>Dbase_velden_versie4_2!D398</f>
        <v>Aangehouden spanningsverhouding bij het stopcriterium (K)</v>
      </c>
      <c r="E402" t="str">
        <f>Dbase_velden_versie4_2!E398</f>
        <v>String</v>
      </c>
      <c r="F402">
        <f>Dbase_velden_versie4_2!F398</f>
        <v>0</v>
      </c>
      <c r="G402" t="str">
        <f>Dbase_velden_versie4_2!G398</f>
        <v>TXT SS SPANNINGSVERHOUDING STOPCR K</v>
      </c>
      <c r="H402" t="str">
        <f>Dbase_velden_versie4_2!H398</f>
        <v>[-]</v>
      </c>
      <c r="I402" t="str">
        <f>Dbase_velden_versie4_2!I398</f>
        <v>TXT_SS</v>
      </c>
      <c r="J402" t="str">
        <f>Dbase_velden_versie4_2!J398</f>
        <v>Triaxiaalproeven single stage (CU SS)</v>
      </c>
      <c r="K402">
        <v>398</v>
      </c>
      <c r="L402" t="str">
        <v>TXT_SS_SPANNINGSVERHOUDING_STOPCR_K</v>
      </c>
      <c r="M402" t="str">
        <v>-</v>
      </c>
      <c r="N402" t="str">
        <v>Aangehouden spanningsverhouding bij het stopcriterium (K)</v>
      </c>
      <c r="O402" t="str">
        <v>String</v>
      </c>
      <c r="P402">
        <v>0</v>
      </c>
      <c r="Q402" t="str">
        <v>TXT SS SPANNINGSVERHOUDING STOPCR K</v>
      </c>
      <c r="R402" t="str">
        <v>[-]</v>
      </c>
      <c r="S402" t="str">
        <f t="shared" si="105"/>
        <v>OK</v>
      </c>
      <c r="T402" t="str">
        <f t="shared" si="99"/>
        <v>OK</v>
      </c>
      <c r="U402" t="str">
        <f t="shared" si="100"/>
        <v>OK</v>
      </c>
      <c r="V402" t="str">
        <f t="shared" si="101"/>
        <v>OK</v>
      </c>
      <c r="W402" t="str">
        <f t="shared" si="102"/>
        <v>OK</v>
      </c>
      <c r="X402" t="str">
        <f t="shared" si="103"/>
        <v>OK</v>
      </c>
      <c r="Y402" t="str">
        <f t="shared" si="104"/>
        <v>OK</v>
      </c>
      <c r="Z402">
        <v>397</v>
      </c>
      <c r="AA402">
        <v>399</v>
      </c>
      <c r="AB402" t="s">
        <v>2639</v>
      </c>
      <c r="AC402" t="s">
        <v>398</v>
      </c>
      <c r="AD402" t="s">
        <v>463</v>
      </c>
      <c r="AE402" t="s">
        <v>833</v>
      </c>
      <c r="AG402" t="s">
        <v>896</v>
      </c>
      <c r="AI402" t="s">
        <v>2649</v>
      </c>
      <c r="AJ402" t="s">
        <v>1395</v>
      </c>
      <c r="AK402" t="s">
        <v>2639</v>
      </c>
      <c r="AL402" t="s">
        <v>2640</v>
      </c>
      <c r="AN402" t="str">
        <f t="shared" si="106"/>
        <v>OK</v>
      </c>
      <c r="AO402" t="str">
        <f t="shared" si="107"/>
        <v>OK</v>
      </c>
      <c r="AP402" t="str">
        <f t="shared" si="108"/>
        <v>OK</v>
      </c>
      <c r="AR402" t="str">
        <f t="shared" si="109"/>
        <v>OK</v>
      </c>
      <c r="AS402" t="str">
        <f t="shared" si="110"/>
        <v>OK</v>
      </c>
      <c r="AT402" t="str">
        <f t="shared" si="111"/>
        <v>NOK</v>
      </c>
      <c r="AU402" t="str">
        <f t="shared" si="112"/>
        <v>OK</v>
      </c>
      <c r="AV402" t="str">
        <f t="shared" si="113"/>
        <v>OK</v>
      </c>
      <c r="AW402" t="str">
        <f t="shared" si="114"/>
        <v>OK</v>
      </c>
    </row>
    <row r="403" spans="1:49">
      <c r="A403">
        <f>Dbase_velden_versie4_2!A399</f>
        <v>399</v>
      </c>
      <c r="B403" t="str">
        <f>Dbase_velden_versie4_2!B399</f>
        <v>TXT_SS_STOPCRITERIUM_CONSOLIDATIE</v>
      </c>
      <c r="C403" t="str">
        <f>Dbase_velden_versie4_2!C399</f>
        <v>-</v>
      </c>
      <c r="D403" t="str">
        <f>Dbase_velden_versie4_2!D399</f>
        <v>Stopcriterium in de consolidatiefase</v>
      </c>
      <c r="E403" t="str">
        <f>Dbase_velden_versie4_2!E399</f>
        <v>String</v>
      </c>
      <c r="F403">
        <f>Dbase_velden_versie4_2!F399</f>
        <v>0</v>
      </c>
      <c r="G403" t="str">
        <f>Dbase_velden_versie4_2!G399</f>
        <v>TXT SS STOPCRITERIUM CONSOLIDATIE</v>
      </c>
      <c r="H403" t="str">
        <f>Dbase_velden_versie4_2!H399</f>
        <v>[-]</v>
      </c>
      <c r="I403" t="str">
        <f>Dbase_velden_versie4_2!I399</f>
        <v>TXT_SS</v>
      </c>
      <c r="J403" t="str">
        <f>Dbase_velden_versie4_2!J399</f>
        <v>Triaxiaalproeven single stage (CU SS)</v>
      </c>
      <c r="K403">
        <v>399</v>
      </c>
      <c r="L403" t="str">
        <v>TXT_SS_STOPCRITERIUM_CONSOLIDATIE</v>
      </c>
      <c r="M403" t="str">
        <v>-</v>
      </c>
      <c r="N403" t="str">
        <v>Stopcriterium in de consolidatiefase</v>
      </c>
      <c r="O403" t="str">
        <v>String</v>
      </c>
      <c r="P403">
        <v>0</v>
      </c>
      <c r="Q403" t="str">
        <v>TXT SS STOPCRITERIUM CONSOLIDATIE</v>
      </c>
      <c r="R403" t="str">
        <v>[-]</v>
      </c>
      <c r="S403" t="str">
        <f t="shared" si="105"/>
        <v>OK</v>
      </c>
      <c r="T403" t="str">
        <f t="shared" si="99"/>
        <v>OK</v>
      </c>
      <c r="U403" t="str">
        <f t="shared" si="100"/>
        <v>OK</v>
      </c>
      <c r="V403" t="str">
        <f t="shared" si="101"/>
        <v>OK</v>
      </c>
      <c r="W403" t="str">
        <f t="shared" si="102"/>
        <v>OK</v>
      </c>
      <c r="X403" t="str">
        <f t="shared" si="103"/>
        <v>OK</v>
      </c>
      <c r="Y403" t="str">
        <f t="shared" si="104"/>
        <v>OK</v>
      </c>
      <c r="Z403">
        <v>398</v>
      </c>
      <c r="AA403">
        <v>400</v>
      </c>
      <c r="AB403" t="s">
        <v>2639</v>
      </c>
      <c r="AC403" t="s">
        <v>399</v>
      </c>
      <c r="AD403" t="s">
        <v>463</v>
      </c>
      <c r="AE403" t="s">
        <v>834</v>
      </c>
      <c r="AG403" t="s">
        <v>896</v>
      </c>
      <c r="AI403" t="s">
        <v>2650</v>
      </c>
      <c r="AJ403" t="s">
        <v>1395</v>
      </c>
      <c r="AK403" t="s">
        <v>2639</v>
      </c>
      <c r="AL403" t="s">
        <v>2640</v>
      </c>
      <c r="AN403" t="str">
        <f t="shared" si="106"/>
        <v>OK</v>
      </c>
      <c r="AO403" t="str">
        <f t="shared" si="107"/>
        <v>OK</v>
      </c>
      <c r="AP403" t="str">
        <f t="shared" si="108"/>
        <v>OK</v>
      </c>
      <c r="AR403" t="str">
        <f t="shared" si="109"/>
        <v>OK</v>
      </c>
      <c r="AS403" t="str">
        <f t="shared" si="110"/>
        <v>OK</v>
      </c>
      <c r="AT403" t="str">
        <f t="shared" si="111"/>
        <v>NOK</v>
      </c>
      <c r="AU403" t="str">
        <f t="shared" si="112"/>
        <v>OK</v>
      </c>
      <c r="AV403" t="str">
        <f t="shared" si="113"/>
        <v>OK</v>
      </c>
      <c r="AW403" t="str">
        <f t="shared" si="114"/>
        <v>OK</v>
      </c>
    </row>
    <row r="404" spans="1:49">
      <c r="A404">
        <f>Dbase_velden_versie4_2!A400</f>
        <v>400</v>
      </c>
      <c r="B404" t="str">
        <f>Dbase_velden_versie4_2!B400</f>
        <v>TXT_SS_S'_ISOTROOP_CONSOLIDATIE</v>
      </c>
      <c r="C404" t="str">
        <f>Dbase_velden_versie4_2!C400</f>
        <v>kPa</v>
      </c>
      <c r="D404" t="str">
        <f>Dbase_velden_versie4_2!D400</f>
        <v>Gemiddelde effectieve normaalspanning aan het eind van de isotrope consolidatiefase</v>
      </c>
      <c r="E404" t="str">
        <f>Dbase_velden_versie4_2!E400</f>
        <v>Double</v>
      </c>
      <c r="F404">
        <f>Dbase_velden_versie4_2!F400</f>
        <v>0</v>
      </c>
      <c r="G404" t="str">
        <f>Dbase_velden_versie4_2!G400</f>
        <v>TXT SS S' ISOTROOP CONSOLIDATIE</v>
      </c>
      <c r="H404" t="str">
        <f>Dbase_velden_versie4_2!H400</f>
        <v>[kPa]</v>
      </c>
      <c r="I404" t="str">
        <f>Dbase_velden_versie4_2!I400</f>
        <v>TXT_SS</v>
      </c>
      <c r="J404" t="str">
        <f>Dbase_velden_versie4_2!J400</f>
        <v>Triaxiaalproeven single stage (CU SS)</v>
      </c>
      <c r="K404">
        <v>400</v>
      </c>
      <c r="L404" t="str">
        <v>TXT_SS_S'_ISOTROOP_CONSOLIDATIE</v>
      </c>
      <c r="M404" t="str">
        <v>kPa</v>
      </c>
      <c r="N404" t="str">
        <v>Gemiddelde effectieve normaalspanning aan het eind van de isotrope consolidatiefase</v>
      </c>
      <c r="O404" t="str">
        <v>Double</v>
      </c>
      <c r="P404">
        <v>0</v>
      </c>
      <c r="Q404" t="str">
        <v>TXT SS S' ISOTROOP CONSOLIDATIE</v>
      </c>
      <c r="R404" t="str">
        <v>[kPa]</v>
      </c>
      <c r="S404" t="str">
        <f t="shared" si="105"/>
        <v>OK</v>
      </c>
      <c r="T404" t="str">
        <f t="shared" si="99"/>
        <v>OK</v>
      </c>
      <c r="U404" t="str">
        <f t="shared" si="100"/>
        <v>OK</v>
      </c>
      <c r="V404" t="str">
        <f t="shared" si="101"/>
        <v>OK</v>
      </c>
      <c r="W404" t="str">
        <f t="shared" si="102"/>
        <v>OK</v>
      </c>
      <c r="X404" t="str">
        <f t="shared" si="103"/>
        <v>OK</v>
      </c>
      <c r="Y404" t="str">
        <f t="shared" si="104"/>
        <v>OK</v>
      </c>
      <c r="Z404">
        <v>399</v>
      </c>
      <c r="AA404">
        <v>401</v>
      </c>
      <c r="AB404" t="s">
        <v>2639</v>
      </c>
      <c r="AC404" t="s">
        <v>400</v>
      </c>
      <c r="AD404" t="s">
        <v>470</v>
      </c>
      <c r="AE404" t="s">
        <v>835</v>
      </c>
      <c r="AG404" t="s">
        <v>897</v>
      </c>
      <c r="AI404" t="s">
        <v>2651</v>
      </c>
      <c r="AJ404" t="s">
        <v>1402</v>
      </c>
      <c r="AK404" t="s">
        <v>2639</v>
      </c>
      <c r="AL404" t="s">
        <v>2640</v>
      </c>
      <c r="AN404" t="str">
        <f t="shared" si="106"/>
        <v>OK</v>
      </c>
      <c r="AO404" t="str">
        <f t="shared" si="107"/>
        <v>OK</v>
      </c>
      <c r="AP404" t="str">
        <f t="shared" si="108"/>
        <v>OK</v>
      </c>
      <c r="AR404" t="str">
        <f t="shared" si="109"/>
        <v>OK</v>
      </c>
      <c r="AS404" t="str">
        <f t="shared" si="110"/>
        <v>OK</v>
      </c>
      <c r="AT404" t="str">
        <f t="shared" si="111"/>
        <v>NOK</v>
      </c>
      <c r="AU404" t="str">
        <f t="shared" si="112"/>
        <v>OK</v>
      </c>
      <c r="AV404" t="str">
        <f t="shared" si="113"/>
        <v>OK</v>
      </c>
      <c r="AW404" t="str">
        <f t="shared" si="114"/>
        <v>OK</v>
      </c>
    </row>
    <row r="405" spans="1:49">
      <c r="A405">
        <f>Dbase_velden_versie4_2!A401</f>
        <v>401</v>
      </c>
      <c r="B405" t="str">
        <f>Dbase_velden_versie4_2!B401</f>
        <v>TXT_SS_T_ISOTROOP_CONSOLIDATIE</v>
      </c>
      <c r="C405" t="str">
        <f>Dbase_velden_versie4_2!C401</f>
        <v>kPa</v>
      </c>
      <c r="D405" t="str">
        <f>Dbase_velden_versie4_2!D401</f>
        <v>Schuifspanning aan het eind van de isotrope consolidatiefase. Deze is 0 kPa bij isotrope consolidatie</v>
      </c>
      <c r="E405" t="str">
        <f>Dbase_velden_versie4_2!E401</f>
        <v>Double</v>
      </c>
      <c r="F405">
        <f>Dbase_velden_versie4_2!F401</f>
        <v>0</v>
      </c>
      <c r="G405" t="str">
        <f>Dbase_velden_versie4_2!G401</f>
        <v>TXT SS T ISOTROOP CONSOLIDATIE</v>
      </c>
      <c r="H405" t="str">
        <f>Dbase_velden_versie4_2!H401</f>
        <v>[kPa]</v>
      </c>
      <c r="I405" t="str">
        <f>Dbase_velden_versie4_2!I401</f>
        <v>TXT_SS</v>
      </c>
      <c r="J405" t="str">
        <f>Dbase_velden_versie4_2!J401</f>
        <v>Triaxiaalproeven single stage (CU SS)</v>
      </c>
      <c r="K405">
        <v>401</v>
      </c>
      <c r="L405" t="str">
        <v>TXT_SS_T_ISOTROOP_CONSOLIDATIE</v>
      </c>
      <c r="M405" t="str">
        <v>kPa</v>
      </c>
      <c r="N405" t="str">
        <v>Schuifspanning aan het eind van de isotrope consolidatiefase. Deze is 0 kPa bij isotrope consolidatie</v>
      </c>
      <c r="O405" t="str">
        <v>Double</v>
      </c>
      <c r="P405">
        <v>0</v>
      </c>
      <c r="Q405" t="str">
        <v>TXT SS T ISOTROOP CONSOLIDATIE</v>
      </c>
      <c r="R405" t="str">
        <v>[kPa]</v>
      </c>
      <c r="S405" t="str">
        <f t="shared" si="105"/>
        <v>OK</v>
      </c>
      <c r="T405" t="str">
        <f t="shared" si="99"/>
        <v>OK</v>
      </c>
      <c r="U405" t="str">
        <f t="shared" si="100"/>
        <v>OK</v>
      </c>
      <c r="V405" t="str">
        <f t="shared" si="101"/>
        <v>OK</v>
      </c>
      <c r="W405" t="str">
        <f t="shared" si="102"/>
        <v>OK</v>
      </c>
      <c r="X405" t="str">
        <f t="shared" si="103"/>
        <v>OK</v>
      </c>
      <c r="Y405" t="str">
        <f t="shared" si="104"/>
        <v>OK</v>
      </c>
      <c r="Z405">
        <v>400</v>
      </c>
      <c r="AA405">
        <v>402</v>
      </c>
      <c r="AB405" t="s">
        <v>2639</v>
      </c>
      <c r="AC405" t="s">
        <v>401</v>
      </c>
      <c r="AD405" t="s">
        <v>470</v>
      </c>
      <c r="AE405" t="s">
        <v>836</v>
      </c>
      <c r="AG405" t="s">
        <v>897</v>
      </c>
      <c r="AI405" t="s">
        <v>2652</v>
      </c>
      <c r="AJ405" t="s">
        <v>1402</v>
      </c>
      <c r="AK405" t="s">
        <v>2639</v>
      </c>
      <c r="AL405" t="s">
        <v>2640</v>
      </c>
      <c r="AN405" t="str">
        <f t="shared" si="106"/>
        <v>OK</v>
      </c>
      <c r="AO405" t="str">
        <f t="shared" si="107"/>
        <v>OK</v>
      </c>
      <c r="AP405" t="str">
        <f t="shared" si="108"/>
        <v>OK</v>
      </c>
      <c r="AR405" t="str">
        <f t="shared" si="109"/>
        <v>OK</v>
      </c>
      <c r="AS405" t="str">
        <f t="shared" si="110"/>
        <v>OK</v>
      </c>
      <c r="AT405" t="str">
        <f t="shared" si="111"/>
        <v>NOK</v>
      </c>
      <c r="AU405" t="str">
        <f t="shared" si="112"/>
        <v>OK</v>
      </c>
      <c r="AV405" t="str">
        <f t="shared" si="113"/>
        <v>OK</v>
      </c>
      <c r="AW405" t="str">
        <f t="shared" si="114"/>
        <v>OK</v>
      </c>
    </row>
    <row r="406" spans="1:49">
      <c r="A406">
        <f>Dbase_velden_versie4_2!A402</f>
        <v>402</v>
      </c>
      <c r="B406" t="str">
        <f>Dbase_velden_versie4_2!B402</f>
        <v>TXT_SS_S'_MAX_CONSOLIDATIE</v>
      </c>
      <c r="C406" t="str">
        <f>Dbase_velden_versie4_2!C402</f>
        <v>kPa</v>
      </c>
      <c r="D406" t="str">
        <f>Dbase_velden_versie4_2!D402</f>
        <v>Gemiddelde effectieve spanning behorende bij de maximale consolidatiespanning (alleen van toepassing bij Shansep methode)</v>
      </c>
      <c r="E406" t="str">
        <f>Dbase_velden_versie4_2!E402</f>
        <v>Double</v>
      </c>
      <c r="F406">
        <f>Dbase_velden_versie4_2!F402</f>
        <v>0</v>
      </c>
      <c r="G406" t="str">
        <f>Dbase_velden_versie4_2!G402</f>
        <v>TXT SS S' MAX CONSOLIDATIE</v>
      </c>
      <c r="H406" t="str">
        <f>Dbase_velden_versie4_2!H402</f>
        <v>[kPa]</v>
      </c>
      <c r="I406" t="str">
        <f>Dbase_velden_versie4_2!I402</f>
        <v>TXT_SS</v>
      </c>
      <c r="J406" t="str">
        <f>Dbase_velden_versie4_2!J402</f>
        <v>Triaxiaalproeven single stage (CU SS)</v>
      </c>
      <c r="K406">
        <v>402</v>
      </c>
      <c r="L406" t="str">
        <v>TXT_SS_S'_MAX_CONSOLIDATIE</v>
      </c>
      <c r="M406" t="str">
        <v>kPa</v>
      </c>
      <c r="N406" t="str">
        <v>Gemiddelde effectieve spanning behorende bij de maximale consolidatiespanning (alleen van toepassing bij Shansep methode)</v>
      </c>
      <c r="O406" t="str">
        <v>Double</v>
      </c>
      <c r="P406">
        <v>0</v>
      </c>
      <c r="Q406" t="str">
        <v>TXT SS S' MAX CONSOLIDATIE</v>
      </c>
      <c r="R406" t="str">
        <v>[kPa]</v>
      </c>
      <c r="S406" t="str">
        <f t="shared" si="105"/>
        <v>OK</v>
      </c>
      <c r="T406" t="str">
        <f t="shared" si="99"/>
        <v>OK</v>
      </c>
      <c r="U406" t="str">
        <f t="shared" si="100"/>
        <v>OK</v>
      </c>
      <c r="V406" t="str">
        <f t="shared" si="101"/>
        <v>OK</v>
      </c>
      <c r="W406" t="str">
        <f t="shared" si="102"/>
        <v>OK</v>
      </c>
      <c r="X406" t="str">
        <f t="shared" si="103"/>
        <v>OK</v>
      </c>
      <c r="Y406" t="str">
        <f t="shared" si="104"/>
        <v>OK</v>
      </c>
      <c r="Z406">
        <v>401</v>
      </c>
      <c r="AA406">
        <v>403</v>
      </c>
      <c r="AB406" t="s">
        <v>2639</v>
      </c>
      <c r="AC406" t="s">
        <v>402</v>
      </c>
      <c r="AD406" t="s">
        <v>470</v>
      </c>
      <c r="AE406" t="s">
        <v>837</v>
      </c>
      <c r="AG406" t="s">
        <v>897</v>
      </c>
      <c r="AI406" t="s">
        <v>2653</v>
      </c>
      <c r="AJ406" t="s">
        <v>1402</v>
      </c>
      <c r="AK406" t="s">
        <v>2639</v>
      </c>
      <c r="AL406" t="s">
        <v>2640</v>
      </c>
      <c r="AN406" t="str">
        <f t="shared" si="106"/>
        <v>OK</v>
      </c>
      <c r="AO406" t="str">
        <f t="shared" si="107"/>
        <v>OK</v>
      </c>
      <c r="AP406" t="str">
        <f t="shared" si="108"/>
        <v>OK</v>
      </c>
      <c r="AR406" t="str">
        <f t="shared" si="109"/>
        <v>OK</v>
      </c>
      <c r="AS406" t="str">
        <f t="shared" si="110"/>
        <v>OK</v>
      </c>
      <c r="AT406" t="str">
        <f t="shared" si="111"/>
        <v>NOK</v>
      </c>
      <c r="AU406" t="str">
        <f t="shared" si="112"/>
        <v>OK</v>
      </c>
      <c r="AV406" t="str">
        <f t="shared" si="113"/>
        <v>OK</v>
      </c>
      <c r="AW406" t="str">
        <f t="shared" si="114"/>
        <v>OK</v>
      </c>
    </row>
    <row r="407" spans="1:49">
      <c r="A407">
        <f>Dbase_velden_versie4_2!A403</f>
        <v>403</v>
      </c>
      <c r="B407" t="str">
        <f>Dbase_velden_versie4_2!B403</f>
        <v>TXT_SS_T_MAX_CONSOLIDATIE</v>
      </c>
      <c r="C407" t="str">
        <f>Dbase_velden_versie4_2!C403</f>
        <v>kPa</v>
      </c>
      <c r="D407" t="str">
        <f>Dbase_velden_versie4_2!D403</f>
        <v>Schuifspanning behorende bij de maximale consolidatiespanning (alleen van toepassing bij Shansep methode)</v>
      </c>
      <c r="E407" t="str">
        <f>Dbase_velden_versie4_2!E403</f>
        <v>Double</v>
      </c>
      <c r="F407">
        <f>Dbase_velden_versie4_2!F403</f>
        <v>0</v>
      </c>
      <c r="G407" t="str">
        <f>Dbase_velden_versie4_2!G403</f>
        <v>TXT SS T MAX CONSOLIDATIE</v>
      </c>
      <c r="H407" t="str">
        <f>Dbase_velden_versie4_2!H403</f>
        <v>[kPa]</v>
      </c>
      <c r="I407" t="str">
        <f>Dbase_velden_versie4_2!I403</f>
        <v>TXT_SS</v>
      </c>
      <c r="J407" t="str">
        <f>Dbase_velden_versie4_2!J403</f>
        <v>Triaxiaalproeven single stage (CU SS)</v>
      </c>
      <c r="K407">
        <v>403</v>
      </c>
      <c r="L407" t="str">
        <v>TXT_SS_T_MAX_CONSOLIDATIE</v>
      </c>
      <c r="M407" t="str">
        <v>kPa</v>
      </c>
      <c r="N407" t="str">
        <v>Schuifspanning behorende bij de maximale consolidatiespanning (alleen van toepassing bij Shansep methode)</v>
      </c>
      <c r="O407" t="str">
        <v>Double</v>
      </c>
      <c r="P407">
        <v>0</v>
      </c>
      <c r="Q407" t="str">
        <v>TXT SS T MAX CONSOLIDATIE</v>
      </c>
      <c r="R407" t="str">
        <v>[kPa]</v>
      </c>
      <c r="S407" t="str">
        <f t="shared" si="105"/>
        <v>OK</v>
      </c>
      <c r="T407" t="str">
        <f t="shared" si="99"/>
        <v>OK</v>
      </c>
      <c r="U407" t="str">
        <f t="shared" si="100"/>
        <v>OK</v>
      </c>
      <c r="V407" t="str">
        <f t="shared" si="101"/>
        <v>OK</v>
      </c>
      <c r="W407" t="str">
        <f t="shared" si="102"/>
        <v>OK</v>
      </c>
      <c r="X407" t="str">
        <f t="shared" si="103"/>
        <v>OK</v>
      </c>
      <c r="Y407" t="str">
        <f t="shared" si="104"/>
        <v>OK</v>
      </c>
      <c r="Z407">
        <v>402</v>
      </c>
      <c r="AA407">
        <v>404</v>
      </c>
      <c r="AB407" t="s">
        <v>2639</v>
      </c>
      <c r="AC407" t="s">
        <v>403</v>
      </c>
      <c r="AD407" t="s">
        <v>470</v>
      </c>
      <c r="AE407" t="s">
        <v>838</v>
      </c>
      <c r="AG407" t="s">
        <v>897</v>
      </c>
      <c r="AI407" t="s">
        <v>2654</v>
      </c>
      <c r="AJ407" t="s">
        <v>1402</v>
      </c>
      <c r="AK407" t="s">
        <v>2639</v>
      </c>
      <c r="AL407" t="s">
        <v>2640</v>
      </c>
      <c r="AN407" t="str">
        <f t="shared" si="106"/>
        <v>OK</v>
      </c>
      <c r="AO407" t="str">
        <f t="shared" si="107"/>
        <v>OK</v>
      </c>
      <c r="AP407" t="str">
        <f t="shared" si="108"/>
        <v>OK</v>
      </c>
      <c r="AR407" t="str">
        <f t="shared" si="109"/>
        <v>OK</v>
      </c>
      <c r="AS407" t="str">
        <f t="shared" si="110"/>
        <v>OK</v>
      </c>
      <c r="AT407" t="str">
        <f t="shared" si="111"/>
        <v>NOK</v>
      </c>
      <c r="AU407" t="str">
        <f t="shared" si="112"/>
        <v>OK</v>
      </c>
      <c r="AV407" t="str">
        <f t="shared" si="113"/>
        <v>OK</v>
      </c>
      <c r="AW407" t="str">
        <f t="shared" si="114"/>
        <v>OK</v>
      </c>
    </row>
    <row r="408" spans="1:49">
      <c r="A408">
        <f>Dbase_velden_versie4_2!A404</f>
        <v>404</v>
      </c>
      <c r="B408" t="str">
        <f>Dbase_velden_versie4_2!B404</f>
        <v>TXT_SS_S'_EIND_CONSOLIDATIE</v>
      </c>
      <c r="C408" t="str">
        <f>Dbase_velden_versie4_2!C404</f>
        <v>kPa</v>
      </c>
      <c r="D408" t="str">
        <f>Dbase_velden_versie4_2!D404</f>
        <v>Gemiddeld effectieve normaalspanning behorende bij de eind consolidatiespanning s' = 0,5 * (sigma_1' + sigma_3')</v>
      </c>
      <c r="E408" t="str">
        <f>Dbase_velden_versie4_2!E404</f>
        <v>Double</v>
      </c>
      <c r="F408">
        <f>Dbase_velden_versie4_2!F404</f>
        <v>0</v>
      </c>
      <c r="G408" t="str">
        <f>Dbase_velden_versie4_2!G404</f>
        <v>TXT SS S' EIND CONSOLIDATIE</v>
      </c>
      <c r="H408" t="str">
        <f>Dbase_velden_versie4_2!H404</f>
        <v>[kPa]</v>
      </c>
      <c r="I408" t="str">
        <f>Dbase_velden_versie4_2!I404</f>
        <v>TXT_SS</v>
      </c>
      <c r="J408" t="str">
        <f>Dbase_velden_versie4_2!J404</f>
        <v>Triaxiaalproeven single stage (CU SS)</v>
      </c>
      <c r="K408">
        <v>404</v>
      </c>
      <c r="L408" t="str">
        <v>TXT_SS_S'_EIND_CONSOLIDATIE</v>
      </c>
      <c r="M408" t="str">
        <v>kPa</v>
      </c>
      <c r="N408" t="str">
        <v>Gemiddeld effectieve normaalspanning behorende bij de eind consolidatiespanning s' = 0,5 * (sigma_1' + sigma_3')</v>
      </c>
      <c r="O408" t="str">
        <v>Double</v>
      </c>
      <c r="P408">
        <v>0</v>
      </c>
      <c r="Q408" t="str">
        <v>TXT SS S' EIND CONSOLIDATIE</v>
      </c>
      <c r="R408" t="str">
        <v>[kPa]</v>
      </c>
      <c r="S408" t="str">
        <f t="shared" si="105"/>
        <v>OK</v>
      </c>
      <c r="T408" t="str">
        <f t="shared" si="99"/>
        <v>OK</v>
      </c>
      <c r="U408" t="str">
        <f t="shared" si="100"/>
        <v>OK</v>
      </c>
      <c r="V408" t="str">
        <f t="shared" si="101"/>
        <v>OK</v>
      </c>
      <c r="W408" t="str">
        <f t="shared" si="102"/>
        <v>OK</v>
      </c>
      <c r="X408" t="str">
        <f t="shared" si="103"/>
        <v>OK</v>
      </c>
      <c r="Y408" t="str">
        <f t="shared" si="104"/>
        <v>OK</v>
      </c>
      <c r="Z408">
        <v>403</v>
      </c>
      <c r="AA408">
        <v>405</v>
      </c>
      <c r="AB408" t="s">
        <v>2639</v>
      </c>
      <c r="AC408" t="s">
        <v>404</v>
      </c>
      <c r="AD408" t="s">
        <v>470</v>
      </c>
      <c r="AE408" t="s">
        <v>839</v>
      </c>
      <c r="AG408" t="s">
        <v>897</v>
      </c>
      <c r="AI408" t="s">
        <v>2655</v>
      </c>
      <c r="AJ408" t="s">
        <v>1402</v>
      </c>
      <c r="AK408" t="s">
        <v>2639</v>
      </c>
      <c r="AL408" t="s">
        <v>2640</v>
      </c>
      <c r="AN408" t="str">
        <f t="shared" si="106"/>
        <v>OK</v>
      </c>
      <c r="AO408" t="str">
        <f t="shared" si="107"/>
        <v>OK</v>
      </c>
      <c r="AP408" t="str">
        <f t="shared" si="108"/>
        <v>OK</v>
      </c>
      <c r="AR408" t="str">
        <f t="shared" si="109"/>
        <v>OK</v>
      </c>
      <c r="AS408" t="str">
        <f t="shared" si="110"/>
        <v>OK</v>
      </c>
      <c r="AT408" t="str">
        <f t="shared" si="111"/>
        <v>NOK</v>
      </c>
      <c r="AU408" t="str">
        <f t="shared" si="112"/>
        <v>OK</v>
      </c>
      <c r="AV408" t="str">
        <f t="shared" si="113"/>
        <v>OK</v>
      </c>
      <c r="AW408" t="str">
        <f t="shared" si="114"/>
        <v>OK</v>
      </c>
    </row>
    <row r="409" spans="1:49">
      <c r="A409">
        <f>Dbase_velden_versie4_2!A405</f>
        <v>405</v>
      </c>
      <c r="B409" t="str">
        <f>Dbase_velden_versie4_2!B405</f>
        <v>TXT_SS_T_EIND_CONSOLIDATIE</v>
      </c>
      <c r="C409" t="str">
        <f>Dbase_velden_versie4_2!C405</f>
        <v>kPa</v>
      </c>
      <c r="D409" t="str">
        <f>Dbase_velden_versie4_2!D405</f>
        <v>Schuifspanning behorende bij de eind consolidatiespanning</v>
      </c>
      <c r="E409" t="str">
        <f>Dbase_velden_versie4_2!E405</f>
        <v>Double</v>
      </c>
      <c r="F409">
        <f>Dbase_velden_versie4_2!F405</f>
        <v>0</v>
      </c>
      <c r="G409" t="str">
        <f>Dbase_velden_versie4_2!G405</f>
        <v>TXT SS T EIND CONSOLIDATIE</v>
      </c>
      <c r="H409" t="str">
        <f>Dbase_velden_versie4_2!H405</f>
        <v>[kPa]</v>
      </c>
      <c r="I409" t="str">
        <f>Dbase_velden_versie4_2!I405</f>
        <v>TXT_SS</v>
      </c>
      <c r="J409" t="str">
        <f>Dbase_velden_versie4_2!J405</f>
        <v>Triaxiaalproeven single stage (CU SS)</v>
      </c>
      <c r="K409">
        <v>405</v>
      </c>
      <c r="L409" t="str">
        <v>TXT_SS_T_EIND_CONSOLIDATIE</v>
      </c>
      <c r="M409" t="str">
        <v>kPa</v>
      </c>
      <c r="N409" t="str">
        <v>Schuifspanning behorende bij de eind consolidatiespanning</v>
      </c>
      <c r="O409" t="str">
        <v>Double</v>
      </c>
      <c r="P409">
        <v>0</v>
      </c>
      <c r="Q409" t="str">
        <v>TXT SS T EIND CONSOLIDATIE</v>
      </c>
      <c r="R409" t="str">
        <v>[kPa]</v>
      </c>
      <c r="S409" t="str">
        <f t="shared" si="105"/>
        <v>OK</v>
      </c>
      <c r="T409" t="str">
        <f t="shared" si="99"/>
        <v>OK</v>
      </c>
      <c r="U409" t="str">
        <f t="shared" si="100"/>
        <v>OK</v>
      </c>
      <c r="V409" t="str">
        <f t="shared" si="101"/>
        <v>OK</v>
      </c>
      <c r="W409" t="str">
        <f t="shared" si="102"/>
        <v>OK</v>
      </c>
      <c r="X409" t="str">
        <f t="shared" si="103"/>
        <v>OK</v>
      </c>
      <c r="Y409" t="str">
        <f t="shared" si="104"/>
        <v>OK</v>
      </c>
      <c r="Z409">
        <v>404</v>
      </c>
      <c r="AA409">
        <v>406</v>
      </c>
      <c r="AB409" t="s">
        <v>2639</v>
      </c>
      <c r="AC409" t="s">
        <v>405</v>
      </c>
      <c r="AD409" t="s">
        <v>470</v>
      </c>
      <c r="AE409" t="s">
        <v>840</v>
      </c>
      <c r="AG409" t="s">
        <v>897</v>
      </c>
      <c r="AI409" t="s">
        <v>2656</v>
      </c>
      <c r="AJ409" t="s">
        <v>1402</v>
      </c>
      <c r="AK409" t="s">
        <v>2639</v>
      </c>
      <c r="AL409" t="s">
        <v>2640</v>
      </c>
      <c r="AN409" t="str">
        <f t="shared" si="106"/>
        <v>OK</v>
      </c>
      <c r="AO409" t="str">
        <f t="shared" si="107"/>
        <v>OK</v>
      </c>
      <c r="AP409" t="str">
        <f t="shared" si="108"/>
        <v>OK</v>
      </c>
      <c r="AR409" t="str">
        <f t="shared" si="109"/>
        <v>OK</v>
      </c>
      <c r="AS409" t="str">
        <f t="shared" si="110"/>
        <v>OK</v>
      </c>
      <c r="AT409" t="str">
        <f t="shared" si="111"/>
        <v>NOK</v>
      </c>
      <c r="AU409" t="str">
        <f t="shared" si="112"/>
        <v>OK</v>
      </c>
      <c r="AV409" t="str">
        <f t="shared" si="113"/>
        <v>OK</v>
      </c>
      <c r="AW409" t="str">
        <f t="shared" si="114"/>
        <v>OK</v>
      </c>
    </row>
    <row r="410" spans="1:49">
      <c r="A410">
        <f>Dbase_velden_versie4_2!A406</f>
        <v>406</v>
      </c>
      <c r="B410" t="str">
        <f>Dbase_velden_versie4_2!B406</f>
        <v>TXT_SS_OCR</v>
      </c>
      <c r="C410" t="str">
        <f>Dbase_velden_versie4_2!C406</f>
        <v>-</v>
      </c>
      <c r="D410" t="str">
        <f>Dbase_velden_versie4_2!D406</f>
        <v>Overconsolidatieratio bepaald op basis van de maximale consolidatiespanning en de eind consolidatiespanning</v>
      </c>
      <c r="E410" t="str">
        <f>Dbase_velden_versie4_2!E406</f>
        <v>Double</v>
      </c>
      <c r="F410" t="str">
        <f>Dbase_velden_versie4_2!F406</f>
        <v>0-10</v>
      </c>
      <c r="G410" t="str">
        <f>Dbase_velden_versie4_2!G406</f>
        <v>TXT SS OCR</v>
      </c>
      <c r="H410" t="str">
        <f>Dbase_velden_versie4_2!H406</f>
        <v>[-]</v>
      </c>
      <c r="I410" t="str">
        <f>Dbase_velden_versie4_2!I406</f>
        <v>TXT_SS</v>
      </c>
      <c r="J410" t="str">
        <f>Dbase_velden_versie4_2!J406</f>
        <v>Triaxiaalproeven single stage (CU SS)</v>
      </c>
      <c r="K410">
        <v>406</v>
      </c>
      <c r="L410" t="str">
        <v>TXT_SS_OCR</v>
      </c>
      <c r="M410" t="str">
        <v>-</v>
      </c>
      <c r="N410" t="str">
        <v>Overconsolidatieratio bepaald op basis van de maximale consolidatiespanning en de eind consolidatiespanning</v>
      </c>
      <c r="O410" t="str">
        <v>Double</v>
      </c>
      <c r="P410" t="str">
        <v>0-10</v>
      </c>
      <c r="Q410" t="str">
        <v>TXT SS OCR</v>
      </c>
      <c r="R410" t="str">
        <v>[-]</v>
      </c>
      <c r="S410" t="str">
        <f t="shared" si="105"/>
        <v>OK</v>
      </c>
      <c r="T410" t="str">
        <f t="shared" si="99"/>
        <v>OK</v>
      </c>
      <c r="U410" t="str">
        <f t="shared" si="100"/>
        <v>OK</v>
      </c>
      <c r="V410" t="str">
        <f t="shared" si="101"/>
        <v>OK</v>
      </c>
      <c r="W410" t="str">
        <f t="shared" si="102"/>
        <v>OK</v>
      </c>
      <c r="X410" t="str">
        <f t="shared" si="103"/>
        <v>OK</v>
      </c>
      <c r="Y410" t="str">
        <f t="shared" si="104"/>
        <v>OK</v>
      </c>
      <c r="Z410">
        <v>405</v>
      </c>
      <c r="AA410">
        <v>407</v>
      </c>
      <c r="AB410" t="s">
        <v>2639</v>
      </c>
      <c r="AC410" t="s">
        <v>406</v>
      </c>
      <c r="AD410" t="s">
        <v>463</v>
      </c>
      <c r="AE410" t="s">
        <v>841</v>
      </c>
      <c r="AG410" t="s">
        <v>897</v>
      </c>
      <c r="AH410" t="s">
        <v>928</v>
      </c>
      <c r="AI410" t="s">
        <v>2616</v>
      </c>
      <c r="AJ410" t="s">
        <v>1395</v>
      </c>
      <c r="AK410" t="s">
        <v>2639</v>
      </c>
      <c r="AL410" t="s">
        <v>2640</v>
      </c>
      <c r="AN410" t="str">
        <f t="shared" si="106"/>
        <v>OK</v>
      </c>
      <c r="AO410" t="str">
        <f t="shared" si="107"/>
        <v>OK</v>
      </c>
      <c r="AP410" t="str">
        <f t="shared" si="108"/>
        <v>OK</v>
      </c>
      <c r="AR410" t="str">
        <f t="shared" si="109"/>
        <v>OK</v>
      </c>
      <c r="AS410" t="str">
        <f t="shared" si="110"/>
        <v>OK</v>
      </c>
      <c r="AT410" t="str">
        <f t="shared" si="111"/>
        <v>NOK</v>
      </c>
      <c r="AU410" t="str">
        <f t="shared" si="112"/>
        <v>OK</v>
      </c>
      <c r="AV410" t="str">
        <f t="shared" si="113"/>
        <v>OK</v>
      </c>
      <c r="AW410" t="str">
        <f t="shared" si="114"/>
        <v>OK</v>
      </c>
    </row>
    <row r="411" spans="1:49">
      <c r="A411">
        <f>Dbase_velden_versie4_2!A407</f>
        <v>407</v>
      </c>
      <c r="B411" t="str">
        <f>Dbase_velden_versie4_2!B407</f>
        <v>TXT_SS_AXIALEREK_CONSOLIDATIE</v>
      </c>
      <c r="C411" t="str">
        <f>Dbase_velden_versie4_2!C407</f>
        <v>%</v>
      </c>
      <c r="D411" t="str">
        <f>Dbase_velden_versie4_2!D407</f>
        <v>Bereikte axiale rek tijdens de consolidatiefase</v>
      </c>
      <c r="E411" t="str">
        <f>Dbase_velden_versie4_2!E407</f>
        <v>Double</v>
      </c>
      <c r="F411" t="str">
        <f>Dbase_velden_versie4_2!F407</f>
        <v>0% - 100%</v>
      </c>
      <c r="G411" t="str">
        <f>Dbase_velden_versie4_2!G407</f>
        <v>TXT SS AXIALEREK CONSOLIDATIE</v>
      </c>
      <c r="H411" t="str">
        <f>Dbase_velden_versie4_2!H407</f>
        <v>[%]</v>
      </c>
      <c r="I411" t="str">
        <f>Dbase_velden_versie4_2!I407</f>
        <v>TXT_SS</v>
      </c>
      <c r="J411" t="str">
        <f>Dbase_velden_versie4_2!J407</f>
        <v>Triaxiaalproeven single stage (CU SS)</v>
      </c>
      <c r="K411">
        <v>407</v>
      </c>
      <c r="L411" t="str">
        <v>TXT_SS_AXIALEREK_CONSOLIDATIE</v>
      </c>
      <c r="M411" t="str">
        <v>%</v>
      </c>
      <c r="N411" t="str">
        <v>Bereikte axiale rek tijdens de consolidatiefase</v>
      </c>
      <c r="O411" t="str">
        <v>Double</v>
      </c>
      <c r="P411" t="str">
        <v>0% - 100%</v>
      </c>
      <c r="Q411" t="str">
        <v>TXT SS AXIALEREK CONSOLIDATIE</v>
      </c>
      <c r="R411" t="str">
        <v>[%]</v>
      </c>
      <c r="S411" t="str">
        <f t="shared" si="105"/>
        <v>OK</v>
      </c>
      <c r="T411" t="str">
        <f t="shared" si="99"/>
        <v>OK</v>
      </c>
      <c r="U411" t="str">
        <f t="shared" si="100"/>
        <v>OK</v>
      </c>
      <c r="V411" t="str">
        <f t="shared" si="101"/>
        <v>OK</v>
      </c>
      <c r="W411" t="str">
        <f t="shared" si="102"/>
        <v>OK</v>
      </c>
      <c r="X411" t="str">
        <f t="shared" si="103"/>
        <v>OK</v>
      </c>
      <c r="Y411" t="str">
        <f t="shared" si="104"/>
        <v>OK</v>
      </c>
      <c r="Z411">
        <v>406</v>
      </c>
      <c r="AA411">
        <v>408</v>
      </c>
      <c r="AB411" t="s">
        <v>2639</v>
      </c>
      <c r="AC411" t="s">
        <v>407</v>
      </c>
      <c r="AD411" t="s">
        <v>468</v>
      </c>
      <c r="AE411" t="s">
        <v>842</v>
      </c>
      <c r="AG411" t="s">
        <v>897</v>
      </c>
      <c r="AH411" t="s">
        <v>911</v>
      </c>
      <c r="AI411" t="s">
        <v>2657</v>
      </c>
      <c r="AJ411" t="s">
        <v>1400</v>
      </c>
      <c r="AK411" t="s">
        <v>2639</v>
      </c>
      <c r="AL411" t="s">
        <v>2640</v>
      </c>
      <c r="AN411" t="str">
        <f t="shared" si="106"/>
        <v>OK</v>
      </c>
      <c r="AO411" t="str">
        <f t="shared" si="107"/>
        <v>OK</v>
      </c>
      <c r="AP411" t="str">
        <f t="shared" si="108"/>
        <v>OK</v>
      </c>
      <c r="AR411" t="str">
        <f t="shared" si="109"/>
        <v>OK</v>
      </c>
      <c r="AS411" t="str">
        <f t="shared" si="110"/>
        <v>OK</v>
      </c>
      <c r="AT411" t="str">
        <f t="shared" si="111"/>
        <v>NOK</v>
      </c>
      <c r="AU411" t="str">
        <f t="shared" si="112"/>
        <v>OK</v>
      </c>
      <c r="AV411" t="str">
        <f t="shared" si="113"/>
        <v>OK</v>
      </c>
      <c r="AW411" t="str">
        <f t="shared" si="114"/>
        <v>OK</v>
      </c>
    </row>
    <row r="412" spans="1:49">
      <c r="A412">
        <f>Dbase_velden_versie4_2!A408</f>
        <v>408</v>
      </c>
      <c r="B412" t="str">
        <f>Dbase_velden_versie4_2!B408</f>
        <v>TXT_SS_VOLUMEREK_CONSOLIDATIE</v>
      </c>
      <c r="C412" t="str">
        <f>Dbase_velden_versie4_2!C408</f>
        <v>%</v>
      </c>
      <c r="D412" t="str">
        <f>Dbase_velden_versie4_2!D408</f>
        <v>Bereikte volumerek tijdens de consolidatiefase</v>
      </c>
      <c r="E412" t="str">
        <f>Dbase_velden_versie4_2!E408</f>
        <v>Double</v>
      </c>
      <c r="F412" t="str">
        <f>Dbase_velden_versie4_2!F408</f>
        <v>0% - 100%</v>
      </c>
      <c r="G412" t="str">
        <f>Dbase_velden_versie4_2!G408</f>
        <v>TXT SS VOLUMEREK CONSOLIDATIE</v>
      </c>
      <c r="H412" t="str">
        <f>Dbase_velden_versie4_2!H408</f>
        <v>[%]</v>
      </c>
      <c r="I412" t="str">
        <f>Dbase_velden_versie4_2!I408</f>
        <v>TXT_SS</v>
      </c>
      <c r="J412" t="str">
        <f>Dbase_velden_versie4_2!J408</f>
        <v>Triaxiaalproeven single stage (CU SS)</v>
      </c>
      <c r="K412">
        <v>408</v>
      </c>
      <c r="L412" t="str">
        <v>TXT_SS_VOLUMEREK_CONSOLIDATIE</v>
      </c>
      <c r="M412" t="str">
        <v>%</v>
      </c>
      <c r="N412" t="str">
        <v>Bereikte volumerek tijdens de consolidatiefase</v>
      </c>
      <c r="O412" t="str">
        <v>Double</v>
      </c>
      <c r="P412" t="str">
        <v>0% - 100%</v>
      </c>
      <c r="Q412" t="str">
        <v>TXT SS VOLUMEREK CONSOLIDATIE</v>
      </c>
      <c r="R412" t="str">
        <v>[%]</v>
      </c>
      <c r="S412" t="str">
        <f t="shared" si="105"/>
        <v>OK</v>
      </c>
      <c r="T412" t="str">
        <f t="shared" si="99"/>
        <v>OK</v>
      </c>
      <c r="U412" t="str">
        <f t="shared" si="100"/>
        <v>OK</v>
      </c>
      <c r="V412" t="str">
        <f t="shared" si="101"/>
        <v>OK</v>
      </c>
      <c r="W412" t="str">
        <f t="shared" si="102"/>
        <v>OK</v>
      </c>
      <c r="X412" t="str">
        <f t="shared" si="103"/>
        <v>OK</v>
      </c>
      <c r="Y412" t="str">
        <f t="shared" si="104"/>
        <v>OK</v>
      </c>
      <c r="Z412">
        <v>407</v>
      </c>
      <c r="AA412">
        <v>409</v>
      </c>
      <c r="AB412" t="s">
        <v>2639</v>
      </c>
      <c r="AC412" t="s">
        <v>408</v>
      </c>
      <c r="AD412" t="s">
        <v>468</v>
      </c>
      <c r="AE412" t="s">
        <v>843</v>
      </c>
      <c r="AG412" t="s">
        <v>897</v>
      </c>
      <c r="AH412" t="s">
        <v>911</v>
      </c>
      <c r="AI412" t="s">
        <v>2658</v>
      </c>
      <c r="AJ412" t="s">
        <v>1400</v>
      </c>
      <c r="AK412" t="s">
        <v>2639</v>
      </c>
      <c r="AL412" t="s">
        <v>2640</v>
      </c>
      <c r="AN412" t="str">
        <f t="shared" si="106"/>
        <v>OK</v>
      </c>
      <c r="AO412" t="str">
        <f t="shared" si="107"/>
        <v>OK</v>
      </c>
      <c r="AP412" t="str">
        <f t="shared" si="108"/>
        <v>OK</v>
      </c>
      <c r="AR412" t="str">
        <f t="shared" si="109"/>
        <v>OK</v>
      </c>
      <c r="AS412" t="str">
        <f t="shared" si="110"/>
        <v>OK</v>
      </c>
      <c r="AT412" t="str">
        <f t="shared" si="111"/>
        <v>NOK</v>
      </c>
      <c r="AU412" t="str">
        <f t="shared" si="112"/>
        <v>OK</v>
      </c>
      <c r="AV412" t="str">
        <f t="shared" si="113"/>
        <v>OK</v>
      </c>
      <c r="AW412" t="str">
        <f t="shared" si="114"/>
        <v>OK</v>
      </c>
    </row>
    <row r="413" spans="1:49">
      <c r="A413">
        <f>Dbase_velden_versie4_2!A409</f>
        <v>409</v>
      </c>
      <c r="B413" t="str">
        <f>Dbase_velden_versie4_2!B409</f>
        <v>TXT_SS_STOPCRITERIUM_AFSCHUIVEN</v>
      </c>
      <c r="C413" t="str">
        <f>Dbase_velden_versie4_2!C409</f>
        <v>%</v>
      </c>
      <c r="D413" t="str">
        <f>Dbase_velden_versie4_2!D409</f>
        <v>Stopcriterium in de afschuiffase</v>
      </c>
      <c r="E413" t="str">
        <f>Dbase_velden_versie4_2!E409</f>
        <v>Double</v>
      </c>
      <c r="F413" t="str">
        <f>Dbase_velden_versie4_2!F409</f>
        <v>0% - 100%</v>
      </c>
      <c r="G413" t="str">
        <f>Dbase_velden_versie4_2!G409</f>
        <v>TXT SS STOPCRITERIUM AFSCHUIVEN</v>
      </c>
      <c r="H413" t="str">
        <f>Dbase_velden_versie4_2!H409</f>
        <v>[%]</v>
      </c>
      <c r="I413" t="str">
        <f>Dbase_velden_versie4_2!I409</f>
        <v>TXT_SS</v>
      </c>
      <c r="J413" t="str">
        <f>Dbase_velden_versie4_2!J409</f>
        <v>Triaxiaalproeven single stage (CU SS)</v>
      </c>
      <c r="K413">
        <v>409</v>
      </c>
      <c r="L413" t="str">
        <v>TXT_SS_STOPCRITERIUM_AFSCHUIVEN</v>
      </c>
      <c r="M413" t="str">
        <v>%</v>
      </c>
      <c r="N413" t="str">
        <v>Stopcriterium in de afschuiffase</v>
      </c>
      <c r="O413" t="str">
        <v>Double</v>
      </c>
      <c r="P413" t="str">
        <v>0% - 100%</v>
      </c>
      <c r="Q413" t="str">
        <v>TXT SS STOPCRITERIUM AFSCHUIVEN</v>
      </c>
      <c r="R413" t="str">
        <v>[%]</v>
      </c>
      <c r="S413" t="str">
        <f t="shared" si="105"/>
        <v>OK</v>
      </c>
      <c r="T413" t="str">
        <f t="shared" si="99"/>
        <v>OK</v>
      </c>
      <c r="U413" t="str">
        <f t="shared" si="100"/>
        <v>OK</v>
      </c>
      <c r="V413" t="str">
        <f t="shared" si="101"/>
        <v>OK</v>
      </c>
      <c r="W413" t="str">
        <f t="shared" si="102"/>
        <v>OK</v>
      </c>
      <c r="X413" t="str">
        <f t="shared" si="103"/>
        <v>OK</v>
      </c>
      <c r="Y413" t="str">
        <f t="shared" si="104"/>
        <v>OK</v>
      </c>
      <c r="Z413">
        <v>408</v>
      </c>
      <c r="AA413">
        <v>410</v>
      </c>
      <c r="AB413" t="s">
        <v>2639</v>
      </c>
      <c r="AC413" t="s">
        <v>409</v>
      </c>
      <c r="AD413" t="s">
        <v>468</v>
      </c>
      <c r="AE413" t="s">
        <v>844</v>
      </c>
      <c r="AG413" t="s">
        <v>897</v>
      </c>
      <c r="AH413" t="s">
        <v>911</v>
      </c>
      <c r="AI413" t="s">
        <v>2659</v>
      </c>
      <c r="AJ413" t="s">
        <v>1400</v>
      </c>
      <c r="AK413" t="s">
        <v>2639</v>
      </c>
      <c r="AL413" t="s">
        <v>2640</v>
      </c>
      <c r="AN413" t="str">
        <f t="shared" si="106"/>
        <v>OK</v>
      </c>
      <c r="AO413" t="str">
        <f t="shared" si="107"/>
        <v>OK</v>
      </c>
      <c r="AP413" t="str">
        <f t="shared" si="108"/>
        <v>OK</v>
      </c>
      <c r="AR413" t="str">
        <f t="shared" si="109"/>
        <v>OK</v>
      </c>
      <c r="AS413" t="str">
        <f t="shared" si="110"/>
        <v>OK</v>
      </c>
      <c r="AT413" t="str">
        <f t="shared" si="111"/>
        <v>NOK</v>
      </c>
      <c r="AU413" t="str">
        <f t="shared" si="112"/>
        <v>OK</v>
      </c>
      <c r="AV413" t="str">
        <f t="shared" si="113"/>
        <v>OK</v>
      </c>
      <c r="AW413" t="str">
        <f t="shared" si="114"/>
        <v>OK</v>
      </c>
    </row>
    <row r="414" spans="1:49">
      <c r="A414">
        <f>Dbase_velden_versie4_2!A410</f>
        <v>410</v>
      </c>
      <c r="B414" t="str">
        <f>Dbase_velden_versie4_2!B410</f>
        <v>TXT_SS_AXIALEREKSNELHEID_AFSCHUIVEN</v>
      </c>
      <c r="C414" t="str">
        <f>Dbase_velden_versie4_2!C410</f>
        <v>%/uur</v>
      </c>
      <c r="D414" t="str">
        <f>Dbase_velden_versie4_2!D410</f>
        <v>Aangehouden axiale reksnelheid tijdens het afschuiven</v>
      </c>
      <c r="E414" t="str">
        <f>Dbase_velden_versie4_2!E410</f>
        <v>Double</v>
      </c>
      <c r="F414">
        <f>Dbase_velden_versie4_2!F410</f>
        <v>0</v>
      </c>
      <c r="G414" t="str">
        <f>Dbase_velden_versie4_2!G410</f>
        <v>TXT SS AXIALEREKSNELHEID AFSCHUIVEN</v>
      </c>
      <c r="H414" t="str">
        <f>Dbase_velden_versie4_2!H410</f>
        <v>[%/uur]</v>
      </c>
      <c r="I414" t="str">
        <f>Dbase_velden_versie4_2!I410</f>
        <v>TXT_SS</v>
      </c>
      <c r="J414" t="str">
        <f>Dbase_velden_versie4_2!J410</f>
        <v>Triaxiaalproeven single stage (CU SS)</v>
      </c>
      <c r="K414">
        <v>410</v>
      </c>
      <c r="L414" t="str">
        <v>TXT_SS_AXIALEREKSNELHEID_AFSCHUIVEN</v>
      </c>
      <c r="M414" t="str">
        <v>%/uur</v>
      </c>
      <c r="N414" t="str">
        <v>Aangehouden axiale reksnelheid tijdens het afschuiven</v>
      </c>
      <c r="O414" t="str">
        <v>Double</v>
      </c>
      <c r="P414">
        <v>0</v>
      </c>
      <c r="Q414" t="str">
        <v>TXT SS AXIALEREKSNELHEID AFSCHUIVEN</v>
      </c>
      <c r="R414" t="str">
        <v>[%/uur]</v>
      </c>
      <c r="S414" t="str">
        <f t="shared" si="105"/>
        <v>OK</v>
      </c>
      <c r="T414" t="str">
        <f t="shared" si="99"/>
        <v>OK</v>
      </c>
      <c r="U414" t="str">
        <f t="shared" si="100"/>
        <v>OK</v>
      </c>
      <c r="V414" t="str">
        <f t="shared" si="101"/>
        <v>OK</v>
      </c>
      <c r="W414" t="str">
        <f t="shared" si="102"/>
        <v>OK</v>
      </c>
      <c r="X414" t="str">
        <f t="shared" si="103"/>
        <v>OK</v>
      </c>
      <c r="Y414" t="str">
        <f t="shared" si="104"/>
        <v>OK</v>
      </c>
      <c r="Z414">
        <v>409</v>
      </c>
      <c r="AA414">
        <v>411</v>
      </c>
      <c r="AB414" t="s">
        <v>2639</v>
      </c>
      <c r="AC414" t="s">
        <v>410</v>
      </c>
      <c r="AD414" t="s">
        <v>476</v>
      </c>
      <c r="AE414" t="s">
        <v>845</v>
      </c>
      <c r="AG414" t="s">
        <v>897</v>
      </c>
      <c r="AI414" t="s">
        <v>2660</v>
      </c>
      <c r="AJ414" t="s">
        <v>1408</v>
      </c>
      <c r="AK414" t="s">
        <v>2639</v>
      </c>
      <c r="AL414" t="s">
        <v>2640</v>
      </c>
      <c r="AN414" t="str">
        <f t="shared" si="106"/>
        <v>OK</v>
      </c>
      <c r="AO414" t="str">
        <f t="shared" si="107"/>
        <v>OK</v>
      </c>
      <c r="AP414" t="str">
        <f t="shared" si="108"/>
        <v>OK</v>
      </c>
      <c r="AR414" t="str">
        <f t="shared" si="109"/>
        <v>OK</v>
      </c>
      <c r="AS414" t="str">
        <f t="shared" si="110"/>
        <v>OK</v>
      </c>
      <c r="AT414" t="str">
        <f t="shared" si="111"/>
        <v>NOK</v>
      </c>
      <c r="AU414" t="str">
        <f t="shared" si="112"/>
        <v>OK</v>
      </c>
      <c r="AV414" t="str">
        <f t="shared" si="113"/>
        <v>OK</v>
      </c>
      <c r="AW414" t="str">
        <f t="shared" si="114"/>
        <v>OK</v>
      </c>
    </row>
    <row r="415" spans="1:49">
      <c r="A415">
        <f>Dbase_velden_versie4_2!A411</f>
        <v>411</v>
      </c>
      <c r="B415" t="str">
        <f>Dbase_velden_versie4_2!B411</f>
        <v>TXT_SS_S'_2%</v>
      </c>
      <c r="C415" t="str">
        <f>Dbase_velden_versie4_2!C411</f>
        <v>kPa</v>
      </c>
      <c r="D415" t="str">
        <f>Dbase_velden_versie4_2!D411</f>
        <v>Gemiddelde effectieve normaalspanning bij 2% rek</v>
      </c>
      <c r="E415" t="str">
        <f>Dbase_velden_versie4_2!E411</f>
        <v>Double</v>
      </c>
      <c r="F415">
        <f>Dbase_velden_versie4_2!F411</f>
        <v>0</v>
      </c>
      <c r="G415" t="str">
        <f>Dbase_velden_versie4_2!G411</f>
        <v>TXT SS S' 2%</v>
      </c>
      <c r="H415" t="str">
        <f>Dbase_velden_versie4_2!H411</f>
        <v>[kPa]</v>
      </c>
      <c r="I415" t="str">
        <f>Dbase_velden_versie4_2!I411</f>
        <v>TXT_SS</v>
      </c>
      <c r="J415" t="str">
        <f>Dbase_velden_versie4_2!J411</f>
        <v>Triaxiaalproeven single stage (CU SS)</v>
      </c>
      <c r="K415">
        <v>411</v>
      </c>
      <c r="L415" t="str">
        <v>TXT_SS_S'_2%</v>
      </c>
      <c r="M415" t="str">
        <v>kPa</v>
      </c>
      <c r="N415" t="str">
        <v>Gemiddelde effectieve normaalspanning bij 2% rek</v>
      </c>
      <c r="O415" t="str">
        <v>Double</v>
      </c>
      <c r="P415">
        <v>0</v>
      </c>
      <c r="Q415" t="str">
        <v>TXT SS S' 2%</v>
      </c>
      <c r="R415" t="str">
        <v>[kPa]</v>
      </c>
      <c r="S415" t="str">
        <f t="shared" si="105"/>
        <v>OK</v>
      </c>
      <c r="T415" t="str">
        <f t="shared" si="99"/>
        <v>OK</v>
      </c>
      <c r="U415" t="str">
        <f t="shared" si="100"/>
        <v>OK</v>
      </c>
      <c r="V415" t="str">
        <f t="shared" si="101"/>
        <v>OK</v>
      </c>
      <c r="W415" t="str">
        <f t="shared" si="102"/>
        <v>OK</v>
      </c>
      <c r="X415" t="str">
        <f t="shared" si="103"/>
        <v>OK</v>
      </c>
      <c r="Y415" t="str">
        <f t="shared" si="104"/>
        <v>OK</v>
      </c>
      <c r="Z415">
        <v>410</v>
      </c>
      <c r="AA415">
        <v>412</v>
      </c>
      <c r="AB415" t="s">
        <v>2639</v>
      </c>
      <c r="AC415" t="s">
        <v>411</v>
      </c>
      <c r="AD415" t="s">
        <v>470</v>
      </c>
      <c r="AE415" t="s">
        <v>846</v>
      </c>
      <c r="AG415" t="s">
        <v>897</v>
      </c>
      <c r="AI415" t="s">
        <v>2661</v>
      </c>
      <c r="AJ415" t="s">
        <v>1402</v>
      </c>
      <c r="AK415" t="s">
        <v>2639</v>
      </c>
      <c r="AL415" t="s">
        <v>2640</v>
      </c>
      <c r="AN415" t="str">
        <f t="shared" si="106"/>
        <v>OK</v>
      </c>
      <c r="AO415" t="str">
        <f t="shared" si="107"/>
        <v>OK</v>
      </c>
      <c r="AP415" t="str">
        <f t="shared" si="108"/>
        <v>OK</v>
      </c>
      <c r="AR415" t="str">
        <f t="shared" si="109"/>
        <v>OK</v>
      </c>
      <c r="AS415" t="str">
        <f t="shared" si="110"/>
        <v>OK</v>
      </c>
      <c r="AT415" t="str">
        <f t="shared" si="111"/>
        <v>NOK</v>
      </c>
      <c r="AU415" t="str">
        <f t="shared" si="112"/>
        <v>OK</v>
      </c>
      <c r="AV415" t="str">
        <f t="shared" si="113"/>
        <v>OK</v>
      </c>
      <c r="AW415" t="str">
        <f t="shared" si="114"/>
        <v>OK</v>
      </c>
    </row>
    <row r="416" spans="1:49">
      <c r="A416">
        <f>Dbase_velden_versie4_2!A412</f>
        <v>412</v>
      </c>
      <c r="B416" t="str">
        <f>Dbase_velden_versie4_2!B412</f>
        <v>TXT_SS_T_2%</v>
      </c>
      <c r="C416" t="str">
        <f>Dbase_velden_versie4_2!C412</f>
        <v>kPa</v>
      </c>
      <c r="D416" t="str">
        <f>Dbase_velden_versie4_2!D412</f>
        <v>Schuifspanning bij 2% rek</v>
      </c>
      <c r="E416" t="str">
        <f>Dbase_velden_versie4_2!E412</f>
        <v>Double</v>
      </c>
      <c r="F416">
        <f>Dbase_velden_versie4_2!F412</f>
        <v>0</v>
      </c>
      <c r="G416" t="str">
        <f>Dbase_velden_versie4_2!G412</f>
        <v>TXT SS T 2%</v>
      </c>
      <c r="H416" t="str">
        <f>Dbase_velden_versie4_2!H412</f>
        <v>[kPa]</v>
      </c>
      <c r="I416" t="str">
        <f>Dbase_velden_versie4_2!I412</f>
        <v>TXT_SS</v>
      </c>
      <c r="J416" t="str">
        <f>Dbase_velden_versie4_2!J412</f>
        <v>Triaxiaalproeven single stage (CU SS)</v>
      </c>
      <c r="K416">
        <v>412</v>
      </c>
      <c r="L416" t="str">
        <v>TXT_SS_T_2%</v>
      </c>
      <c r="M416" t="str">
        <v>kPa</v>
      </c>
      <c r="N416" t="str">
        <v>Schuifspanning bij 2% rek</v>
      </c>
      <c r="O416" t="str">
        <v>Double</v>
      </c>
      <c r="P416">
        <v>0</v>
      </c>
      <c r="Q416" t="str">
        <v>TXT SS T 2%</v>
      </c>
      <c r="R416" t="str">
        <v>[kPa]</v>
      </c>
      <c r="S416" t="str">
        <f t="shared" si="105"/>
        <v>OK</v>
      </c>
      <c r="T416" t="str">
        <f t="shared" si="99"/>
        <v>OK</v>
      </c>
      <c r="U416" t="str">
        <f t="shared" si="100"/>
        <v>OK</v>
      </c>
      <c r="V416" t="str">
        <f t="shared" si="101"/>
        <v>OK</v>
      </c>
      <c r="W416" t="str">
        <f t="shared" si="102"/>
        <v>OK</v>
      </c>
      <c r="X416" t="str">
        <f t="shared" si="103"/>
        <v>OK</v>
      </c>
      <c r="Y416" t="str">
        <f t="shared" si="104"/>
        <v>OK</v>
      </c>
      <c r="Z416">
        <v>411</v>
      </c>
      <c r="AA416">
        <v>413</v>
      </c>
      <c r="AB416" t="s">
        <v>2639</v>
      </c>
      <c r="AC416" t="s">
        <v>412</v>
      </c>
      <c r="AD416" t="s">
        <v>470</v>
      </c>
      <c r="AE416" t="s">
        <v>847</v>
      </c>
      <c r="AG416" t="s">
        <v>897</v>
      </c>
      <c r="AI416" t="s">
        <v>2623</v>
      </c>
      <c r="AJ416" t="s">
        <v>1402</v>
      </c>
      <c r="AK416" t="s">
        <v>2639</v>
      </c>
      <c r="AL416" t="s">
        <v>2640</v>
      </c>
      <c r="AN416" t="str">
        <f t="shared" si="106"/>
        <v>OK</v>
      </c>
      <c r="AO416" t="str">
        <f t="shared" si="107"/>
        <v>OK</v>
      </c>
      <c r="AP416" t="str">
        <f t="shared" si="108"/>
        <v>OK</v>
      </c>
      <c r="AR416" t="str">
        <f t="shared" si="109"/>
        <v>OK</v>
      </c>
      <c r="AS416" t="str">
        <f t="shared" si="110"/>
        <v>OK</v>
      </c>
      <c r="AT416" t="str">
        <f t="shared" si="111"/>
        <v>NOK</v>
      </c>
      <c r="AU416" t="str">
        <f t="shared" si="112"/>
        <v>OK</v>
      </c>
      <c r="AV416" t="str">
        <f t="shared" si="113"/>
        <v>OK</v>
      </c>
      <c r="AW416" t="str">
        <f t="shared" si="114"/>
        <v>OK</v>
      </c>
    </row>
    <row r="417" spans="1:49">
      <c r="A417">
        <f>Dbase_velden_versie4_2!A413</f>
        <v>413</v>
      </c>
      <c r="B417" t="str">
        <f>Dbase_velden_versie4_2!B413</f>
        <v>TXT_SS_S'_5%</v>
      </c>
      <c r="C417" t="str">
        <f>Dbase_velden_versie4_2!C413</f>
        <v>kPa</v>
      </c>
      <c r="D417" t="str">
        <f>Dbase_velden_versie4_2!D413</f>
        <v>Gemiddelde effectieve normaalspanning bij 5% rek</v>
      </c>
      <c r="E417" t="str">
        <f>Dbase_velden_versie4_2!E413</f>
        <v>Double</v>
      </c>
      <c r="F417">
        <f>Dbase_velden_versie4_2!F413</f>
        <v>0</v>
      </c>
      <c r="G417" t="str">
        <f>Dbase_velden_versie4_2!G413</f>
        <v>TXT SS S' 5%</v>
      </c>
      <c r="H417" t="str">
        <f>Dbase_velden_versie4_2!H413</f>
        <v>[kPa]</v>
      </c>
      <c r="I417" t="str">
        <f>Dbase_velden_versie4_2!I413</f>
        <v>TXT_SS</v>
      </c>
      <c r="J417" t="str">
        <f>Dbase_velden_versie4_2!J413</f>
        <v>Triaxiaalproeven single stage (CU SS)</v>
      </c>
      <c r="K417">
        <v>413</v>
      </c>
      <c r="L417" t="str">
        <v>TXT_SS_S'_5%</v>
      </c>
      <c r="M417" t="str">
        <v>kPa</v>
      </c>
      <c r="N417" t="str">
        <v>Gemiddelde effectieve normaalspanning bij 5% rek</v>
      </c>
      <c r="O417" t="str">
        <v>Double</v>
      </c>
      <c r="P417">
        <v>0</v>
      </c>
      <c r="Q417" t="str">
        <v>TXT SS S' 5%</v>
      </c>
      <c r="R417" t="str">
        <v>[kPa]</v>
      </c>
      <c r="S417" t="str">
        <f t="shared" si="105"/>
        <v>OK</v>
      </c>
      <c r="T417" t="str">
        <f t="shared" si="99"/>
        <v>OK</v>
      </c>
      <c r="U417" t="str">
        <f t="shared" si="100"/>
        <v>OK</v>
      </c>
      <c r="V417" t="str">
        <f t="shared" si="101"/>
        <v>OK</v>
      </c>
      <c r="W417" t="str">
        <f t="shared" si="102"/>
        <v>OK</v>
      </c>
      <c r="X417" t="str">
        <f t="shared" si="103"/>
        <v>OK</v>
      </c>
      <c r="Y417" t="str">
        <f t="shared" si="104"/>
        <v>OK</v>
      </c>
      <c r="Z417">
        <v>412</v>
      </c>
      <c r="AA417">
        <v>414</v>
      </c>
      <c r="AB417" t="s">
        <v>2639</v>
      </c>
      <c r="AC417" t="s">
        <v>413</v>
      </c>
      <c r="AD417" t="s">
        <v>470</v>
      </c>
      <c r="AE417" t="s">
        <v>848</v>
      </c>
      <c r="AG417" t="s">
        <v>897</v>
      </c>
      <c r="AI417" t="s">
        <v>2662</v>
      </c>
      <c r="AJ417" t="s">
        <v>1402</v>
      </c>
      <c r="AK417" t="s">
        <v>2639</v>
      </c>
      <c r="AL417" t="s">
        <v>2640</v>
      </c>
      <c r="AN417" t="str">
        <f t="shared" si="106"/>
        <v>OK</v>
      </c>
      <c r="AO417" t="str">
        <f t="shared" si="107"/>
        <v>OK</v>
      </c>
      <c r="AP417" t="str">
        <f t="shared" si="108"/>
        <v>OK</v>
      </c>
      <c r="AR417" t="str">
        <f t="shared" si="109"/>
        <v>OK</v>
      </c>
      <c r="AS417" t="str">
        <f t="shared" si="110"/>
        <v>OK</v>
      </c>
      <c r="AT417" t="str">
        <f t="shared" si="111"/>
        <v>NOK</v>
      </c>
      <c r="AU417" t="str">
        <f t="shared" si="112"/>
        <v>OK</v>
      </c>
      <c r="AV417" t="str">
        <f t="shared" si="113"/>
        <v>OK</v>
      </c>
      <c r="AW417" t="str">
        <f t="shared" si="114"/>
        <v>OK</v>
      </c>
    </row>
    <row r="418" spans="1:49">
      <c r="A418">
        <f>Dbase_velden_versie4_2!A414</f>
        <v>414</v>
      </c>
      <c r="B418" t="str">
        <f>Dbase_velden_versie4_2!B414</f>
        <v>TXT_SS_T_5%</v>
      </c>
      <c r="C418" t="str">
        <f>Dbase_velden_versie4_2!C414</f>
        <v>kPa</v>
      </c>
      <c r="D418" t="str">
        <f>Dbase_velden_versie4_2!D414</f>
        <v>Schuifspanning bij 5% rek</v>
      </c>
      <c r="E418" t="str">
        <f>Dbase_velden_versie4_2!E414</f>
        <v>Double</v>
      </c>
      <c r="F418">
        <f>Dbase_velden_versie4_2!F414</f>
        <v>0</v>
      </c>
      <c r="G418" t="str">
        <f>Dbase_velden_versie4_2!G414</f>
        <v>TXT SS T 5%</v>
      </c>
      <c r="H418" t="str">
        <f>Dbase_velden_versie4_2!H414</f>
        <v>[kPa]</v>
      </c>
      <c r="I418" t="str">
        <f>Dbase_velden_versie4_2!I414</f>
        <v>TXT_SS</v>
      </c>
      <c r="J418" t="str">
        <f>Dbase_velden_versie4_2!J414</f>
        <v>Triaxiaalproeven single stage (CU SS)</v>
      </c>
      <c r="K418">
        <v>414</v>
      </c>
      <c r="L418" t="str">
        <v>TXT_SS_T_5%</v>
      </c>
      <c r="M418" t="str">
        <v>kPa</v>
      </c>
      <c r="N418" t="str">
        <v>Schuifspanning bij 5% rek</v>
      </c>
      <c r="O418" t="str">
        <v>Double</v>
      </c>
      <c r="P418">
        <v>0</v>
      </c>
      <c r="Q418" t="str">
        <v>TXT SS T 5%</v>
      </c>
      <c r="R418" t="str">
        <v>[kPa]</v>
      </c>
      <c r="S418" t="str">
        <f t="shared" si="105"/>
        <v>OK</v>
      </c>
      <c r="T418" t="str">
        <f t="shared" si="99"/>
        <v>OK</v>
      </c>
      <c r="U418" t="str">
        <f t="shared" si="100"/>
        <v>OK</v>
      </c>
      <c r="V418" t="str">
        <f t="shared" si="101"/>
        <v>OK</v>
      </c>
      <c r="W418" t="str">
        <f t="shared" si="102"/>
        <v>OK</v>
      </c>
      <c r="X418" t="str">
        <f t="shared" si="103"/>
        <v>OK</v>
      </c>
      <c r="Y418" t="str">
        <f t="shared" si="104"/>
        <v>OK</v>
      </c>
      <c r="Z418">
        <v>413</v>
      </c>
      <c r="AA418">
        <v>415</v>
      </c>
      <c r="AB418" t="s">
        <v>2639</v>
      </c>
      <c r="AC418" t="s">
        <v>414</v>
      </c>
      <c r="AD418" t="s">
        <v>470</v>
      </c>
      <c r="AE418" t="s">
        <v>849</v>
      </c>
      <c r="AG418" t="s">
        <v>897</v>
      </c>
      <c r="AI418" t="s">
        <v>2625</v>
      </c>
      <c r="AJ418" t="s">
        <v>1402</v>
      </c>
      <c r="AK418" t="s">
        <v>2639</v>
      </c>
      <c r="AL418" t="s">
        <v>2640</v>
      </c>
      <c r="AN418" t="str">
        <f t="shared" si="106"/>
        <v>OK</v>
      </c>
      <c r="AO418" t="str">
        <f t="shared" si="107"/>
        <v>OK</v>
      </c>
      <c r="AP418" t="str">
        <f t="shared" si="108"/>
        <v>OK</v>
      </c>
      <c r="AR418" t="str">
        <f t="shared" si="109"/>
        <v>OK</v>
      </c>
      <c r="AS418" t="str">
        <f t="shared" si="110"/>
        <v>OK</v>
      </c>
      <c r="AT418" t="str">
        <f t="shared" si="111"/>
        <v>NOK</v>
      </c>
      <c r="AU418" t="str">
        <f t="shared" si="112"/>
        <v>OK</v>
      </c>
      <c r="AV418" t="str">
        <f t="shared" si="113"/>
        <v>OK</v>
      </c>
      <c r="AW418" t="str">
        <f t="shared" si="114"/>
        <v>OK</v>
      </c>
    </row>
    <row r="419" spans="1:49">
      <c r="A419">
        <f>Dbase_velden_versie4_2!A415</f>
        <v>415</v>
      </c>
      <c r="B419" t="str">
        <f>Dbase_velden_versie4_2!B415</f>
        <v>TXT_SS_S'_15%</v>
      </c>
      <c r="C419" t="str">
        <f>Dbase_velden_versie4_2!C415</f>
        <v>kPa</v>
      </c>
      <c r="D419" t="str">
        <f>Dbase_velden_versie4_2!D415</f>
        <v>Gemiddelde effectieve normaalspanning bij 15% rek</v>
      </c>
      <c r="E419" t="str">
        <f>Dbase_velden_versie4_2!E415</f>
        <v>Double</v>
      </c>
      <c r="F419">
        <f>Dbase_velden_versie4_2!F415</f>
        <v>0</v>
      </c>
      <c r="G419" t="str">
        <f>Dbase_velden_versie4_2!G415</f>
        <v>TXT SS S' 15%</v>
      </c>
      <c r="H419" t="str">
        <f>Dbase_velden_versie4_2!H415</f>
        <v>[kPa]</v>
      </c>
      <c r="I419" t="str">
        <f>Dbase_velden_versie4_2!I415</f>
        <v>TXT_SS</v>
      </c>
      <c r="J419" t="str">
        <f>Dbase_velden_versie4_2!J415</f>
        <v>Triaxiaalproeven single stage (CU SS)</v>
      </c>
      <c r="K419">
        <v>415</v>
      </c>
      <c r="L419" t="str">
        <v>TXT_SS_S'_15%</v>
      </c>
      <c r="M419" t="str">
        <v>kPa</v>
      </c>
      <c r="N419" t="str">
        <v>Gemiddelde effectieve normaalspanning bij 15% rek</v>
      </c>
      <c r="O419" t="str">
        <v>Double</v>
      </c>
      <c r="P419">
        <v>0</v>
      </c>
      <c r="Q419" t="str">
        <v>TXT SS S' 15%</v>
      </c>
      <c r="R419" t="str">
        <v>[kPa]</v>
      </c>
      <c r="S419" t="str">
        <f t="shared" si="105"/>
        <v>OK</v>
      </c>
      <c r="T419" t="str">
        <f t="shared" si="99"/>
        <v>OK</v>
      </c>
      <c r="U419" t="str">
        <f t="shared" si="100"/>
        <v>OK</v>
      </c>
      <c r="V419" t="str">
        <f t="shared" si="101"/>
        <v>OK</v>
      </c>
      <c r="W419" t="str">
        <f t="shared" si="102"/>
        <v>OK</v>
      </c>
      <c r="X419" t="str">
        <f t="shared" si="103"/>
        <v>OK</v>
      </c>
      <c r="Y419" t="str">
        <f t="shared" si="104"/>
        <v>OK</v>
      </c>
      <c r="Z419">
        <v>414</v>
      </c>
      <c r="AA419">
        <v>416</v>
      </c>
      <c r="AB419" t="s">
        <v>2639</v>
      </c>
      <c r="AC419" t="s">
        <v>415</v>
      </c>
      <c r="AD419" t="s">
        <v>470</v>
      </c>
      <c r="AE419" t="s">
        <v>850</v>
      </c>
      <c r="AG419" t="s">
        <v>897</v>
      </c>
      <c r="AI419" t="s">
        <v>2663</v>
      </c>
      <c r="AJ419" t="s">
        <v>1402</v>
      </c>
      <c r="AK419" t="s">
        <v>2639</v>
      </c>
      <c r="AL419" t="s">
        <v>2640</v>
      </c>
      <c r="AN419" t="str">
        <f t="shared" si="106"/>
        <v>OK</v>
      </c>
      <c r="AO419" t="str">
        <f t="shared" si="107"/>
        <v>OK</v>
      </c>
      <c r="AP419" t="str">
        <f t="shared" si="108"/>
        <v>OK</v>
      </c>
      <c r="AR419" t="str">
        <f t="shared" si="109"/>
        <v>OK</v>
      </c>
      <c r="AS419" t="str">
        <f t="shared" si="110"/>
        <v>OK</v>
      </c>
      <c r="AT419" t="str">
        <f t="shared" si="111"/>
        <v>NOK</v>
      </c>
      <c r="AU419" t="str">
        <f t="shared" si="112"/>
        <v>OK</v>
      </c>
      <c r="AV419" t="str">
        <f t="shared" si="113"/>
        <v>OK</v>
      </c>
      <c r="AW419" t="str">
        <f t="shared" si="114"/>
        <v>OK</v>
      </c>
    </row>
    <row r="420" spans="1:49">
      <c r="A420">
        <f>Dbase_velden_versie4_2!A416</f>
        <v>416</v>
      </c>
      <c r="B420" t="str">
        <f>Dbase_velden_versie4_2!B416</f>
        <v>TXT_SS_T_15%</v>
      </c>
      <c r="C420" t="str">
        <f>Dbase_velden_versie4_2!C416</f>
        <v>kPa</v>
      </c>
      <c r="D420" t="str">
        <f>Dbase_velden_versie4_2!D416</f>
        <v>Schuifspanning bij 15% rek</v>
      </c>
      <c r="E420" t="str">
        <f>Dbase_velden_versie4_2!E416</f>
        <v>Double</v>
      </c>
      <c r="F420">
        <f>Dbase_velden_versie4_2!F416</f>
        <v>0</v>
      </c>
      <c r="G420" t="str">
        <f>Dbase_velden_versie4_2!G416</f>
        <v>TXT SS T 15%</v>
      </c>
      <c r="H420" t="str">
        <f>Dbase_velden_versie4_2!H416</f>
        <v>[kPa]</v>
      </c>
      <c r="I420" t="str">
        <f>Dbase_velden_versie4_2!I416</f>
        <v>TXT_SS</v>
      </c>
      <c r="J420" t="str">
        <f>Dbase_velden_versie4_2!J416</f>
        <v>Triaxiaalproeven single stage (CU SS)</v>
      </c>
      <c r="K420">
        <v>416</v>
      </c>
      <c r="L420" t="str">
        <v>TXT_SS_T_15%</v>
      </c>
      <c r="M420" t="str">
        <v>kPa</v>
      </c>
      <c r="N420" t="str">
        <v>Schuifspanning bij 15% rek</v>
      </c>
      <c r="O420" t="str">
        <v>Double</v>
      </c>
      <c r="P420">
        <v>0</v>
      </c>
      <c r="Q420" t="str">
        <v>TXT SS T 15%</v>
      </c>
      <c r="R420" t="str">
        <v>[kPa]</v>
      </c>
      <c r="S420" t="str">
        <f t="shared" si="105"/>
        <v>OK</v>
      </c>
      <c r="T420" t="str">
        <f t="shared" si="99"/>
        <v>OK</v>
      </c>
      <c r="U420" t="str">
        <f t="shared" si="100"/>
        <v>OK</v>
      </c>
      <c r="V420" t="str">
        <f t="shared" si="101"/>
        <v>OK</v>
      </c>
      <c r="W420" t="str">
        <f t="shared" si="102"/>
        <v>OK</v>
      </c>
      <c r="X420" t="str">
        <f t="shared" si="103"/>
        <v>OK</v>
      </c>
      <c r="Y420" t="str">
        <f t="shared" si="104"/>
        <v>OK</v>
      </c>
      <c r="Z420">
        <v>415</v>
      </c>
      <c r="AA420">
        <v>417</v>
      </c>
      <c r="AB420" t="s">
        <v>2639</v>
      </c>
      <c r="AC420" t="s">
        <v>416</v>
      </c>
      <c r="AD420" t="s">
        <v>470</v>
      </c>
      <c r="AE420" t="s">
        <v>851</v>
      </c>
      <c r="AG420" t="s">
        <v>897</v>
      </c>
      <c r="AI420" t="s">
        <v>2629</v>
      </c>
      <c r="AJ420" t="s">
        <v>1402</v>
      </c>
      <c r="AK420" t="s">
        <v>2639</v>
      </c>
      <c r="AL420" t="s">
        <v>2640</v>
      </c>
      <c r="AN420" t="str">
        <f t="shared" si="106"/>
        <v>OK</v>
      </c>
      <c r="AO420" t="str">
        <f t="shared" si="107"/>
        <v>OK</v>
      </c>
      <c r="AP420" t="str">
        <f t="shared" si="108"/>
        <v>OK</v>
      </c>
      <c r="AR420" t="str">
        <f t="shared" si="109"/>
        <v>OK</v>
      </c>
      <c r="AS420" t="str">
        <f t="shared" si="110"/>
        <v>OK</v>
      </c>
      <c r="AT420" t="str">
        <f t="shared" si="111"/>
        <v>NOK</v>
      </c>
      <c r="AU420" t="str">
        <f t="shared" si="112"/>
        <v>OK</v>
      </c>
      <c r="AV420" t="str">
        <f t="shared" si="113"/>
        <v>OK</v>
      </c>
      <c r="AW420" t="str">
        <f t="shared" si="114"/>
        <v>OK</v>
      </c>
    </row>
    <row r="421" spans="1:49">
      <c r="A421">
        <f>Dbase_velden_versie4_2!A417</f>
        <v>417</v>
      </c>
      <c r="B421" t="str">
        <f>Dbase_velden_versie4_2!B417</f>
        <v>TXT_SS_S'_BIJ_T_PIEK</v>
      </c>
      <c r="C421" t="str">
        <f>Dbase_velden_versie4_2!C417</f>
        <v>kPa</v>
      </c>
      <c r="D421" t="str">
        <f>Dbase_velden_versie4_2!D417</f>
        <v>Gemiddelde effectieve normaalspanning bij de maximale schuifspanning (T_PIEK)</v>
      </c>
      <c r="E421" t="str">
        <f>Dbase_velden_versie4_2!E417</f>
        <v>Double</v>
      </c>
      <c r="F421">
        <f>Dbase_velden_versie4_2!F417</f>
        <v>0</v>
      </c>
      <c r="G421" t="str">
        <f>Dbase_velden_versie4_2!G417</f>
        <v>TXT SS S' BIJ T PIEK</v>
      </c>
      <c r="H421" t="str">
        <f>Dbase_velden_versie4_2!H417</f>
        <v>[kPa]</v>
      </c>
      <c r="I421" t="str">
        <f>Dbase_velden_versie4_2!I417</f>
        <v>TXT_SS</v>
      </c>
      <c r="J421" t="str">
        <f>Dbase_velden_versie4_2!J417</f>
        <v>Triaxiaalproeven single stage (CU SS)</v>
      </c>
      <c r="K421">
        <v>417</v>
      </c>
      <c r="L421" t="str">
        <v>TXT_SS_S'_BIJ_T_PIEK</v>
      </c>
      <c r="M421" t="str">
        <v>kPa</v>
      </c>
      <c r="N421" t="str">
        <v>Gemiddelde effectieve normaalspanning bij de maximale schuifspanning (T_PIEK)</v>
      </c>
      <c r="O421" t="str">
        <v>Double</v>
      </c>
      <c r="P421">
        <v>0</v>
      </c>
      <c r="Q421" t="str">
        <v>TXT SS S' BIJ T PIEK</v>
      </c>
      <c r="R421" t="str">
        <v>[kPa]</v>
      </c>
      <c r="S421" t="str">
        <f t="shared" si="105"/>
        <v>OK</v>
      </c>
      <c r="T421" t="str">
        <f t="shared" si="99"/>
        <v>OK</v>
      </c>
      <c r="U421" t="str">
        <f t="shared" si="100"/>
        <v>OK</v>
      </c>
      <c r="V421" t="str">
        <f t="shared" si="101"/>
        <v>OK</v>
      </c>
      <c r="W421" t="str">
        <f t="shared" si="102"/>
        <v>OK</v>
      </c>
      <c r="X421" t="str">
        <f t="shared" si="103"/>
        <v>OK</v>
      </c>
      <c r="Y421" t="str">
        <f t="shared" si="104"/>
        <v>OK</v>
      </c>
      <c r="Z421">
        <v>416</v>
      </c>
      <c r="AA421">
        <v>418</v>
      </c>
      <c r="AB421" t="s">
        <v>2639</v>
      </c>
      <c r="AC421" t="s">
        <v>417</v>
      </c>
      <c r="AD421" t="s">
        <v>470</v>
      </c>
      <c r="AE421" t="s">
        <v>852</v>
      </c>
      <c r="AG421" t="s">
        <v>897</v>
      </c>
      <c r="AI421" t="s">
        <v>2664</v>
      </c>
      <c r="AJ421" t="s">
        <v>1402</v>
      </c>
      <c r="AK421" t="s">
        <v>2639</v>
      </c>
      <c r="AL421" t="s">
        <v>2640</v>
      </c>
      <c r="AN421" t="str">
        <f t="shared" si="106"/>
        <v>OK</v>
      </c>
      <c r="AO421" t="str">
        <f t="shared" si="107"/>
        <v>OK</v>
      </c>
      <c r="AP421" t="str">
        <f t="shared" si="108"/>
        <v>OK</v>
      </c>
      <c r="AR421" t="str">
        <f t="shared" si="109"/>
        <v>OK</v>
      </c>
      <c r="AS421" t="str">
        <f t="shared" si="110"/>
        <v>OK</v>
      </c>
      <c r="AT421" t="str">
        <f t="shared" si="111"/>
        <v>NOK</v>
      </c>
      <c r="AU421" t="str">
        <f t="shared" si="112"/>
        <v>OK</v>
      </c>
      <c r="AV421" t="str">
        <f t="shared" si="113"/>
        <v>OK</v>
      </c>
      <c r="AW421" t="str">
        <f t="shared" si="114"/>
        <v>OK</v>
      </c>
    </row>
    <row r="422" spans="1:49">
      <c r="A422">
        <f>Dbase_velden_versie4_2!A418</f>
        <v>418</v>
      </c>
      <c r="B422" t="str">
        <f>Dbase_velden_versie4_2!B418</f>
        <v>TXT_SS_T_PIEK</v>
      </c>
      <c r="C422" t="str">
        <f>Dbase_velden_versie4_2!C418</f>
        <v>kPa</v>
      </c>
      <c r="D422" t="str">
        <f>Dbase_velden_versie4_2!D418</f>
        <v>Maximale schuifspanning (T_PIEK)</v>
      </c>
      <c r="E422" t="str">
        <f>Dbase_velden_versie4_2!E418</f>
        <v>Double</v>
      </c>
      <c r="F422">
        <f>Dbase_velden_versie4_2!F418</f>
        <v>0</v>
      </c>
      <c r="G422" t="str">
        <f>Dbase_velden_versie4_2!G418</f>
        <v>TXT SS T PIEK</v>
      </c>
      <c r="H422" t="str">
        <f>Dbase_velden_versie4_2!H418</f>
        <v>[kPa]</v>
      </c>
      <c r="I422" t="str">
        <f>Dbase_velden_versie4_2!I418</f>
        <v>TXT_SS</v>
      </c>
      <c r="J422" t="str">
        <f>Dbase_velden_versie4_2!J418</f>
        <v>Triaxiaalproeven single stage (CU SS)</v>
      </c>
      <c r="K422">
        <v>418</v>
      </c>
      <c r="L422" t="str">
        <v>TXT_SS_T_PIEK</v>
      </c>
      <c r="M422" t="str">
        <v>kPa</v>
      </c>
      <c r="N422" t="str">
        <v>Maximale schuifspanning (T_PIEK)</v>
      </c>
      <c r="O422" t="str">
        <v>Double</v>
      </c>
      <c r="P422">
        <v>0</v>
      </c>
      <c r="Q422" t="str">
        <v>TXT SS T PIEK</v>
      </c>
      <c r="R422" t="str">
        <v>[kPa]</v>
      </c>
      <c r="S422" t="str">
        <f t="shared" si="105"/>
        <v>OK</v>
      </c>
      <c r="T422" t="str">
        <f t="shared" si="99"/>
        <v>OK</v>
      </c>
      <c r="U422" t="str">
        <f t="shared" si="100"/>
        <v>OK</v>
      </c>
      <c r="V422" t="str">
        <f t="shared" si="101"/>
        <v>OK</v>
      </c>
      <c r="W422" t="str">
        <f t="shared" si="102"/>
        <v>OK</v>
      </c>
      <c r="X422" t="str">
        <f t="shared" si="103"/>
        <v>OK</v>
      </c>
      <c r="Y422" t="str">
        <f t="shared" si="104"/>
        <v>OK</v>
      </c>
      <c r="Z422">
        <v>417</v>
      </c>
      <c r="AA422">
        <v>419</v>
      </c>
      <c r="AB422" t="s">
        <v>2639</v>
      </c>
      <c r="AC422" t="s">
        <v>418</v>
      </c>
      <c r="AD422" t="s">
        <v>470</v>
      </c>
      <c r="AE422" t="s">
        <v>853</v>
      </c>
      <c r="AG422" t="s">
        <v>897</v>
      </c>
      <c r="AI422" t="s">
        <v>2633</v>
      </c>
      <c r="AJ422" t="s">
        <v>1402</v>
      </c>
      <c r="AK422" t="s">
        <v>2639</v>
      </c>
      <c r="AL422" t="s">
        <v>2640</v>
      </c>
      <c r="AN422" t="str">
        <f t="shared" si="106"/>
        <v>OK</v>
      </c>
      <c r="AO422" t="str">
        <f t="shared" si="107"/>
        <v>OK</v>
      </c>
      <c r="AP422" t="str">
        <f t="shared" si="108"/>
        <v>OK</v>
      </c>
      <c r="AR422" t="str">
        <f t="shared" si="109"/>
        <v>OK</v>
      </c>
      <c r="AS422" t="str">
        <f t="shared" si="110"/>
        <v>OK</v>
      </c>
      <c r="AT422" t="str">
        <f t="shared" si="111"/>
        <v>NOK</v>
      </c>
      <c r="AU422" t="str">
        <f t="shared" si="112"/>
        <v>OK</v>
      </c>
      <c r="AV422" t="str">
        <f t="shared" si="113"/>
        <v>OK</v>
      </c>
      <c r="AW422" t="str">
        <f t="shared" si="114"/>
        <v>OK</v>
      </c>
    </row>
    <row r="423" spans="1:49">
      <c r="A423">
        <f>Dbase_velden_versie4_2!A419</f>
        <v>419</v>
      </c>
      <c r="B423" t="str">
        <f>Dbase_velden_versie4_2!B419</f>
        <v>TXT_SS_REK_BIJ_T_PIEK</v>
      </c>
      <c r="C423" t="str">
        <f>Dbase_velden_versie4_2!C419</f>
        <v>%</v>
      </c>
      <c r="D423" t="str">
        <f>Dbase_velden_versie4_2!D419</f>
        <v>Rek bij de maximale schuifspanning (T_PIEK)</v>
      </c>
      <c r="E423" t="str">
        <f>Dbase_velden_versie4_2!E419</f>
        <v>Double</v>
      </c>
      <c r="F423" t="str">
        <f>Dbase_velden_versie4_2!F419</f>
        <v>0% - 100%</v>
      </c>
      <c r="G423" t="str">
        <f>Dbase_velden_versie4_2!G419</f>
        <v>TXT SS REK BIJ T PIEK</v>
      </c>
      <c r="H423" t="str">
        <f>Dbase_velden_versie4_2!H419</f>
        <v>[%]</v>
      </c>
      <c r="I423" t="str">
        <f>Dbase_velden_versie4_2!I419</f>
        <v>TXT_SS</v>
      </c>
      <c r="J423" t="str">
        <f>Dbase_velden_versie4_2!J419</f>
        <v>Triaxiaalproeven single stage (CU SS)</v>
      </c>
      <c r="K423">
        <v>419</v>
      </c>
      <c r="L423" t="str">
        <v>TXT_SS_REK_BIJ_T_PIEK</v>
      </c>
      <c r="M423" t="str">
        <v>%</v>
      </c>
      <c r="N423" t="str">
        <v>Rek bij de maximale schuifspanning (T_PIEK)</v>
      </c>
      <c r="O423" t="str">
        <v>Double</v>
      </c>
      <c r="P423" t="str">
        <v>0% - 100%</v>
      </c>
      <c r="Q423" t="str">
        <v>TXT SS REK BIJ T PIEK</v>
      </c>
      <c r="R423" t="str">
        <v>[%]</v>
      </c>
      <c r="S423" t="str">
        <f t="shared" si="105"/>
        <v>OK</v>
      </c>
      <c r="T423" t="str">
        <f t="shared" si="99"/>
        <v>OK</v>
      </c>
      <c r="U423" t="str">
        <f t="shared" si="100"/>
        <v>OK</v>
      </c>
      <c r="V423" t="str">
        <f t="shared" si="101"/>
        <v>OK</v>
      </c>
      <c r="W423" t="str">
        <f t="shared" si="102"/>
        <v>OK</v>
      </c>
      <c r="X423" t="str">
        <f t="shared" si="103"/>
        <v>OK</v>
      </c>
      <c r="Y423" t="str">
        <f t="shared" si="104"/>
        <v>OK</v>
      </c>
      <c r="Z423">
        <v>418</v>
      </c>
      <c r="AA423">
        <v>420</v>
      </c>
      <c r="AB423" t="s">
        <v>2639</v>
      </c>
      <c r="AC423" t="s">
        <v>419</v>
      </c>
      <c r="AD423" t="s">
        <v>468</v>
      </c>
      <c r="AE423" t="s">
        <v>854</v>
      </c>
      <c r="AG423" t="s">
        <v>897</v>
      </c>
      <c r="AH423" t="s">
        <v>911</v>
      </c>
      <c r="AI423" t="s">
        <v>2665</v>
      </c>
      <c r="AJ423" t="s">
        <v>1400</v>
      </c>
      <c r="AK423" t="s">
        <v>2639</v>
      </c>
      <c r="AL423" t="s">
        <v>2640</v>
      </c>
      <c r="AN423" t="str">
        <f t="shared" si="106"/>
        <v>OK</v>
      </c>
      <c r="AO423" t="str">
        <f t="shared" si="107"/>
        <v>OK</v>
      </c>
      <c r="AP423" t="str">
        <f t="shared" si="108"/>
        <v>OK</v>
      </c>
      <c r="AR423" t="str">
        <f t="shared" si="109"/>
        <v>OK</v>
      </c>
      <c r="AS423" t="str">
        <f t="shared" si="110"/>
        <v>OK</v>
      </c>
      <c r="AT423" t="str">
        <f t="shared" si="111"/>
        <v>NOK</v>
      </c>
      <c r="AU423" t="str">
        <f t="shared" si="112"/>
        <v>OK</v>
      </c>
      <c r="AV423" t="str">
        <f t="shared" si="113"/>
        <v>OK</v>
      </c>
      <c r="AW423" t="str">
        <f t="shared" si="114"/>
        <v>OK</v>
      </c>
    </row>
    <row r="424" spans="1:49">
      <c r="A424">
        <f>Dbase_velden_versie4_2!A420</f>
        <v>420</v>
      </c>
      <c r="B424" t="str">
        <f>Dbase_velden_versie4_2!B420</f>
        <v>TXT_SS_S'_BIJ_T_EIND</v>
      </c>
      <c r="C424" t="str">
        <f>Dbase_velden_versie4_2!C420</f>
        <v>kPa</v>
      </c>
      <c r="D424" t="str">
        <f>Dbase_velden_versie4_2!D420</f>
        <v>Gemiddelde effectieve normaalspanning bij de eind schuifspanning / eindrek (T_EIND)</v>
      </c>
      <c r="E424" t="str">
        <f>Dbase_velden_versie4_2!E420</f>
        <v>Double</v>
      </c>
      <c r="F424">
        <f>Dbase_velden_versie4_2!F420</f>
        <v>0</v>
      </c>
      <c r="G424" t="str">
        <f>Dbase_velden_versie4_2!G420</f>
        <v>TXT SS S' BIJ T EIND</v>
      </c>
      <c r="H424" t="str">
        <f>Dbase_velden_versie4_2!H420</f>
        <v>[kPa]</v>
      </c>
      <c r="I424" t="str">
        <f>Dbase_velden_versie4_2!I420</f>
        <v>TXT_SS</v>
      </c>
      <c r="J424" t="str">
        <f>Dbase_velden_versie4_2!J420</f>
        <v>Triaxiaalproeven single stage (CU SS)</v>
      </c>
      <c r="K424">
        <v>420</v>
      </c>
      <c r="L424" t="str">
        <v>TXT_SS_S'_BIJ_T_EIND</v>
      </c>
      <c r="M424" t="str">
        <v>kPa</v>
      </c>
      <c r="N424" t="str">
        <v>Gemiddelde effectieve normaalspanning bij de eind schuifspanning / eindrek (T_EIND)</v>
      </c>
      <c r="O424" t="str">
        <v>Double</v>
      </c>
      <c r="P424">
        <v>0</v>
      </c>
      <c r="Q424" t="str">
        <v>TXT SS S' BIJ T EIND</v>
      </c>
      <c r="R424" t="str">
        <v>[kPa]</v>
      </c>
      <c r="S424" t="str">
        <f t="shared" si="105"/>
        <v>OK</v>
      </c>
      <c r="T424" t="str">
        <f t="shared" si="99"/>
        <v>OK</v>
      </c>
      <c r="U424" t="str">
        <f t="shared" si="100"/>
        <v>OK</v>
      </c>
      <c r="V424" t="str">
        <f t="shared" si="101"/>
        <v>OK</v>
      </c>
      <c r="W424" t="str">
        <f t="shared" si="102"/>
        <v>OK</v>
      </c>
      <c r="X424" t="str">
        <f t="shared" si="103"/>
        <v>OK</v>
      </c>
      <c r="Y424" t="str">
        <f t="shared" si="104"/>
        <v>OK</v>
      </c>
      <c r="Z424">
        <v>419</v>
      </c>
      <c r="AA424">
        <v>421</v>
      </c>
      <c r="AB424" t="s">
        <v>2639</v>
      </c>
      <c r="AC424" t="s">
        <v>420</v>
      </c>
      <c r="AD424" t="s">
        <v>470</v>
      </c>
      <c r="AE424" t="s">
        <v>855</v>
      </c>
      <c r="AG424" t="s">
        <v>897</v>
      </c>
      <c r="AI424" t="s">
        <v>2666</v>
      </c>
      <c r="AJ424" t="s">
        <v>1402</v>
      </c>
      <c r="AK424" t="s">
        <v>2639</v>
      </c>
      <c r="AL424" t="s">
        <v>2640</v>
      </c>
      <c r="AN424" t="str">
        <f t="shared" si="106"/>
        <v>OK</v>
      </c>
      <c r="AO424" t="str">
        <f t="shared" si="107"/>
        <v>OK</v>
      </c>
      <c r="AP424" t="str">
        <f t="shared" si="108"/>
        <v>OK</v>
      </c>
      <c r="AR424" t="str">
        <f t="shared" si="109"/>
        <v>OK</v>
      </c>
      <c r="AS424" t="str">
        <f t="shared" si="110"/>
        <v>OK</v>
      </c>
      <c r="AT424" t="str">
        <f t="shared" si="111"/>
        <v>NOK</v>
      </c>
      <c r="AU424" t="str">
        <f t="shared" si="112"/>
        <v>OK</v>
      </c>
      <c r="AV424" t="str">
        <f t="shared" si="113"/>
        <v>OK</v>
      </c>
      <c r="AW424" t="str">
        <f t="shared" si="114"/>
        <v>OK</v>
      </c>
    </row>
    <row r="425" spans="1:49">
      <c r="A425">
        <f>Dbase_velden_versie4_2!A421</f>
        <v>421</v>
      </c>
      <c r="B425" t="str">
        <f>Dbase_velden_versie4_2!B421</f>
        <v>TXT_SS_T_EIND</v>
      </c>
      <c r="C425" t="str">
        <f>Dbase_velden_versie4_2!C421</f>
        <v>kPa</v>
      </c>
      <c r="D425" t="str">
        <f>Dbase_velden_versie4_2!D421</f>
        <v>Eind schuifspanning bij de eindrek (T_EIND)</v>
      </c>
      <c r="E425" t="str">
        <f>Dbase_velden_versie4_2!E421</f>
        <v>Double</v>
      </c>
      <c r="F425">
        <f>Dbase_velden_versie4_2!F421</f>
        <v>0</v>
      </c>
      <c r="G425" t="str">
        <f>Dbase_velden_versie4_2!G421</f>
        <v>TXT SS T EIND</v>
      </c>
      <c r="H425" t="str">
        <f>Dbase_velden_versie4_2!H421</f>
        <v>[kPa]</v>
      </c>
      <c r="I425" t="str">
        <f>Dbase_velden_versie4_2!I421</f>
        <v>TXT_SS</v>
      </c>
      <c r="J425" t="str">
        <f>Dbase_velden_versie4_2!J421</f>
        <v>Triaxiaalproeven single stage (CU SS)</v>
      </c>
      <c r="K425">
        <v>421</v>
      </c>
      <c r="L425" t="str">
        <v>TXT_SS_T_EIND</v>
      </c>
      <c r="M425" t="str">
        <v>kPa</v>
      </c>
      <c r="N425" t="str">
        <v>Eind schuifspanning bij de eindrek (T_EIND)</v>
      </c>
      <c r="O425" t="str">
        <v>Double</v>
      </c>
      <c r="P425">
        <v>0</v>
      </c>
      <c r="Q425" t="str">
        <v>TXT SS T EIND</v>
      </c>
      <c r="R425" t="str">
        <v>[kPa]</v>
      </c>
      <c r="S425" t="str">
        <f t="shared" si="105"/>
        <v>OK</v>
      </c>
      <c r="T425" t="str">
        <f t="shared" si="99"/>
        <v>OK</v>
      </c>
      <c r="U425" t="str">
        <f t="shared" si="100"/>
        <v>OK</v>
      </c>
      <c r="V425" t="str">
        <f t="shared" si="101"/>
        <v>OK</v>
      </c>
      <c r="W425" t="str">
        <f t="shared" si="102"/>
        <v>OK</v>
      </c>
      <c r="X425" t="str">
        <f t="shared" si="103"/>
        <v>OK</v>
      </c>
      <c r="Y425" t="str">
        <f t="shared" si="104"/>
        <v>OK</v>
      </c>
      <c r="Z425">
        <v>420</v>
      </c>
      <c r="AA425">
        <v>422</v>
      </c>
      <c r="AB425" t="s">
        <v>2639</v>
      </c>
      <c r="AC425" t="s">
        <v>421</v>
      </c>
      <c r="AD425" t="s">
        <v>470</v>
      </c>
      <c r="AE425" t="s">
        <v>856</v>
      </c>
      <c r="AG425" t="s">
        <v>897</v>
      </c>
      <c r="AI425" t="s">
        <v>2636</v>
      </c>
      <c r="AJ425" t="s">
        <v>1402</v>
      </c>
      <c r="AK425" t="s">
        <v>2639</v>
      </c>
      <c r="AL425" t="s">
        <v>2640</v>
      </c>
      <c r="AN425" t="str">
        <f t="shared" si="106"/>
        <v>OK</v>
      </c>
      <c r="AO425" t="str">
        <f t="shared" si="107"/>
        <v>OK</v>
      </c>
      <c r="AP425" t="str">
        <f t="shared" si="108"/>
        <v>OK</v>
      </c>
      <c r="AR425" t="str">
        <f t="shared" si="109"/>
        <v>OK</v>
      </c>
      <c r="AS425" t="str">
        <f t="shared" si="110"/>
        <v>OK</v>
      </c>
      <c r="AT425" t="str">
        <f t="shared" si="111"/>
        <v>NOK</v>
      </c>
      <c r="AU425" t="str">
        <f t="shared" si="112"/>
        <v>OK</v>
      </c>
      <c r="AV425" t="str">
        <f t="shared" si="113"/>
        <v>OK</v>
      </c>
      <c r="AW425" t="str">
        <f t="shared" si="114"/>
        <v>OK</v>
      </c>
    </row>
    <row r="426" spans="1:49">
      <c r="A426">
        <f>Dbase_velden_versie4_2!A422</f>
        <v>422</v>
      </c>
      <c r="B426" t="str">
        <f>Dbase_velden_versie4_2!B422</f>
        <v>TXT_SS_REK_BIJ_T_EIND</v>
      </c>
      <c r="C426" t="str">
        <f>Dbase_velden_versie4_2!C422</f>
        <v>%</v>
      </c>
      <c r="D426" t="str">
        <f>Dbase_velden_versie4_2!D422</f>
        <v>Eindrek behorend bij de eind schuifspanning (T_EIND)</v>
      </c>
      <c r="E426" t="str">
        <f>Dbase_velden_versie4_2!E422</f>
        <v>Double</v>
      </c>
      <c r="F426">
        <f>Dbase_velden_versie4_2!F422</f>
        <v>0</v>
      </c>
      <c r="G426" t="str">
        <f>Dbase_velden_versie4_2!G422</f>
        <v>TXT SS REK BIJ T EIND</v>
      </c>
      <c r="H426" t="str">
        <f>Dbase_velden_versie4_2!H422</f>
        <v>[%]</v>
      </c>
      <c r="I426" t="str">
        <f>Dbase_velden_versie4_2!I422</f>
        <v>TXT_SS</v>
      </c>
      <c r="J426" t="str">
        <f>Dbase_velden_versie4_2!J422</f>
        <v>Triaxiaalproeven single stage (CU SS)</v>
      </c>
      <c r="K426">
        <v>422</v>
      </c>
      <c r="L426" t="str">
        <v>TXT_SS_REK_BIJ_T_EIND</v>
      </c>
      <c r="M426" t="str">
        <v>%</v>
      </c>
      <c r="N426" t="str">
        <v>Eindrek behorend bij de eind schuifspanning (T_EIND)</v>
      </c>
      <c r="O426" t="str">
        <v>Double</v>
      </c>
      <c r="P426">
        <v>0</v>
      </c>
      <c r="Q426" t="str">
        <v>TXT SS REK BIJ T EIND</v>
      </c>
      <c r="R426" t="str">
        <v>[%]</v>
      </c>
      <c r="S426" t="str">
        <f t="shared" si="105"/>
        <v>OK</v>
      </c>
      <c r="T426" t="str">
        <f t="shared" si="99"/>
        <v>OK</v>
      </c>
      <c r="U426" t="str">
        <f t="shared" si="100"/>
        <v>OK</v>
      </c>
      <c r="V426" t="str">
        <f t="shared" si="101"/>
        <v>OK</v>
      </c>
      <c r="W426" t="str">
        <f t="shared" si="102"/>
        <v>OK</v>
      </c>
      <c r="X426" t="str">
        <f t="shared" si="103"/>
        <v>OK</v>
      </c>
      <c r="Y426" t="str">
        <f t="shared" si="104"/>
        <v>OK</v>
      </c>
      <c r="Z426">
        <v>421</v>
      </c>
      <c r="AA426">
        <v>423</v>
      </c>
      <c r="AB426" t="s">
        <v>2639</v>
      </c>
      <c r="AC426" t="s">
        <v>422</v>
      </c>
      <c r="AD426" t="s">
        <v>468</v>
      </c>
      <c r="AE426" t="s">
        <v>857</v>
      </c>
      <c r="AG426" t="s">
        <v>897</v>
      </c>
      <c r="AI426" t="s">
        <v>2637</v>
      </c>
      <c r="AJ426" t="s">
        <v>1400</v>
      </c>
      <c r="AK426" t="s">
        <v>2639</v>
      </c>
      <c r="AL426" t="s">
        <v>2640</v>
      </c>
      <c r="AN426" t="str">
        <f t="shared" si="106"/>
        <v>OK</v>
      </c>
      <c r="AO426" t="str">
        <f t="shared" si="107"/>
        <v>OK</v>
      </c>
      <c r="AP426" t="str">
        <f t="shared" si="108"/>
        <v>OK</v>
      </c>
      <c r="AR426" t="str">
        <f t="shared" si="109"/>
        <v>OK</v>
      </c>
      <c r="AS426" t="str">
        <f t="shared" si="110"/>
        <v>OK</v>
      </c>
      <c r="AT426" t="str">
        <f t="shared" si="111"/>
        <v>NOK</v>
      </c>
      <c r="AU426" t="str">
        <f t="shared" si="112"/>
        <v>OK</v>
      </c>
      <c r="AV426" t="str">
        <f t="shared" si="113"/>
        <v>OK</v>
      </c>
      <c r="AW426" t="str">
        <f t="shared" si="114"/>
        <v>OK</v>
      </c>
    </row>
    <row r="427" spans="1:49">
      <c r="A427">
        <f>Dbase_velden_versie4_2!A423</f>
        <v>423</v>
      </c>
      <c r="B427" t="str">
        <f>Dbase_velden_versie4_2!B423</f>
        <v>TXT_SS_E_UNDR50</v>
      </c>
      <c r="C427" t="str">
        <f>Dbase_velden_versie4_2!C423</f>
        <v>MPa</v>
      </c>
      <c r="D427" t="str">
        <f>Dbase_velden_versie4_2!D423</f>
        <v>Ongedraineerde elasticiteit Eundrained;50%. Bepaald bij 50% van de maximale schuifspanning [T_50% = (T_0:start schuifspanning + T_PIEK:maximale schuifspanning) / 2]</v>
      </c>
      <c r="E427" t="str">
        <f>Dbase_velden_versie4_2!E423</f>
        <v>Double</v>
      </c>
      <c r="F427">
        <f>Dbase_velden_versie4_2!F423</f>
        <v>0</v>
      </c>
      <c r="G427" t="str">
        <f>Dbase_velden_versie4_2!G423</f>
        <v>TXT SS E UNDR50</v>
      </c>
      <c r="H427" t="str">
        <f>Dbase_velden_versie4_2!H423</f>
        <v>[MPa]</v>
      </c>
      <c r="I427" t="str">
        <f>Dbase_velden_versie4_2!I423</f>
        <v>TXT_SS</v>
      </c>
      <c r="J427" t="str">
        <f>Dbase_velden_versie4_2!J423</f>
        <v>Triaxiaalproeven single stage (CU SS)</v>
      </c>
      <c r="K427">
        <v>423</v>
      </c>
      <c r="L427" t="str">
        <v>TXT_SS_E_UNDR50</v>
      </c>
      <c r="M427" t="str">
        <v>MPa</v>
      </c>
      <c r="N427" t="str">
        <v>Ongedraineerde elasticiteit Eundrained;50%. Bepaald bij 50% van de maximale schuifspanning [T_50% = (T_0:start schuifspanning + T_PIEK:maximale schuifspanning) / 2]</v>
      </c>
      <c r="O427" t="str">
        <v>Double</v>
      </c>
      <c r="P427">
        <v>0</v>
      </c>
      <c r="Q427" t="str">
        <v>TXT SS E UNDR50</v>
      </c>
      <c r="R427" t="str">
        <v>[MPa]</v>
      </c>
      <c r="S427" t="str">
        <f t="shared" si="105"/>
        <v>OK</v>
      </c>
      <c r="T427" t="str">
        <f t="shared" si="99"/>
        <v>OK</v>
      </c>
      <c r="U427" t="str">
        <f t="shared" si="100"/>
        <v>OK</v>
      </c>
      <c r="V427" t="str">
        <f t="shared" si="101"/>
        <v>OK</v>
      </c>
      <c r="W427" t="str">
        <f t="shared" si="102"/>
        <v>OK</v>
      </c>
      <c r="X427" t="str">
        <f t="shared" si="103"/>
        <v>OK</v>
      </c>
      <c r="Y427" t="str">
        <f t="shared" si="104"/>
        <v>OK</v>
      </c>
      <c r="Z427">
        <v>422</v>
      </c>
      <c r="AA427">
        <v>424</v>
      </c>
      <c r="AB427" t="s">
        <v>2639</v>
      </c>
      <c r="AC427" t="s">
        <v>423</v>
      </c>
      <c r="AD427" t="s">
        <v>482</v>
      </c>
      <c r="AE427" t="s">
        <v>858</v>
      </c>
      <c r="AG427" t="s">
        <v>897</v>
      </c>
      <c r="AI427" t="s">
        <v>2667</v>
      </c>
      <c r="AJ427" t="s">
        <v>1414</v>
      </c>
      <c r="AK427" t="s">
        <v>2639</v>
      </c>
      <c r="AL427" t="s">
        <v>2640</v>
      </c>
      <c r="AN427" t="str">
        <f t="shared" si="106"/>
        <v>OK</v>
      </c>
      <c r="AO427" t="str">
        <f t="shared" si="107"/>
        <v>OK</v>
      </c>
      <c r="AP427" t="str">
        <f t="shared" si="108"/>
        <v>OK</v>
      </c>
      <c r="AR427" t="str">
        <f t="shared" si="109"/>
        <v>OK</v>
      </c>
      <c r="AS427" t="str">
        <f t="shared" si="110"/>
        <v>OK</v>
      </c>
      <c r="AT427" t="str">
        <f t="shared" si="111"/>
        <v>NOK</v>
      </c>
      <c r="AU427" t="str">
        <f t="shared" si="112"/>
        <v>OK</v>
      </c>
      <c r="AV427" t="str">
        <f t="shared" si="113"/>
        <v>OK</v>
      </c>
      <c r="AW427" t="str">
        <f t="shared" si="114"/>
        <v>OK</v>
      </c>
    </row>
    <row r="428" spans="1:49">
      <c r="A428">
        <f>Dbase_velden_versie4_2!A424</f>
        <v>424</v>
      </c>
      <c r="B428" t="str">
        <f>Dbase_velden_versie4_2!B424</f>
        <v>TXT_SS_REK_BIJ_E_UNDR50</v>
      </c>
      <c r="C428" t="str">
        <f>Dbase_velden_versie4_2!C424</f>
        <v>%</v>
      </c>
      <c r="D428" t="str">
        <f>Dbase_velden_versie4_2!D424</f>
        <v>Rek behorend bij de ongedraineerde elasticiteit Eundrained;50%</v>
      </c>
      <c r="E428" t="str">
        <f>Dbase_velden_versie4_2!E424</f>
        <v>Double</v>
      </c>
      <c r="F428" t="str">
        <f>Dbase_velden_versie4_2!F424</f>
        <v>0% - 100%</v>
      </c>
      <c r="G428" t="str">
        <f>Dbase_velden_versie4_2!G424</f>
        <v>TXT SS REK BIJ E UNDR50</v>
      </c>
      <c r="H428" t="str">
        <f>Dbase_velden_versie4_2!H424</f>
        <v>[%]</v>
      </c>
      <c r="I428" t="str">
        <f>Dbase_velden_versie4_2!I424</f>
        <v>TXT_SS</v>
      </c>
      <c r="J428" t="str">
        <f>Dbase_velden_versie4_2!J424</f>
        <v>Triaxiaalproeven single stage (CU SS)</v>
      </c>
      <c r="K428">
        <v>424</v>
      </c>
      <c r="L428" t="str">
        <v>TXT_SS_REK_BIJ_E_UNDR50</v>
      </c>
      <c r="M428" t="str">
        <v>%</v>
      </c>
      <c r="N428" t="str">
        <v>Rek behorend bij de ongedraineerde elasticiteit Eundrained;50%</v>
      </c>
      <c r="O428" t="str">
        <v>Double</v>
      </c>
      <c r="P428" t="str">
        <v>0% - 100%</v>
      </c>
      <c r="Q428" t="str">
        <v>TXT SS REK BIJ E UNDR50</v>
      </c>
      <c r="R428" t="str">
        <v>[%]</v>
      </c>
      <c r="S428" t="str">
        <f t="shared" si="105"/>
        <v>OK</v>
      </c>
      <c r="T428" t="str">
        <f t="shared" si="99"/>
        <v>OK</v>
      </c>
      <c r="U428" t="str">
        <f t="shared" si="100"/>
        <v>OK</v>
      </c>
      <c r="V428" t="str">
        <f t="shared" si="101"/>
        <v>OK</v>
      </c>
      <c r="W428" t="str">
        <f t="shared" si="102"/>
        <v>OK</v>
      </c>
      <c r="X428" t="str">
        <f t="shared" si="103"/>
        <v>OK</v>
      </c>
      <c r="Y428" t="str">
        <f t="shared" si="104"/>
        <v>OK</v>
      </c>
      <c r="Z428">
        <v>423</v>
      </c>
      <c r="AA428">
        <v>425</v>
      </c>
      <c r="AB428" t="s">
        <v>2639</v>
      </c>
      <c r="AC428" t="s">
        <v>424</v>
      </c>
      <c r="AD428" t="s">
        <v>468</v>
      </c>
      <c r="AE428" t="s">
        <v>859</v>
      </c>
      <c r="AG428" t="s">
        <v>897</v>
      </c>
      <c r="AH428" t="s">
        <v>911</v>
      </c>
      <c r="AI428" t="s">
        <v>2668</v>
      </c>
      <c r="AJ428" t="s">
        <v>1400</v>
      </c>
      <c r="AK428" t="s">
        <v>2639</v>
      </c>
      <c r="AL428" t="s">
        <v>2640</v>
      </c>
      <c r="AN428" t="str">
        <f t="shared" si="106"/>
        <v>OK</v>
      </c>
      <c r="AO428" t="str">
        <f t="shared" si="107"/>
        <v>OK</v>
      </c>
      <c r="AP428" t="str">
        <f t="shared" si="108"/>
        <v>OK</v>
      </c>
      <c r="AR428" t="str">
        <f t="shared" si="109"/>
        <v>OK</v>
      </c>
      <c r="AS428" t="str">
        <f t="shared" si="110"/>
        <v>OK</v>
      </c>
      <c r="AT428" t="str">
        <f t="shared" si="111"/>
        <v>NOK</v>
      </c>
      <c r="AU428" t="str">
        <f t="shared" si="112"/>
        <v>OK</v>
      </c>
      <c r="AV428" t="str">
        <f t="shared" si="113"/>
        <v>OK</v>
      </c>
      <c r="AW428" t="str">
        <f t="shared" si="114"/>
        <v>OK</v>
      </c>
    </row>
    <row r="429" spans="1:49">
      <c r="A429">
        <f>Dbase_velden_versie4_2!A425</f>
        <v>425</v>
      </c>
      <c r="B429" t="str">
        <f>Dbase_velden_versie4_2!B425</f>
        <v>TXT_SS_SKEMPTON_A</v>
      </c>
      <c r="C429" t="str">
        <f>Dbase_velden_versie4_2!C425</f>
        <v>-</v>
      </c>
      <c r="D429" t="str">
        <f>Dbase_velden_versie4_2!D425</f>
        <v>De skempton-A factor bepaald op basis van de wateroverspanning tijdens afschuiffase (bij T_PIEK)</v>
      </c>
      <c r="E429" t="str">
        <f>Dbase_velden_versie4_2!E425</f>
        <v>Double</v>
      </c>
      <c r="F429">
        <f>Dbase_velden_versie4_2!F425</f>
        <v>0</v>
      </c>
      <c r="G429" t="str">
        <f>Dbase_velden_versie4_2!G425</f>
        <v>TXT SS SKEMPTON A</v>
      </c>
      <c r="H429" t="str">
        <f>Dbase_velden_versie4_2!H425</f>
        <v>[-]</v>
      </c>
      <c r="I429" t="str">
        <f>Dbase_velden_versie4_2!I425</f>
        <v>TXT_SS</v>
      </c>
      <c r="J429" t="str">
        <f>Dbase_velden_versie4_2!J425</f>
        <v>Triaxiaalproeven single stage (CU SS)</v>
      </c>
      <c r="K429">
        <v>425</v>
      </c>
      <c r="L429" t="str">
        <v>TXT_SS_SKEMPTON_A</v>
      </c>
      <c r="M429" t="str">
        <v>-</v>
      </c>
      <c r="N429" t="str">
        <v>De skempton-A factor bepaald op basis van de wateroverspanning tijdens afschuiffase (bij T_PIEK)</v>
      </c>
      <c r="O429" t="str">
        <v>Double</v>
      </c>
      <c r="P429">
        <v>0</v>
      </c>
      <c r="Q429" t="str">
        <v>TXT SS SKEMPTON A</v>
      </c>
      <c r="R429" t="str">
        <v>[-]</v>
      </c>
      <c r="S429" t="str">
        <f t="shared" si="105"/>
        <v>OK</v>
      </c>
      <c r="T429" t="str">
        <f t="shared" si="99"/>
        <v>OK</v>
      </c>
      <c r="U429" t="str">
        <f t="shared" si="100"/>
        <v>OK</v>
      </c>
      <c r="V429" t="str">
        <f t="shared" si="101"/>
        <v>OK</v>
      </c>
      <c r="W429" t="str">
        <f t="shared" si="102"/>
        <v>OK</v>
      </c>
      <c r="X429" t="str">
        <f t="shared" si="103"/>
        <v>OK</v>
      </c>
      <c r="Y429" t="str">
        <f t="shared" si="104"/>
        <v>OK</v>
      </c>
      <c r="Z429">
        <v>424</v>
      </c>
      <c r="AA429">
        <v>426</v>
      </c>
      <c r="AB429" t="s">
        <v>2639</v>
      </c>
      <c r="AC429" t="s">
        <v>425</v>
      </c>
      <c r="AD429" t="s">
        <v>463</v>
      </c>
      <c r="AE429" t="s">
        <v>860</v>
      </c>
      <c r="AG429" t="s">
        <v>897</v>
      </c>
      <c r="AI429" t="s">
        <v>2669</v>
      </c>
      <c r="AJ429" t="s">
        <v>1395</v>
      </c>
      <c r="AK429" t="s">
        <v>2639</v>
      </c>
      <c r="AL429" t="s">
        <v>2640</v>
      </c>
      <c r="AN429" t="str">
        <f t="shared" si="106"/>
        <v>OK</v>
      </c>
      <c r="AO429" t="str">
        <f t="shared" si="107"/>
        <v>OK</v>
      </c>
      <c r="AP429" t="str">
        <f t="shared" si="108"/>
        <v>OK</v>
      </c>
      <c r="AR429" t="str">
        <f t="shared" si="109"/>
        <v>OK</v>
      </c>
      <c r="AS429" t="str">
        <f t="shared" si="110"/>
        <v>OK</v>
      </c>
      <c r="AT429" t="str">
        <f t="shared" si="111"/>
        <v>NOK</v>
      </c>
      <c r="AU429" t="str">
        <f t="shared" si="112"/>
        <v>OK</v>
      </c>
      <c r="AV429" t="str">
        <f t="shared" si="113"/>
        <v>OK</v>
      </c>
      <c r="AW429" t="str">
        <f t="shared" si="114"/>
        <v>OK</v>
      </c>
    </row>
    <row r="430" spans="1:49">
      <c r="A430">
        <f>Dbase_velden_versie4_2!A426</f>
        <v>426</v>
      </c>
      <c r="B430" t="str">
        <f>Dbase_velden_versie4_2!B426</f>
        <v>TXT_MS_FILENAAM_PDF</v>
      </c>
      <c r="C430" t="str">
        <f>Dbase_velden_versie4_2!C426</f>
        <v>-</v>
      </c>
      <c r="D430" t="str">
        <f>Dbase_velden_versie4_2!D426</f>
        <v>koppeling pdf(hyperlink)</v>
      </c>
      <c r="E430" t="str">
        <f>Dbase_velden_versie4_2!E426</f>
        <v>String</v>
      </c>
      <c r="F430">
        <f>Dbase_velden_versie4_2!F426</f>
        <v>0</v>
      </c>
      <c r="G430" t="str">
        <f>Dbase_velden_versie4_2!G426</f>
        <v>TXT MS FILENAAM PDF</v>
      </c>
      <c r="H430" t="str">
        <f>Dbase_velden_versie4_2!H426</f>
        <v>[-]</v>
      </c>
      <c r="I430" t="str">
        <f>Dbase_velden_versie4_2!I426</f>
        <v>TXT_MS</v>
      </c>
      <c r="J430" t="str">
        <f>Dbase_velden_versie4_2!J426</f>
        <v>Triaxiaalproeven multistage (CU-MS)</v>
      </c>
      <c r="K430">
        <v>426</v>
      </c>
      <c r="L430" t="str">
        <v>TXT_MS_FILENAAM_PDF</v>
      </c>
      <c r="M430" t="str">
        <v>-</v>
      </c>
      <c r="N430" t="str">
        <v>koppeling pdf(hyperlink)</v>
      </c>
      <c r="O430" t="str">
        <v>String</v>
      </c>
      <c r="P430">
        <v>0</v>
      </c>
      <c r="Q430" t="str">
        <v>TXT MS FILENAAM PDF</v>
      </c>
      <c r="R430" t="str">
        <v>[-]</v>
      </c>
      <c r="S430" t="str">
        <f t="shared" si="105"/>
        <v>OK</v>
      </c>
      <c r="T430" t="str">
        <f t="shared" si="99"/>
        <v>OK</v>
      </c>
      <c r="U430" t="str">
        <f t="shared" si="100"/>
        <v>OK</v>
      </c>
      <c r="V430" t="str">
        <f t="shared" si="101"/>
        <v>OK</v>
      </c>
      <c r="W430" t="str">
        <f t="shared" si="102"/>
        <v>OK</v>
      </c>
      <c r="X430" t="str">
        <f t="shared" si="103"/>
        <v>OK</v>
      </c>
      <c r="Y430" t="str">
        <f t="shared" si="104"/>
        <v>OK</v>
      </c>
      <c r="Z430">
        <v>425</v>
      </c>
      <c r="AA430">
        <v>427</v>
      </c>
      <c r="AB430" t="s">
        <v>2670</v>
      </c>
      <c r="AC430" t="s">
        <v>426</v>
      </c>
      <c r="AD430" t="s">
        <v>463</v>
      </c>
      <c r="AE430" t="s">
        <v>861</v>
      </c>
      <c r="AG430" t="s">
        <v>896</v>
      </c>
      <c r="AI430" t="s">
        <v>2671</v>
      </c>
      <c r="AJ430" t="s">
        <v>1395</v>
      </c>
      <c r="AK430" t="s">
        <v>2670</v>
      </c>
      <c r="AL430" t="s">
        <v>2672</v>
      </c>
      <c r="AN430" t="str">
        <f t="shared" si="106"/>
        <v>OK</v>
      </c>
      <c r="AO430" t="str">
        <f t="shared" si="107"/>
        <v>OK</v>
      </c>
      <c r="AP430" t="str">
        <f t="shared" si="108"/>
        <v>OK</v>
      </c>
      <c r="AR430" t="str">
        <f t="shared" si="109"/>
        <v>OK</v>
      </c>
      <c r="AS430" t="str">
        <f t="shared" si="110"/>
        <v>OK</v>
      </c>
      <c r="AT430" t="str">
        <f t="shared" si="111"/>
        <v>NOK</v>
      </c>
      <c r="AU430" t="str">
        <f t="shared" si="112"/>
        <v>OK</v>
      </c>
      <c r="AV430" t="str">
        <f t="shared" si="113"/>
        <v>OK</v>
      </c>
      <c r="AW430" t="str">
        <f t="shared" si="114"/>
        <v>OK</v>
      </c>
    </row>
    <row r="431" spans="1:49">
      <c r="A431">
        <f>Dbase_velden_versie4_2!A427</f>
        <v>427</v>
      </c>
      <c r="B431" t="str">
        <f>Dbase_velden_versie4_2!B427</f>
        <v>TXT_MS_FILENAAM_SPANNINGSPAD</v>
      </c>
      <c r="C431" t="str">
        <f>Dbase_velden_versie4_2!C427</f>
        <v>-</v>
      </c>
      <c r="D431" t="str">
        <f>Dbase_velden_versie4_2!D427</f>
        <v>Bestandsnaam van de file waarin het spanningspad conform het STOWA-format is opgenomen</v>
      </c>
      <c r="E431" t="str">
        <f>Dbase_velden_versie4_2!E427</f>
        <v>String</v>
      </c>
      <c r="F431">
        <f>Dbase_velden_versie4_2!F427</f>
        <v>0</v>
      </c>
      <c r="G431" t="str">
        <f>Dbase_velden_versie4_2!G427</f>
        <v>TXT MS FILENAAM SPANNINGSPAD</v>
      </c>
      <c r="H431" t="str">
        <f>Dbase_velden_versie4_2!H427</f>
        <v>[-]</v>
      </c>
      <c r="I431" t="str">
        <f>Dbase_velden_versie4_2!I427</f>
        <v>TXT_MS</v>
      </c>
      <c r="J431" t="str">
        <f>Dbase_velden_versie4_2!J427</f>
        <v>Triaxiaalproeven multistage (CU-MS)</v>
      </c>
      <c r="K431">
        <v>427</v>
      </c>
      <c r="L431" t="str">
        <v>TXT_MS_FILENAAM_SPANNINGSPAD</v>
      </c>
      <c r="M431" t="str">
        <v>-</v>
      </c>
      <c r="N431" t="str">
        <v>Bestandsnaam van de file waarin het spanningspad conform het STOWA-format is opgenomen</v>
      </c>
      <c r="O431" t="str">
        <v>String</v>
      </c>
      <c r="P431">
        <v>0</v>
      </c>
      <c r="Q431" t="str">
        <v>TXT MS FILENAAM SPANNINGSPAD</v>
      </c>
      <c r="R431" t="str">
        <v>[-]</v>
      </c>
      <c r="S431" t="str">
        <f t="shared" si="105"/>
        <v>OK</v>
      </c>
      <c r="T431" t="str">
        <f t="shared" si="99"/>
        <v>OK</v>
      </c>
      <c r="U431" t="str">
        <f t="shared" si="100"/>
        <v>OK</v>
      </c>
      <c r="V431" t="str">
        <f t="shared" si="101"/>
        <v>OK</v>
      </c>
      <c r="W431" t="str">
        <f t="shared" si="102"/>
        <v>OK</v>
      </c>
      <c r="X431" t="str">
        <f t="shared" si="103"/>
        <v>OK</v>
      </c>
      <c r="Y431" t="str">
        <f t="shared" si="104"/>
        <v>OK</v>
      </c>
      <c r="Z431">
        <v>426</v>
      </c>
      <c r="AA431">
        <v>428</v>
      </c>
      <c r="AB431" t="s">
        <v>2670</v>
      </c>
      <c r="AC431" t="s">
        <v>427</v>
      </c>
      <c r="AD431" t="s">
        <v>463</v>
      </c>
      <c r="AE431" t="s">
        <v>612</v>
      </c>
      <c r="AG431" t="s">
        <v>896</v>
      </c>
      <c r="AI431" t="s">
        <v>2673</v>
      </c>
      <c r="AJ431" t="s">
        <v>1395</v>
      </c>
      <c r="AK431" t="s">
        <v>2670</v>
      </c>
      <c r="AL431" t="s">
        <v>2672</v>
      </c>
      <c r="AN431" t="str">
        <f t="shared" si="106"/>
        <v>OK</v>
      </c>
      <c r="AO431" t="str">
        <f t="shared" si="107"/>
        <v>OK</v>
      </c>
      <c r="AP431" t="str">
        <f t="shared" si="108"/>
        <v>OK</v>
      </c>
      <c r="AR431" t="str">
        <f t="shared" si="109"/>
        <v>OK</v>
      </c>
      <c r="AS431" t="str">
        <f t="shared" si="110"/>
        <v>OK</v>
      </c>
      <c r="AT431" t="str">
        <f t="shared" si="111"/>
        <v>NOK</v>
      </c>
      <c r="AU431" t="str">
        <f t="shared" si="112"/>
        <v>OK</v>
      </c>
      <c r="AV431" t="str">
        <f t="shared" si="113"/>
        <v>OK</v>
      </c>
      <c r="AW431" t="str">
        <f t="shared" si="114"/>
        <v>OK</v>
      </c>
    </row>
    <row r="432" spans="1:49">
      <c r="A432">
        <f>Dbase_velden_versie4_2!A428</f>
        <v>428</v>
      </c>
      <c r="B432" t="str">
        <f>Dbase_velden_versie4_2!B428</f>
        <v>TXT_MS_MONSTERID</v>
      </c>
      <c r="C432" t="str">
        <f>Dbase_velden_versie4_2!C428</f>
        <v>-</v>
      </c>
      <c r="D432" t="str">
        <f>Dbase_velden_versie4_2!D428</f>
        <v>Monster-id</v>
      </c>
      <c r="E432" t="str">
        <f>Dbase_velden_versie4_2!E428</f>
        <v>String</v>
      </c>
      <c r="F432">
        <f>Dbase_velden_versie4_2!F428</f>
        <v>0</v>
      </c>
      <c r="G432" t="str">
        <f>Dbase_velden_versie4_2!G428</f>
        <v>TXT MS MONSTERID</v>
      </c>
      <c r="H432" t="str">
        <f>Dbase_velden_versie4_2!H428</f>
        <v>[-]</v>
      </c>
      <c r="I432" t="str">
        <f>Dbase_velden_versie4_2!I428</f>
        <v>TXT_MS</v>
      </c>
      <c r="J432" t="str">
        <f>Dbase_velden_versie4_2!J428</f>
        <v>Triaxiaalproeven multistage (CU-MS)</v>
      </c>
      <c r="K432">
        <v>428</v>
      </c>
      <c r="L432" t="str">
        <v>TXT_MS_MONSTERID</v>
      </c>
      <c r="M432" t="str">
        <v>-</v>
      </c>
      <c r="N432" t="str">
        <v>Monster-id</v>
      </c>
      <c r="O432" t="str">
        <v>String</v>
      </c>
      <c r="P432">
        <v>0</v>
      </c>
      <c r="Q432" t="str">
        <v>TXT MS MONSTERID</v>
      </c>
      <c r="R432" t="str">
        <v>[-]</v>
      </c>
      <c r="S432" t="str">
        <f t="shared" si="105"/>
        <v>OK</v>
      </c>
      <c r="T432" t="str">
        <f t="shared" si="99"/>
        <v>OK</v>
      </c>
      <c r="U432" t="str">
        <f t="shared" si="100"/>
        <v>OK</v>
      </c>
      <c r="V432" t="str">
        <f t="shared" si="101"/>
        <v>OK</v>
      </c>
      <c r="W432" t="str">
        <f t="shared" si="102"/>
        <v>OK</v>
      </c>
      <c r="X432" t="str">
        <f t="shared" si="103"/>
        <v>OK</v>
      </c>
      <c r="Y432" t="str">
        <f t="shared" si="104"/>
        <v>OK</v>
      </c>
      <c r="Z432">
        <v>427</v>
      </c>
      <c r="AA432">
        <v>429</v>
      </c>
      <c r="AB432" t="s">
        <v>2670</v>
      </c>
      <c r="AC432" t="s">
        <v>428</v>
      </c>
      <c r="AD432" t="s">
        <v>463</v>
      </c>
      <c r="AE432" t="s">
        <v>862</v>
      </c>
      <c r="AG432" t="s">
        <v>896</v>
      </c>
      <c r="AI432" t="s">
        <v>2674</v>
      </c>
      <c r="AJ432" t="s">
        <v>1395</v>
      </c>
      <c r="AK432" t="s">
        <v>2670</v>
      </c>
      <c r="AL432" t="s">
        <v>2672</v>
      </c>
      <c r="AN432" t="str">
        <f t="shared" si="106"/>
        <v>OK</v>
      </c>
      <c r="AO432" t="str">
        <f t="shared" si="107"/>
        <v>OK</v>
      </c>
      <c r="AP432" t="str">
        <f t="shared" si="108"/>
        <v>OK</v>
      </c>
      <c r="AR432" t="str">
        <f t="shared" si="109"/>
        <v>OK</v>
      </c>
      <c r="AS432" t="str">
        <f t="shared" si="110"/>
        <v>OK</v>
      </c>
      <c r="AT432" t="str">
        <f t="shared" si="111"/>
        <v>NOK</v>
      </c>
      <c r="AU432" t="str">
        <f t="shared" si="112"/>
        <v>OK</v>
      </c>
      <c r="AV432" t="str">
        <f t="shared" si="113"/>
        <v>OK</v>
      </c>
      <c r="AW432" t="str">
        <f t="shared" si="114"/>
        <v>OK</v>
      </c>
    </row>
    <row r="433" spans="1:49">
      <c r="A433">
        <f>Dbase_velden_versie4_2!A429</f>
        <v>429</v>
      </c>
      <c r="B433" t="str">
        <f>Dbase_velden_versie4_2!B429</f>
        <v>TXT_MS_LABORATORIUM</v>
      </c>
      <c r="C433" t="str">
        <f>Dbase_velden_versie4_2!C429</f>
        <v>-</v>
      </c>
      <c r="D433" t="str">
        <f>Dbase_velden_versie4_2!D429</f>
        <v>Naam laboratorium +plaats</v>
      </c>
      <c r="E433" t="str">
        <f>Dbase_velden_versie4_2!E429</f>
        <v>String</v>
      </c>
      <c r="F433">
        <f>Dbase_velden_versie4_2!F429</f>
        <v>0</v>
      </c>
      <c r="G433" t="str">
        <f>Dbase_velden_versie4_2!G429</f>
        <v>TXT MS LABORATORIUM</v>
      </c>
      <c r="H433" t="str">
        <f>Dbase_velden_versie4_2!H429</f>
        <v>[-]</v>
      </c>
      <c r="I433" t="str">
        <f>Dbase_velden_versie4_2!I429</f>
        <v>TXT_MS</v>
      </c>
      <c r="J433" t="str">
        <f>Dbase_velden_versie4_2!J429</f>
        <v>Triaxiaalproeven multistage (CU-MS)</v>
      </c>
      <c r="K433">
        <v>429</v>
      </c>
      <c r="L433" t="str">
        <v>TXT_MS_LABORATORIUM</v>
      </c>
      <c r="M433" t="str">
        <v>-</v>
      </c>
      <c r="N433" t="str">
        <v>Naam laboratorium +plaats</v>
      </c>
      <c r="O433" t="str">
        <v>String</v>
      </c>
      <c r="P433">
        <v>0</v>
      </c>
      <c r="Q433" t="str">
        <v>TXT MS LABORATORIUM</v>
      </c>
      <c r="R433" t="str">
        <v>[-]</v>
      </c>
      <c r="S433" t="str">
        <f t="shared" si="105"/>
        <v>OK</v>
      </c>
      <c r="T433" t="str">
        <f t="shared" si="99"/>
        <v>OK</v>
      </c>
      <c r="U433" t="str">
        <f t="shared" si="100"/>
        <v>OK</v>
      </c>
      <c r="V433" t="str">
        <f t="shared" si="101"/>
        <v>OK</v>
      </c>
      <c r="W433" t="str">
        <f t="shared" si="102"/>
        <v>OK</v>
      </c>
      <c r="X433" t="str">
        <f t="shared" si="103"/>
        <v>OK</v>
      </c>
      <c r="Y433" t="str">
        <f t="shared" si="104"/>
        <v>OK</v>
      </c>
      <c r="Z433">
        <v>428</v>
      </c>
      <c r="AA433">
        <v>430</v>
      </c>
      <c r="AB433" t="s">
        <v>2670</v>
      </c>
      <c r="AC433" t="s">
        <v>429</v>
      </c>
      <c r="AD433" t="s">
        <v>463</v>
      </c>
      <c r="AE433" t="s">
        <v>863</v>
      </c>
      <c r="AG433" t="s">
        <v>896</v>
      </c>
      <c r="AI433" t="s">
        <v>2675</v>
      </c>
      <c r="AJ433" t="s">
        <v>1395</v>
      </c>
      <c r="AK433" t="s">
        <v>2670</v>
      </c>
      <c r="AL433" t="s">
        <v>2672</v>
      </c>
      <c r="AN433" t="str">
        <f t="shared" si="106"/>
        <v>OK</v>
      </c>
      <c r="AO433" t="str">
        <f t="shared" si="107"/>
        <v>OK</v>
      </c>
      <c r="AP433" t="str">
        <f t="shared" si="108"/>
        <v>OK</v>
      </c>
      <c r="AR433" t="str">
        <f t="shared" si="109"/>
        <v>OK</v>
      </c>
      <c r="AS433" t="str">
        <f t="shared" si="110"/>
        <v>OK</v>
      </c>
      <c r="AT433" t="str">
        <f t="shared" si="111"/>
        <v>NOK</v>
      </c>
      <c r="AU433" t="str">
        <f t="shared" si="112"/>
        <v>OK</v>
      </c>
      <c r="AV433" t="str">
        <f t="shared" si="113"/>
        <v>OK</v>
      </c>
      <c r="AW433" t="str">
        <f t="shared" si="114"/>
        <v>OK</v>
      </c>
    </row>
    <row r="434" spans="1:49">
      <c r="A434">
        <f>Dbase_velden_versie4_2!A430</f>
        <v>430</v>
      </c>
      <c r="B434" t="str">
        <f>Dbase_velden_versie4_2!B430</f>
        <v>TXT_MS_CONSOLIDATIESPANNING</v>
      </c>
      <c r="C434" t="str">
        <f>Dbase_velden_versie4_2!C430</f>
        <v>kPa</v>
      </c>
      <c r="D434" t="str">
        <f>Dbase_velden_versie4_2!D430</f>
        <v>Consolidatie-spanning</v>
      </c>
      <c r="E434" t="str">
        <f>Dbase_velden_versie4_2!E430</f>
        <v>Double</v>
      </c>
      <c r="F434">
        <f>Dbase_velden_versie4_2!F430</f>
        <v>0</v>
      </c>
      <c r="G434" t="str">
        <f>Dbase_velden_versie4_2!G430</f>
        <v>TXT MS CONSOLIDATIESPANNING</v>
      </c>
      <c r="H434" t="str">
        <f>Dbase_velden_versie4_2!H430</f>
        <v>[kPa]</v>
      </c>
      <c r="I434" t="str">
        <f>Dbase_velden_versie4_2!I430</f>
        <v>TXT_MS</v>
      </c>
      <c r="J434" t="str">
        <f>Dbase_velden_versie4_2!J430</f>
        <v>Triaxiaalproeven multistage (CU-MS)</v>
      </c>
      <c r="K434">
        <v>430</v>
      </c>
      <c r="L434" t="str">
        <v>TXT_MS_CONSOLIDATIESPANNING</v>
      </c>
      <c r="M434" t="str">
        <v>kPa</v>
      </c>
      <c r="N434" t="str">
        <v>Consolidatie-spanning</v>
      </c>
      <c r="O434" t="str">
        <v>Double</v>
      </c>
      <c r="P434">
        <v>0</v>
      </c>
      <c r="Q434" t="str">
        <v>TXT MS CONSOLIDATIESPANNING</v>
      </c>
      <c r="R434" t="str">
        <v>[kPa]</v>
      </c>
      <c r="S434" t="str">
        <f t="shared" si="105"/>
        <v>OK</v>
      </c>
      <c r="T434" t="str">
        <f t="shared" si="99"/>
        <v>OK</v>
      </c>
      <c r="U434" t="str">
        <f t="shared" si="100"/>
        <v>OK</v>
      </c>
      <c r="V434" t="str">
        <f t="shared" si="101"/>
        <v>OK</v>
      </c>
      <c r="W434" t="str">
        <f t="shared" si="102"/>
        <v>OK</v>
      </c>
      <c r="X434" t="str">
        <f t="shared" si="103"/>
        <v>OK</v>
      </c>
      <c r="Y434" t="str">
        <f t="shared" si="104"/>
        <v>OK</v>
      </c>
      <c r="Z434">
        <v>429</v>
      </c>
      <c r="AA434">
        <v>431</v>
      </c>
      <c r="AB434" t="s">
        <v>2670</v>
      </c>
      <c r="AC434" t="s">
        <v>430</v>
      </c>
      <c r="AD434" t="s">
        <v>470</v>
      </c>
      <c r="AE434" t="s">
        <v>864</v>
      </c>
      <c r="AG434" t="s">
        <v>897</v>
      </c>
      <c r="AI434" t="s">
        <v>2676</v>
      </c>
      <c r="AJ434" t="s">
        <v>1402</v>
      </c>
      <c r="AK434" t="s">
        <v>2670</v>
      </c>
      <c r="AL434" t="s">
        <v>2672</v>
      </c>
      <c r="AN434" t="str">
        <f t="shared" si="106"/>
        <v>OK</v>
      </c>
      <c r="AO434" t="str">
        <f t="shared" si="107"/>
        <v>OK</v>
      </c>
      <c r="AP434" t="str">
        <f t="shared" si="108"/>
        <v>OK</v>
      </c>
      <c r="AR434" t="str">
        <f t="shared" si="109"/>
        <v>OK</v>
      </c>
      <c r="AS434" t="str">
        <f t="shared" si="110"/>
        <v>OK</v>
      </c>
      <c r="AT434" t="str">
        <f t="shared" si="111"/>
        <v>NOK</v>
      </c>
      <c r="AU434" t="str">
        <f t="shared" si="112"/>
        <v>OK</v>
      </c>
      <c r="AV434" t="str">
        <f t="shared" si="113"/>
        <v>OK</v>
      </c>
      <c r="AW434" t="str">
        <f t="shared" si="114"/>
        <v>OK</v>
      </c>
    </row>
    <row r="435" spans="1:49">
      <c r="A435">
        <f>Dbase_velden_versie4_2!A431</f>
        <v>431</v>
      </c>
      <c r="B435" t="str">
        <f>Dbase_velden_versie4_2!B431</f>
        <v>TXT_MS_REK_BIJ_E_UNDR50</v>
      </c>
      <c r="C435" t="str">
        <f>Dbase_velden_versie4_2!C431</f>
        <v>%</v>
      </c>
      <c r="D435" t="str">
        <f>Dbase_velden_versie4_2!D431</f>
        <v>e b;50max deviator</v>
      </c>
      <c r="E435" t="str">
        <f>Dbase_velden_versie4_2!E431</f>
        <v>Double</v>
      </c>
      <c r="F435" t="str">
        <f>Dbase_velden_versie4_2!F431</f>
        <v>0% - 100%</v>
      </c>
      <c r="G435" t="str">
        <f>Dbase_velden_versie4_2!G431</f>
        <v>TXT MS REK BIJ E UNDR50</v>
      </c>
      <c r="H435" t="str">
        <f>Dbase_velden_versie4_2!H431</f>
        <v>[%]</v>
      </c>
      <c r="I435" t="str">
        <f>Dbase_velden_versie4_2!I431</f>
        <v>TXT_MS</v>
      </c>
      <c r="J435" t="str">
        <f>Dbase_velden_versie4_2!J431</f>
        <v>Triaxiaalproeven multistage (CU-MS)</v>
      </c>
      <c r="K435">
        <v>431</v>
      </c>
      <c r="L435" t="str">
        <v>TXT_MS_REK_BIJ_E_UNDR50</v>
      </c>
      <c r="M435" t="str">
        <v>%</v>
      </c>
      <c r="N435" t="str">
        <v>e b;50max deviator</v>
      </c>
      <c r="O435" t="str">
        <v>Double</v>
      </c>
      <c r="P435" t="str">
        <v>0% - 100%</v>
      </c>
      <c r="Q435" t="str">
        <v>TXT MS REK BIJ E UNDR50</v>
      </c>
      <c r="R435" t="str">
        <v>[%]</v>
      </c>
      <c r="S435" t="str">
        <f t="shared" si="105"/>
        <v>OK</v>
      </c>
      <c r="T435" t="str">
        <f t="shared" si="99"/>
        <v>OK</v>
      </c>
      <c r="U435" t="str">
        <f t="shared" si="100"/>
        <v>OK</v>
      </c>
      <c r="V435" t="str">
        <f t="shared" si="101"/>
        <v>OK</v>
      </c>
      <c r="W435" t="str">
        <f t="shared" si="102"/>
        <v>OK</v>
      </c>
      <c r="X435" t="str">
        <f t="shared" si="103"/>
        <v>OK</v>
      </c>
      <c r="Y435" t="str">
        <f t="shared" si="104"/>
        <v>OK</v>
      </c>
      <c r="Z435">
        <v>430</v>
      </c>
      <c r="AA435">
        <v>432</v>
      </c>
      <c r="AB435" t="s">
        <v>2670</v>
      </c>
      <c r="AC435" t="s">
        <v>431</v>
      </c>
      <c r="AD435" t="s">
        <v>468</v>
      </c>
      <c r="AE435" t="s">
        <v>865</v>
      </c>
      <c r="AG435" t="s">
        <v>897</v>
      </c>
      <c r="AH435" t="s">
        <v>911</v>
      </c>
      <c r="AI435" t="s">
        <v>2677</v>
      </c>
      <c r="AJ435" t="s">
        <v>1400</v>
      </c>
      <c r="AK435" t="s">
        <v>2670</v>
      </c>
      <c r="AL435" t="s">
        <v>2672</v>
      </c>
      <c r="AN435" t="str">
        <f t="shared" si="106"/>
        <v>OK</v>
      </c>
      <c r="AO435" t="str">
        <f t="shared" si="107"/>
        <v>OK</v>
      </c>
      <c r="AP435" t="str">
        <f t="shared" si="108"/>
        <v>OK</v>
      </c>
      <c r="AR435" t="str">
        <f t="shared" si="109"/>
        <v>OK</v>
      </c>
      <c r="AS435" t="str">
        <f t="shared" si="110"/>
        <v>OK</v>
      </c>
      <c r="AT435" t="str">
        <f t="shared" si="111"/>
        <v>NOK</v>
      </c>
      <c r="AU435" t="str">
        <f t="shared" si="112"/>
        <v>OK</v>
      </c>
      <c r="AV435" t="str">
        <f t="shared" si="113"/>
        <v>OK</v>
      </c>
      <c r="AW435" t="str">
        <f t="shared" si="114"/>
        <v>OK</v>
      </c>
    </row>
    <row r="436" spans="1:49">
      <c r="A436">
        <f>Dbase_velden_versie4_2!A432</f>
        <v>432</v>
      </c>
      <c r="B436" t="str">
        <f>Dbase_velden_versie4_2!B432</f>
        <v>TXT_MS_E_UNDR50</v>
      </c>
      <c r="C436" t="str">
        <f>Dbase_velden_versie4_2!C432</f>
        <v>MPa</v>
      </c>
      <c r="D436" t="str">
        <f>Dbase_velden_versie4_2!D432</f>
        <v>Eundr, 50max deviator</v>
      </c>
      <c r="E436" t="str">
        <f>Dbase_velden_versie4_2!E432</f>
        <v>Double</v>
      </c>
      <c r="F436">
        <f>Dbase_velden_versie4_2!F432</f>
        <v>0</v>
      </c>
      <c r="G436" t="str">
        <f>Dbase_velden_versie4_2!G432</f>
        <v>TXT MS E UNDR50</v>
      </c>
      <c r="H436" t="str">
        <f>Dbase_velden_versie4_2!H432</f>
        <v>[MPa]</v>
      </c>
      <c r="I436" t="str">
        <f>Dbase_velden_versie4_2!I432</f>
        <v>TXT_MS</v>
      </c>
      <c r="J436" t="str">
        <f>Dbase_velden_versie4_2!J432</f>
        <v>Triaxiaalproeven multistage (CU-MS)</v>
      </c>
      <c r="K436">
        <v>432</v>
      </c>
      <c r="L436" t="str">
        <v>TXT_MS_E_UNDR50</v>
      </c>
      <c r="M436" t="str">
        <v>MPa</v>
      </c>
      <c r="N436" t="str">
        <v>Eundr, 50max deviator</v>
      </c>
      <c r="O436" t="str">
        <v>Double</v>
      </c>
      <c r="P436">
        <v>0</v>
      </c>
      <c r="Q436" t="str">
        <v>TXT MS E UNDR50</v>
      </c>
      <c r="R436" t="str">
        <v>[MPa]</v>
      </c>
      <c r="S436" t="str">
        <f t="shared" si="105"/>
        <v>OK</v>
      </c>
      <c r="T436" t="str">
        <f t="shared" si="99"/>
        <v>OK</v>
      </c>
      <c r="U436" t="str">
        <f t="shared" si="100"/>
        <v>OK</v>
      </c>
      <c r="V436" t="str">
        <f t="shared" si="101"/>
        <v>OK</v>
      </c>
      <c r="W436" t="str">
        <f t="shared" si="102"/>
        <v>OK</v>
      </c>
      <c r="X436" t="str">
        <f t="shared" si="103"/>
        <v>OK</v>
      </c>
      <c r="Y436" t="str">
        <f t="shared" si="104"/>
        <v>OK</v>
      </c>
      <c r="Z436">
        <v>431</v>
      </c>
      <c r="AA436">
        <v>433</v>
      </c>
      <c r="AB436" t="s">
        <v>2670</v>
      </c>
      <c r="AC436" t="s">
        <v>432</v>
      </c>
      <c r="AD436" t="s">
        <v>482</v>
      </c>
      <c r="AE436" t="s">
        <v>866</v>
      </c>
      <c r="AG436" t="s">
        <v>897</v>
      </c>
      <c r="AI436" t="s">
        <v>2678</v>
      </c>
      <c r="AJ436" t="s">
        <v>1414</v>
      </c>
      <c r="AK436" t="s">
        <v>2670</v>
      </c>
      <c r="AL436" t="s">
        <v>2672</v>
      </c>
      <c r="AN436" t="str">
        <f t="shared" si="106"/>
        <v>OK</v>
      </c>
      <c r="AO436" t="str">
        <f t="shared" si="107"/>
        <v>OK</v>
      </c>
      <c r="AP436" t="str">
        <f t="shared" si="108"/>
        <v>OK</v>
      </c>
      <c r="AR436" t="str">
        <f t="shared" si="109"/>
        <v>OK</v>
      </c>
      <c r="AS436" t="str">
        <f t="shared" si="110"/>
        <v>OK</v>
      </c>
      <c r="AT436" t="str">
        <f t="shared" si="111"/>
        <v>NOK</v>
      </c>
      <c r="AU436" t="str">
        <f t="shared" si="112"/>
        <v>OK</v>
      </c>
      <c r="AV436" t="str">
        <f t="shared" si="113"/>
        <v>OK</v>
      </c>
      <c r="AW436" t="str">
        <f t="shared" si="114"/>
        <v>OK</v>
      </c>
    </row>
    <row r="437" spans="1:49">
      <c r="A437">
        <f>Dbase_velden_versie4_2!A433</f>
        <v>433</v>
      </c>
      <c r="B437" t="str">
        <f>Dbase_velden_versie4_2!B433</f>
        <v>TXT_MS_S1'_2%</v>
      </c>
      <c r="C437" t="str">
        <f>Dbase_velden_versie4_2!C433</f>
        <v>kPa</v>
      </c>
      <c r="D437" t="str">
        <f>Dbase_velden_versie4_2!D433</f>
        <v>s' 1e trap2% rek</v>
      </c>
      <c r="E437" t="str">
        <f>Dbase_velden_versie4_2!E433</f>
        <v>Double</v>
      </c>
      <c r="F437">
        <f>Dbase_velden_versie4_2!F433</f>
        <v>0</v>
      </c>
      <c r="G437" t="str">
        <f>Dbase_velden_versie4_2!G433</f>
        <v>TXT MS S1' 2%</v>
      </c>
      <c r="H437" t="str">
        <f>Dbase_velden_versie4_2!H433</f>
        <v>[kPa]</v>
      </c>
      <c r="I437" t="str">
        <f>Dbase_velden_versie4_2!I433</f>
        <v>TXT_MS</v>
      </c>
      <c r="J437" t="str">
        <f>Dbase_velden_versie4_2!J433</f>
        <v>Triaxiaalproeven multistage (CU-MS)</v>
      </c>
      <c r="K437">
        <v>433</v>
      </c>
      <c r="L437" t="str">
        <v>TXT_MS_S1'_2%</v>
      </c>
      <c r="M437" t="str">
        <v>kPa</v>
      </c>
      <c r="N437" t="str">
        <v>s' 1e trap2% rek</v>
      </c>
      <c r="O437" t="str">
        <v>Double</v>
      </c>
      <c r="P437">
        <v>0</v>
      </c>
      <c r="Q437" t="str">
        <v>TXT MS S1' 2%</v>
      </c>
      <c r="R437" t="str">
        <v>[kPa]</v>
      </c>
      <c r="S437" t="str">
        <f t="shared" si="105"/>
        <v>OK</v>
      </c>
      <c r="T437" t="str">
        <f t="shared" si="99"/>
        <v>OK</v>
      </c>
      <c r="U437" t="str">
        <f t="shared" si="100"/>
        <v>OK</v>
      </c>
      <c r="V437" t="str">
        <f t="shared" si="101"/>
        <v>OK</v>
      </c>
      <c r="W437" t="str">
        <f t="shared" si="102"/>
        <v>OK</v>
      </c>
      <c r="X437" t="str">
        <f t="shared" si="103"/>
        <v>OK</v>
      </c>
      <c r="Y437" t="str">
        <f t="shared" si="104"/>
        <v>OK</v>
      </c>
      <c r="Z437">
        <v>432</v>
      </c>
      <c r="AA437">
        <v>434</v>
      </c>
      <c r="AB437" t="s">
        <v>2670</v>
      </c>
      <c r="AC437" t="s">
        <v>433</v>
      </c>
      <c r="AD437" t="s">
        <v>470</v>
      </c>
      <c r="AE437" t="s">
        <v>867</v>
      </c>
      <c r="AG437" t="s">
        <v>897</v>
      </c>
      <c r="AI437" t="s">
        <v>2679</v>
      </c>
      <c r="AJ437" t="s">
        <v>1402</v>
      </c>
      <c r="AK437" t="s">
        <v>2670</v>
      </c>
      <c r="AL437" t="s">
        <v>2672</v>
      </c>
      <c r="AN437" t="str">
        <f t="shared" si="106"/>
        <v>OK</v>
      </c>
      <c r="AO437" t="str">
        <f t="shared" si="107"/>
        <v>OK</v>
      </c>
      <c r="AP437" t="str">
        <f t="shared" si="108"/>
        <v>OK</v>
      </c>
      <c r="AR437" t="str">
        <f t="shared" si="109"/>
        <v>OK</v>
      </c>
      <c r="AS437" t="str">
        <f t="shared" si="110"/>
        <v>OK</v>
      </c>
      <c r="AT437" t="str">
        <f t="shared" si="111"/>
        <v>NOK</v>
      </c>
      <c r="AU437" t="str">
        <f t="shared" si="112"/>
        <v>OK</v>
      </c>
      <c r="AV437" t="str">
        <f t="shared" si="113"/>
        <v>OK</v>
      </c>
      <c r="AW437" t="str">
        <f t="shared" si="114"/>
        <v>OK</v>
      </c>
    </row>
    <row r="438" spans="1:49">
      <c r="A438">
        <f>Dbase_velden_versie4_2!A434</f>
        <v>434</v>
      </c>
      <c r="B438" t="str">
        <f>Dbase_velden_versie4_2!B434</f>
        <v>TXT_MS_S2'_2%</v>
      </c>
      <c r="C438" t="str">
        <f>Dbase_velden_versie4_2!C434</f>
        <v>kPa</v>
      </c>
      <c r="D438" t="str">
        <f>Dbase_velden_versie4_2!D434</f>
        <v>s' 2e trap2% rek</v>
      </c>
      <c r="E438" t="str">
        <f>Dbase_velden_versie4_2!E434</f>
        <v>Double</v>
      </c>
      <c r="F438">
        <f>Dbase_velden_versie4_2!F434</f>
        <v>0</v>
      </c>
      <c r="G438" t="str">
        <f>Dbase_velden_versie4_2!G434</f>
        <v>TXT MS S2' 2%</v>
      </c>
      <c r="H438" t="str">
        <f>Dbase_velden_versie4_2!H434</f>
        <v>[kPa]</v>
      </c>
      <c r="I438" t="str">
        <f>Dbase_velden_versie4_2!I434</f>
        <v>TXT_MS</v>
      </c>
      <c r="J438" t="str">
        <f>Dbase_velden_versie4_2!J434</f>
        <v>Triaxiaalproeven multistage (CU-MS)</v>
      </c>
      <c r="K438">
        <v>434</v>
      </c>
      <c r="L438" t="str">
        <v>TXT_MS_S2'_2%</v>
      </c>
      <c r="M438" t="str">
        <v>kPa</v>
      </c>
      <c r="N438" t="str">
        <v>s' 2e trap2% rek</v>
      </c>
      <c r="O438" t="str">
        <v>Double</v>
      </c>
      <c r="P438">
        <v>0</v>
      </c>
      <c r="Q438" t="str">
        <v>TXT MS S2' 2%</v>
      </c>
      <c r="R438" t="str">
        <v>[kPa]</v>
      </c>
      <c r="S438" t="str">
        <f t="shared" si="105"/>
        <v>OK</v>
      </c>
      <c r="T438" t="str">
        <f t="shared" si="99"/>
        <v>OK</v>
      </c>
      <c r="U438" t="str">
        <f t="shared" si="100"/>
        <v>OK</v>
      </c>
      <c r="V438" t="str">
        <f t="shared" si="101"/>
        <v>OK</v>
      </c>
      <c r="W438" t="str">
        <f t="shared" si="102"/>
        <v>OK</v>
      </c>
      <c r="X438" t="str">
        <f t="shared" si="103"/>
        <v>OK</v>
      </c>
      <c r="Y438" t="str">
        <f t="shared" si="104"/>
        <v>OK</v>
      </c>
      <c r="Z438">
        <v>433</v>
      </c>
      <c r="AA438">
        <v>435</v>
      </c>
      <c r="AB438" t="s">
        <v>2670</v>
      </c>
      <c r="AC438" t="s">
        <v>434</v>
      </c>
      <c r="AD438" t="s">
        <v>470</v>
      </c>
      <c r="AE438" t="s">
        <v>868</v>
      </c>
      <c r="AG438" t="s">
        <v>897</v>
      </c>
      <c r="AI438" t="s">
        <v>2680</v>
      </c>
      <c r="AJ438" t="s">
        <v>1402</v>
      </c>
      <c r="AK438" t="s">
        <v>2670</v>
      </c>
      <c r="AL438" t="s">
        <v>2672</v>
      </c>
      <c r="AN438" t="str">
        <f t="shared" si="106"/>
        <v>OK</v>
      </c>
      <c r="AO438" t="str">
        <f t="shared" si="107"/>
        <v>OK</v>
      </c>
      <c r="AP438" t="str">
        <f t="shared" si="108"/>
        <v>OK</v>
      </c>
      <c r="AR438" t="str">
        <f t="shared" si="109"/>
        <v>OK</v>
      </c>
      <c r="AS438" t="str">
        <f t="shared" si="110"/>
        <v>OK</v>
      </c>
      <c r="AT438" t="str">
        <f t="shared" si="111"/>
        <v>NOK</v>
      </c>
      <c r="AU438" t="str">
        <f t="shared" si="112"/>
        <v>OK</v>
      </c>
      <c r="AV438" t="str">
        <f t="shared" si="113"/>
        <v>OK</v>
      </c>
      <c r="AW438" t="str">
        <f t="shared" si="114"/>
        <v>OK</v>
      </c>
    </row>
    <row r="439" spans="1:49">
      <c r="A439">
        <f>Dbase_velden_versie4_2!A435</f>
        <v>435</v>
      </c>
      <c r="B439" t="str">
        <f>Dbase_velden_versie4_2!B435</f>
        <v>TXT_MS_S3'_2%</v>
      </c>
      <c r="C439" t="str">
        <f>Dbase_velden_versie4_2!C435</f>
        <v>kPa</v>
      </c>
      <c r="D439" t="str">
        <f>Dbase_velden_versie4_2!D435</f>
        <v>s' 3e trap2% rek</v>
      </c>
      <c r="E439" t="str">
        <f>Dbase_velden_versie4_2!E435</f>
        <v>Double</v>
      </c>
      <c r="F439">
        <f>Dbase_velden_versie4_2!F435</f>
        <v>0</v>
      </c>
      <c r="G439" t="str">
        <f>Dbase_velden_versie4_2!G435</f>
        <v>TXT MS S3' 2%</v>
      </c>
      <c r="H439" t="str">
        <f>Dbase_velden_versie4_2!H435</f>
        <v>[kPa]</v>
      </c>
      <c r="I439" t="str">
        <f>Dbase_velden_versie4_2!I435</f>
        <v>TXT_MS</v>
      </c>
      <c r="J439" t="str">
        <f>Dbase_velden_versie4_2!J435</f>
        <v>Triaxiaalproeven multistage (CU-MS)</v>
      </c>
      <c r="K439">
        <v>435</v>
      </c>
      <c r="L439" t="str">
        <v>TXT_MS_S3'_2%</v>
      </c>
      <c r="M439" t="str">
        <v>kPa</v>
      </c>
      <c r="N439" t="str">
        <v>s' 3e trap2% rek</v>
      </c>
      <c r="O439" t="str">
        <v>Double</v>
      </c>
      <c r="P439">
        <v>0</v>
      </c>
      <c r="Q439" t="str">
        <v>TXT MS S3' 2%</v>
      </c>
      <c r="R439" t="str">
        <v>[kPa]</v>
      </c>
      <c r="S439" t="str">
        <f t="shared" si="105"/>
        <v>OK</v>
      </c>
      <c r="T439" t="str">
        <f t="shared" si="99"/>
        <v>OK</v>
      </c>
      <c r="U439" t="str">
        <f t="shared" si="100"/>
        <v>OK</v>
      </c>
      <c r="V439" t="str">
        <f t="shared" si="101"/>
        <v>OK</v>
      </c>
      <c r="W439" t="str">
        <f t="shared" si="102"/>
        <v>OK</v>
      </c>
      <c r="X439" t="str">
        <f t="shared" si="103"/>
        <v>OK</v>
      </c>
      <c r="Y439" t="str">
        <f t="shared" si="104"/>
        <v>OK</v>
      </c>
      <c r="Z439">
        <v>434</v>
      </c>
      <c r="AA439">
        <v>436</v>
      </c>
      <c r="AB439" t="s">
        <v>2670</v>
      </c>
      <c r="AC439" t="s">
        <v>435</v>
      </c>
      <c r="AD439" t="s">
        <v>470</v>
      </c>
      <c r="AE439" t="s">
        <v>869</v>
      </c>
      <c r="AG439" t="s">
        <v>897</v>
      </c>
      <c r="AI439" t="s">
        <v>2681</v>
      </c>
      <c r="AJ439" t="s">
        <v>1402</v>
      </c>
      <c r="AK439" t="s">
        <v>2670</v>
      </c>
      <c r="AL439" t="s">
        <v>2672</v>
      </c>
      <c r="AN439" t="str">
        <f t="shared" si="106"/>
        <v>OK</v>
      </c>
      <c r="AO439" t="str">
        <f t="shared" si="107"/>
        <v>OK</v>
      </c>
      <c r="AP439" t="str">
        <f t="shared" si="108"/>
        <v>OK</v>
      </c>
      <c r="AR439" t="str">
        <f t="shared" si="109"/>
        <v>OK</v>
      </c>
      <c r="AS439" t="str">
        <f t="shared" si="110"/>
        <v>OK</v>
      </c>
      <c r="AT439" t="str">
        <f t="shared" si="111"/>
        <v>NOK</v>
      </c>
      <c r="AU439" t="str">
        <f t="shared" si="112"/>
        <v>OK</v>
      </c>
      <c r="AV439" t="str">
        <f t="shared" si="113"/>
        <v>OK</v>
      </c>
      <c r="AW439" t="str">
        <f t="shared" si="114"/>
        <v>OK</v>
      </c>
    </row>
    <row r="440" spans="1:49">
      <c r="A440">
        <f>Dbase_velden_versie4_2!A436</f>
        <v>436</v>
      </c>
      <c r="B440" t="str">
        <f>Dbase_velden_versie4_2!B436</f>
        <v>TXT_MS_T1_2%</v>
      </c>
      <c r="C440" t="str">
        <f>Dbase_velden_versie4_2!C436</f>
        <v>kPa</v>
      </c>
      <c r="D440" t="str">
        <f>Dbase_velden_versie4_2!D436</f>
        <v>t 1e trap2% rek</v>
      </c>
      <c r="E440" t="str">
        <f>Dbase_velden_versie4_2!E436</f>
        <v>Double</v>
      </c>
      <c r="F440">
        <f>Dbase_velden_versie4_2!F436</f>
        <v>0</v>
      </c>
      <c r="G440" t="str">
        <f>Dbase_velden_versie4_2!G436</f>
        <v>TXT MS T1 2%</v>
      </c>
      <c r="H440" t="str">
        <f>Dbase_velden_versie4_2!H436</f>
        <v>[kPa]</v>
      </c>
      <c r="I440" t="str">
        <f>Dbase_velden_versie4_2!I436</f>
        <v>TXT_MS</v>
      </c>
      <c r="J440" t="str">
        <f>Dbase_velden_versie4_2!J436</f>
        <v>Triaxiaalproeven multistage (CU-MS)</v>
      </c>
      <c r="K440">
        <v>436</v>
      </c>
      <c r="L440" t="str">
        <v>TXT_MS_T1_2%</v>
      </c>
      <c r="M440" t="str">
        <v>kPa</v>
      </c>
      <c r="N440" t="str">
        <v>t 1e trap2% rek</v>
      </c>
      <c r="O440" t="str">
        <v>Double</v>
      </c>
      <c r="P440">
        <v>0</v>
      </c>
      <c r="Q440" t="str">
        <v>TXT MS T1 2%</v>
      </c>
      <c r="R440" t="str">
        <v>[kPa]</v>
      </c>
      <c r="S440" t="str">
        <f t="shared" si="105"/>
        <v>OK</v>
      </c>
      <c r="T440" t="str">
        <f t="shared" si="99"/>
        <v>OK</v>
      </c>
      <c r="U440" t="str">
        <f t="shared" si="100"/>
        <v>OK</v>
      </c>
      <c r="V440" t="str">
        <f t="shared" si="101"/>
        <v>OK</v>
      </c>
      <c r="W440" t="str">
        <f t="shared" si="102"/>
        <v>OK</v>
      </c>
      <c r="X440" t="str">
        <f t="shared" si="103"/>
        <v>OK</v>
      </c>
      <c r="Y440" t="str">
        <f t="shared" si="104"/>
        <v>OK</v>
      </c>
      <c r="Z440">
        <v>435</v>
      </c>
      <c r="AA440">
        <v>437</v>
      </c>
      <c r="AB440" t="s">
        <v>2670</v>
      </c>
      <c r="AC440" t="s">
        <v>436</v>
      </c>
      <c r="AD440" t="s">
        <v>470</v>
      </c>
      <c r="AE440" t="s">
        <v>870</v>
      </c>
      <c r="AG440" t="s">
        <v>897</v>
      </c>
      <c r="AI440" t="s">
        <v>2682</v>
      </c>
      <c r="AJ440" t="s">
        <v>1402</v>
      </c>
      <c r="AK440" t="s">
        <v>2670</v>
      </c>
      <c r="AL440" t="s">
        <v>2672</v>
      </c>
      <c r="AN440" t="str">
        <f t="shared" si="106"/>
        <v>OK</v>
      </c>
      <c r="AO440" t="str">
        <f t="shared" si="107"/>
        <v>OK</v>
      </c>
      <c r="AP440" t="str">
        <f t="shared" si="108"/>
        <v>OK</v>
      </c>
      <c r="AR440" t="str">
        <f t="shared" si="109"/>
        <v>OK</v>
      </c>
      <c r="AS440" t="str">
        <f t="shared" si="110"/>
        <v>OK</v>
      </c>
      <c r="AT440" t="str">
        <f t="shared" si="111"/>
        <v>NOK</v>
      </c>
      <c r="AU440" t="str">
        <f t="shared" si="112"/>
        <v>OK</v>
      </c>
      <c r="AV440" t="str">
        <f t="shared" si="113"/>
        <v>OK</v>
      </c>
      <c r="AW440" t="str">
        <f t="shared" si="114"/>
        <v>OK</v>
      </c>
    </row>
    <row r="441" spans="1:49">
      <c r="A441">
        <f>Dbase_velden_versie4_2!A437</f>
        <v>437</v>
      </c>
      <c r="B441" t="str">
        <f>Dbase_velden_versie4_2!B437</f>
        <v>TXT_MS_T2_2%</v>
      </c>
      <c r="C441" t="str">
        <f>Dbase_velden_versie4_2!C437</f>
        <v>kPa</v>
      </c>
      <c r="D441" t="str">
        <f>Dbase_velden_versie4_2!D437</f>
        <v>t 2e trap2% rek</v>
      </c>
      <c r="E441" t="str">
        <f>Dbase_velden_versie4_2!E437</f>
        <v>Double</v>
      </c>
      <c r="F441">
        <f>Dbase_velden_versie4_2!F437</f>
        <v>0</v>
      </c>
      <c r="G441" t="str">
        <f>Dbase_velden_versie4_2!G437</f>
        <v>TXT MS T2 2%</v>
      </c>
      <c r="H441" t="str">
        <f>Dbase_velden_versie4_2!H437</f>
        <v>[kPa]</v>
      </c>
      <c r="I441" t="str">
        <f>Dbase_velden_versie4_2!I437</f>
        <v>TXT_MS</v>
      </c>
      <c r="J441" t="str">
        <f>Dbase_velden_versie4_2!J437</f>
        <v>Triaxiaalproeven multistage (CU-MS)</v>
      </c>
      <c r="K441">
        <v>437</v>
      </c>
      <c r="L441" t="str">
        <v>TXT_MS_T2_2%</v>
      </c>
      <c r="M441" t="str">
        <v>kPa</v>
      </c>
      <c r="N441" t="str">
        <v>t 2e trap2% rek</v>
      </c>
      <c r="O441" t="str">
        <v>Double</v>
      </c>
      <c r="P441">
        <v>0</v>
      </c>
      <c r="Q441" t="str">
        <v>TXT MS T2 2%</v>
      </c>
      <c r="R441" t="str">
        <v>[kPa]</v>
      </c>
      <c r="S441" t="str">
        <f t="shared" si="105"/>
        <v>OK</v>
      </c>
      <c r="T441" t="str">
        <f t="shared" si="99"/>
        <v>OK</v>
      </c>
      <c r="U441" t="str">
        <f t="shared" si="100"/>
        <v>OK</v>
      </c>
      <c r="V441" t="str">
        <f t="shared" si="101"/>
        <v>OK</v>
      </c>
      <c r="W441" t="str">
        <f t="shared" si="102"/>
        <v>OK</v>
      </c>
      <c r="X441" t="str">
        <f t="shared" si="103"/>
        <v>OK</v>
      </c>
      <c r="Y441" t="str">
        <f t="shared" si="104"/>
        <v>OK</v>
      </c>
      <c r="Z441">
        <v>436</v>
      </c>
      <c r="AA441">
        <v>438</v>
      </c>
      <c r="AB441" t="s">
        <v>2670</v>
      </c>
      <c r="AC441" t="s">
        <v>437</v>
      </c>
      <c r="AD441" t="s">
        <v>470</v>
      </c>
      <c r="AE441" t="s">
        <v>871</v>
      </c>
      <c r="AG441" t="s">
        <v>897</v>
      </c>
      <c r="AI441" t="s">
        <v>2683</v>
      </c>
      <c r="AJ441" t="s">
        <v>1402</v>
      </c>
      <c r="AK441" t="s">
        <v>2670</v>
      </c>
      <c r="AL441" t="s">
        <v>2672</v>
      </c>
      <c r="AN441" t="str">
        <f t="shared" si="106"/>
        <v>OK</v>
      </c>
      <c r="AO441" t="str">
        <f t="shared" si="107"/>
        <v>OK</v>
      </c>
      <c r="AP441" t="str">
        <f t="shared" si="108"/>
        <v>OK</v>
      </c>
      <c r="AR441" t="str">
        <f t="shared" si="109"/>
        <v>OK</v>
      </c>
      <c r="AS441" t="str">
        <f t="shared" si="110"/>
        <v>OK</v>
      </c>
      <c r="AT441" t="str">
        <f t="shared" si="111"/>
        <v>NOK</v>
      </c>
      <c r="AU441" t="str">
        <f t="shared" si="112"/>
        <v>OK</v>
      </c>
      <c r="AV441" t="str">
        <f t="shared" si="113"/>
        <v>OK</v>
      </c>
      <c r="AW441" t="str">
        <f t="shared" si="114"/>
        <v>OK</v>
      </c>
    </row>
    <row r="442" spans="1:49">
      <c r="A442">
        <f>Dbase_velden_versie4_2!A438</f>
        <v>438</v>
      </c>
      <c r="B442" t="str">
        <f>Dbase_velden_versie4_2!B438</f>
        <v>TXT_MS_T3_2%</v>
      </c>
      <c r="C442" t="str">
        <f>Dbase_velden_versie4_2!C438</f>
        <v>kPa</v>
      </c>
      <c r="D442" t="str">
        <f>Dbase_velden_versie4_2!D438</f>
        <v>t 3e trap2% rek</v>
      </c>
      <c r="E442" t="str">
        <f>Dbase_velden_versie4_2!E438</f>
        <v>Double</v>
      </c>
      <c r="F442">
        <f>Dbase_velden_versie4_2!F438</f>
        <v>0</v>
      </c>
      <c r="G442" t="str">
        <f>Dbase_velden_versie4_2!G438</f>
        <v>TXT MS T3 2%</v>
      </c>
      <c r="H442" t="str">
        <f>Dbase_velden_versie4_2!H438</f>
        <v>[kPa]</v>
      </c>
      <c r="I442" t="str">
        <f>Dbase_velden_versie4_2!I438</f>
        <v>TXT_MS</v>
      </c>
      <c r="J442" t="str">
        <f>Dbase_velden_versie4_2!J438</f>
        <v>Triaxiaalproeven multistage (CU-MS)</v>
      </c>
      <c r="K442">
        <v>438</v>
      </c>
      <c r="L442" t="str">
        <v>TXT_MS_T3_2%</v>
      </c>
      <c r="M442" t="str">
        <v>kPa</v>
      </c>
      <c r="N442" t="str">
        <v>t 3e trap2% rek</v>
      </c>
      <c r="O442" t="str">
        <v>Double</v>
      </c>
      <c r="P442">
        <v>0</v>
      </c>
      <c r="Q442" t="str">
        <v>TXT MS T3 2%</v>
      </c>
      <c r="R442" t="str">
        <v>[kPa]</v>
      </c>
      <c r="S442" t="str">
        <f t="shared" si="105"/>
        <v>OK</v>
      </c>
      <c r="T442" t="str">
        <f t="shared" si="99"/>
        <v>OK</v>
      </c>
      <c r="U442" t="str">
        <f t="shared" si="100"/>
        <v>OK</v>
      </c>
      <c r="V442" t="str">
        <f t="shared" si="101"/>
        <v>OK</v>
      </c>
      <c r="W442" t="str">
        <f t="shared" si="102"/>
        <v>OK</v>
      </c>
      <c r="X442" t="str">
        <f t="shared" si="103"/>
        <v>OK</v>
      </c>
      <c r="Y442" t="str">
        <f t="shared" si="104"/>
        <v>OK</v>
      </c>
      <c r="Z442">
        <v>437</v>
      </c>
      <c r="AA442">
        <v>439</v>
      </c>
      <c r="AB442" t="s">
        <v>2670</v>
      </c>
      <c r="AC442" t="s">
        <v>438</v>
      </c>
      <c r="AD442" t="s">
        <v>470</v>
      </c>
      <c r="AE442" t="s">
        <v>872</v>
      </c>
      <c r="AG442" t="s">
        <v>897</v>
      </c>
      <c r="AI442" t="s">
        <v>2684</v>
      </c>
      <c r="AJ442" t="s">
        <v>1402</v>
      </c>
      <c r="AK442" t="s">
        <v>2670</v>
      </c>
      <c r="AL442" t="s">
        <v>2672</v>
      </c>
      <c r="AN442" t="str">
        <f t="shared" si="106"/>
        <v>OK</v>
      </c>
      <c r="AO442" t="str">
        <f t="shared" si="107"/>
        <v>OK</v>
      </c>
      <c r="AP442" t="str">
        <f t="shared" si="108"/>
        <v>OK</v>
      </c>
      <c r="AR442" t="str">
        <f t="shared" si="109"/>
        <v>OK</v>
      </c>
      <c r="AS442" t="str">
        <f t="shared" si="110"/>
        <v>OK</v>
      </c>
      <c r="AT442" t="str">
        <f t="shared" si="111"/>
        <v>NOK</v>
      </c>
      <c r="AU442" t="str">
        <f t="shared" si="112"/>
        <v>OK</v>
      </c>
      <c r="AV442" t="str">
        <f t="shared" si="113"/>
        <v>OK</v>
      </c>
      <c r="AW442" t="str">
        <f t="shared" si="114"/>
        <v>OK</v>
      </c>
    </row>
    <row r="443" spans="1:49">
      <c r="A443">
        <f>Dbase_velden_versie4_2!A439</f>
        <v>439</v>
      </c>
      <c r="B443" t="str">
        <f>Dbase_velden_versie4_2!B439</f>
        <v>TXT_MS_C_2%</v>
      </c>
      <c r="C443" t="str">
        <f>Dbase_velden_versie4_2!C439</f>
        <v>kPa</v>
      </c>
      <c r="D443" t="str">
        <f>Dbase_velden_versie4_2!D439</f>
        <v>c'2% rek</v>
      </c>
      <c r="E443" t="str">
        <f>Dbase_velden_versie4_2!E439</f>
        <v>Double</v>
      </c>
      <c r="F443" t="str">
        <f>Dbase_velden_versie4_2!F439</f>
        <v>0 - 100</v>
      </c>
      <c r="G443" t="str">
        <f>Dbase_velden_versie4_2!G439</f>
        <v>TXT MS C 2%</v>
      </c>
      <c r="H443" t="str">
        <f>Dbase_velden_versie4_2!H439</f>
        <v>[kPa]</v>
      </c>
      <c r="I443" t="str">
        <f>Dbase_velden_versie4_2!I439</f>
        <v>TXT_MS</v>
      </c>
      <c r="J443" t="str">
        <f>Dbase_velden_versie4_2!J439</f>
        <v>Triaxiaalproeven multistage (CU-MS)</v>
      </c>
      <c r="K443">
        <v>439</v>
      </c>
      <c r="L443" t="str">
        <v>TXT_MS_C_2%</v>
      </c>
      <c r="M443" t="str">
        <v>kPa</v>
      </c>
      <c r="N443" t="str">
        <v>c'2% rek</v>
      </c>
      <c r="O443" t="str">
        <v>Double</v>
      </c>
      <c r="P443" t="str">
        <v>0 - 100</v>
      </c>
      <c r="Q443" t="str">
        <v>TXT MS C 2%</v>
      </c>
      <c r="R443" t="str">
        <v>[kPa]</v>
      </c>
      <c r="S443" t="str">
        <f t="shared" si="105"/>
        <v>OK</v>
      </c>
      <c r="T443" t="str">
        <f t="shared" si="99"/>
        <v>OK</v>
      </c>
      <c r="U443" t="str">
        <f t="shared" si="100"/>
        <v>OK</v>
      </c>
      <c r="V443" t="str">
        <f t="shared" si="101"/>
        <v>OK</v>
      </c>
      <c r="W443" t="str">
        <f t="shared" si="102"/>
        <v>OK</v>
      </c>
      <c r="X443" t="str">
        <f t="shared" si="103"/>
        <v>OK</v>
      </c>
      <c r="Y443" t="str">
        <f t="shared" si="104"/>
        <v>OK</v>
      </c>
      <c r="Z443">
        <v>438</v>
      </c>
      <c r="AA443">
        <v>440</v>
      </c>
      <c r="AB443" t="s">
        <v>2670</v>
      </c>
      <c r="AC443" t="s">
        <v>439</v>
      </c>
      <c r="AD443" t="s">
        <v>470</v>
      </c>
      <c r="AE443" t="s">
        <v>873</v>
      </c>
      <c r="AG443" t="s">
        <v>897</v>
      </c>
      <c r="AH443" t="s">
        <v>931</v>
      </c>
      <c r="AI443" t="s">
        <v>2685</v>
      </c>
      <c r="AJ443" t="s">
        <v>1402</v>
      </c>
      <c r="AK443" t="s">
        <v>2670</v>
      </c>
      <c r="AL443" t="s">
        <v>2672</v>
      </c>
      <c r="AN443" t="str">
        <f t="shared" si="106"/>
        <v>OK</v>
      </c>
      <c r="AO443" t="str">
        <f t="shared" si="107"/>
        <v>OK</v>
      </c>
      <c r="AP443" t="str">
        <f t="shared" si="108"/>
        <v>OK</v>
      </c>
      <c r="AR443" t="str">
        <f t="shared" si="109"/>
        <v>OK</v>
      </c>
      <c r="AS443" t="str">
        <f t="shared" si="110"/>
        <v>OK</v>
      </c>
      <c r="AT443" t="str">
        <f t="shared" si="111"/>
        <v>NOK</v>
      </c>
      <c r="AU443" t="str">
        <f t="shared" si="112"/>
        <v>OK</v>
      </c>
      <c r="AV443" t="str">
        <f t="shared" si="113"/>
        <v>OK</v>
      </c>
      <c r="AW443" t="str">
        <f t="shared" si="114"/>
        <v>OK</v>
      </c>
    </row>
    <row r="444" spans="1:49">
      <c r="A444">
        <f>Dbase_velden_versie4_2!A440</f>
        <v>440</v>
      </c>
      <c r="B444" t="str">
        <f>Dbase_velden_versie4_2!B440</f>
        <v>TXT_MS_PHI_2%</v>
      </c>
      <c r="C444" t="str">
        <f>Dbase_velden_versie4_2!C440</f>
        <v>°</v>
      </c>
      <c r="D444" t="str">
        <f>Dbase_velden_versie4_2!D440</f>
        <v>f'2% rek</v>
      </c>
      <c r="E444" t="str">
        <f>Dbase_velden_versie4_2!E440</f>
        <v>Double</v>
      </c>
      <c r="F444" t="str">
        <f>Dbase_velden_versie4_2!F440</f>
        <v>0 - 90</v>
      </c>
      <c r="G444" t="str">
        <f>Dbase_velden_versie4_2!G440</f>
        <v>TXT MS PHI 2%</v>
      </c>
      <c r="H444" t="str">
        <f>Dbase_velden_versie4_2!H440</f>
        <v>[°]</v>
      </c>
      <c r="I444" t="str">
        <f>Dbase_velden_versie4_2!I440</f>
        <v>TXT_MS</v>
      </c>
      <c r="J444" t="str">
        <f>Dbase_velden_versie4_2!J440</f>
        <v>Triaxiaalproeven multistage (CU-MS)</v>
      </c>
      <c r="K444">
        <v>440</v>
      </c>
      <c r="L444" t="str">
        <v>TXT_MS_PHI_2%</v>
      </c>
      <c r="M444" t="str">
        <v>°</v>
      </c>
      <c r="N444" t="str">
        <v>f'2% rek</v>
      </c>
      <c r="O444" t="str">
        <v>Double</v>
      </c>
      <c r="P444" t="str">
        <v>0 - 90</v>
      </c>
      <c r="Q444" t="str">
        <v>TXT MS PHI 2%</v>
      </c>
      <c r="R444" t="str">
        <v>[°]</v>
      </c>
      <c r="S444" t="str">
        <f t="shared" si="105"/>
        <v>OK</v>
      </c>
      <c r="T444" t="str">
        <f t="shared" si="99"/>
        <v>OK</v>
      </c>
      <c r="U444" t="str">
        <f t="shared" si="100"/>
        <v>OK</v>
      </c>
      <c r="V444" t="str">
        <f t="shared" si="101"/>
        <v>OK</v>
      </c>
      <c r="W444" t="str">
        <f t="shared" si="102"/>
        <v>OK</v>
      </c>
      <c r="X444" t="str">
        <f t="shared" si="103"/>
        <v>OK</v>
      </c>
      <c r="Y444" t="str">
        <f t="shared" si="104"/>
        <v>OK</v>
      </c>
      <c r="Z444">
        <v>439</v>
      </c>
      <c r="AA444">
        <v>441</v>
      </c>
      <c r="AB444" t="s">
        <v>2670</v>
      </c>
      <c r="AC444" t="s">
        <v>440</v>
      </c>
      <c r="AD444" t="s">
        <v>483</v>
      </c>
      <c r="AE444" t="s">
        <v>874</v>
      </c>
      <c r="AG444" t="s">
        <v>897</v>
      </c>
      <c r="AH444" t="s">
        <v>932</v>
      </c>
      <c r="AI444" t="s">
        <v>2686</v>
      </c>
      <c r="AJ444" t="s">
        <v>1415</v>
      </c>
      <c r="AK444" t="s">
        <v>2670</v>
      </c>
      <c r="AL444" t="s">
        <v>2672</v>
      </c>
      <c r="AN444" t="str">
        <f t="shared" si="106"/>
        <v>OK</v>
      </c>
      <c r="AO444" t="str">
        <f t="shared" si="107"/>
        <v>OK</v>
      </c>
      <c r="AP444" t="str">
        <f t="shared" si="108"/>
        <v>OK</v>
      </c>
      <c r="AR444" t="str">
        <f t="shared" si="109"/>
        <v>OK</v>
      </c>
      <c r="AS444" t="str">
        <f t="shared" si="110"/>
        <v>OK</v>
      </c>
      <c r="AT444" t="str">
        <f t="shared" si="111"/>
        <v>NOK</v>
      </c>
      <c r="AU444" t="str">
        <f t="shared" si="112"/>
        <v>OK</v>
      </c>
      <c r="AV444" t="str">
        <f t="shared" si="113"/>
        <v>OK</v>
      </c>
      <c r="AW444" t="str">
        <f t="shared" si="114"/>
        <v>OK</v>
      </c>
    </row>
    <row r="445" spans="1:49">
      <c r="A445">
        <f>Dbase_velden_versie4_2!A441</f>
        <v>441</v>
      </c>
      <c r="B445" t="str">
        <f>Dbase_velden_versie4_2!B441</f>
        <v>TXT_MS_S1'_5%</v>
      </c>
      <c r="C445" t="str">
        <f>Dbase_velden_versie4_2!C441</f>
        <v>kPa</v>
      </c>
      <c r="D445" t="str">
        <f>Dbase_velden_versie4_2!D441</f>
        <v>s' 1e trap5% rek</v>
      </c>
      <c r="E445" t="str">
        <f>Dbase_velden_versie4_2!E441</f>
        <v>Double</v>
      </c>
      <c r="F445">
        <f>Dbase_velden_versie4_2!F441</f>
        <v>0</v>
      </c>
      <c r="G445" t="str">
        <f>Dbase_velden_versie4_2!G441</f>
        <v>TXT MS S1' 5%</v>
      </c>
      <c r="H445" t="str">
        <f>Dbase_velden_versie4_2!H441</f>
        <v>[kPa]</v>
      </c>
      <c r="I445" t="str">
        <f>Dbase_velden_versie4_2!I441</f>
        <v>TXT_MS</v>
      </c>
      <c r="J445" t="str">
        <f>Dbase_velden_versie4_2!J441</f>
        <v>Triaxiaalproeven multistage (CU-MS)</v>
      </c>
      <c r="K445">
        <v>441</v>
      </c>
      <c r="L445" t="str">
        <v>TXT_MS_S1'_5%</v>
      </c>
      <c r="M445" t="str">
        <v>kPa</v>
      </c>
      <c r="N445" t="str">
        <v>s' 1e trap5% rek</v>
      </c>
      <c r="O445" t="str">
        <v>Double</v>
      </c>
      <c r="P445">
        <v>0</v>
      </c>
      <c r="Q445" t="str">
        <v>TXT MS S1' 5%</v>
      </c>
      <c r="R445" t="str">
        <v>[kPa]</v>
      </c>
      <c r="S445" t="str">
        <f t="shared" si="105"/>
        <v>OK</v>
      </c>
      <c r="T445" t="str">
        <f t="shared" si="99"/>
        <v>OK</v>
      </c>
      <c r="U445" t="str">
        <f t="shared" si="100"/>
        <v>OK</v>
      </c>
      <c r="V445" t="str">
        <f t="shared" si="101"/>
        <v>OK</v>
      </c>
      <c r="W445" t="str">
        <f t="shared" si="102"/>
        <v>OK</v>
      </c>
      <c r="X445" t="str">
        <f t="shared" si="103"/>
        <v>OK</v>
      </c>
      <c r="Y445" t="str">
        <f t="shared" si="104"/>
        <v>OK</v>
      </c>
      <c r="Z445">
        <v>440</v>
      </c>
      <c r="AA445">
        <v>442</v>
      </c>
      <c r="AB445" t="s">
        <v>2670</v>
      </c>
      <c r="AC445" t="s">
        <v>441</v>
      </c>
      <c r="AD445" t="s">
        <v>470</v>
      </c>
      <c r="AE445" t="s">
        <v>875</v>
      </c>
      <c r="AG445" t="s">
        <v>897</v>
      </c>
      <c r="AI445" t="s">
        <v>2687</v>
      </c>
      <c r="AJ445" t="s">
        <v>1402</v>
      </c>
      <c r="AK445" t="s">
        <v>2670</v>
      </c>
      <c r="AL445" t="s">
        <v>2672</v>
      </c>
      <c r="AN445" t="str">
        <f t="shared" si="106"/>
        <v>OK</v>
      </c>
      <c r="AO445" t="str">
        <f t="shared" si="107"/>
        <v>OK</v>
      </c>
      <c r="AP445" t="str">
        <f t="shared" si="108"/>
        <v>OK</v>
      </c>
      <c r="AR445" t="str">
        <f t="shared" si="109"/>
        <v>OK</v>
      </c>
      <c r="AS445" t="str">
        <f t="shared" si="110"/>
        <v>OK</v>
      </c>
      <c r="AT445" t="str">
        <f t="shared" si="111"/>
        <v>NOK</v>
      </c>
      <c r="AU445" t="str">
        <f t="shared" si="112"/>
        <v>OK</v>
      </c>
      <c r="AV445" t="str">
        <f t="shared" si="113"/>
        <v>OK</v>
      </c>
      <c r="AW445" t="str">
        <f t="shared" si="114"/>
        <v>OK</v>
      </c>
    </row>
    <row r="446" spans="1:49">
      <c r="A446">
        <f>Dbase_velden_versie4_2!A442</f>
        <v>442</v>
      </c>
      <c r="B446" t="str">
        <f>Dbase_velden_versie4_2!B442</f>
        <v>TXT_MS_S2'_5%</v>
      </c>
      <c r="C446" t="str">
        <f>Dbase_velden_versie4_2!C442</f>
        <v>kPa</v>
      </c>
      <c r="D446" t="str">
        <f>Dbase_velden_versie4_2!D442</f>
        <v>s' 2e trap5% rek</v>
      </c>
      <c r="E446" t="str">
        <f>Dbase_velden_versie4_2!E442</f>
        <v>Double</v>
      </c>
      <c r="F446">
        <f>Dbase_velden_versie4_2!F442</f>
        <v>0</v>
      </c>
      <c r="G446" t="str">
        <f>Dbase_velden_versie4_2!G442</f>
        <v>TXT MS S2' 5%</v>
      </c>
      <c r="H446" t="str">
        <f>Dbase_velden_versie4_2!H442</f>
        <v>[kPa]</v>
      </c>
      <c r="I446" t="str">
        <f>Dbase_velden_versie4_2!I442</f>
        <v>TXT_MS</v>
      </c>
      <c r="J446" t="str">
        <f>Dbase_velden_versie4_2!J442</f>
        <v>Triaxiaalproeven multistage (CU-MS)</v>
      </c>
      <c r="K446">
        <v>442</v>
      </c>
      <c r="L446" t="str">
        <v>TXT_MS_S2'_5%</v>
      </c>
      <c r="M446" t="str">
        <v>kPa</v>
      </c>
      <c r="N446" t="str">
        <v>s' 2e trap5% rek</v>
      </c>
      <c r="O446" t="str">
        <v>Double</v>
      </c>
      <c r="P446">
        <v>0</v>
      </c>
      <c r="Q446" t="str">
        <v>TXT MS S2' 5%</v>
      </c>
      <c r="R446" t="str">
        <v>[kPa]</v>
      </c>
      <c r="S446" t="str">
        <f t="shared" si="105"/>
        <v>OK</v>
      </c>
      <c r="T446" t="str">
        <f t="shared" si="99"/>
        <v>OK</v>
      </c>
      <c r="U446" t="str">
        <f t="shared" si="100"/>
        <v>OK</v>
      </c>
      <c r="V446" t="str">
        <f t="shared" si="101"/>
        <v>OK</v>
      </c>
      <c r="W446" t="str">
        <f t="shared" si="102"/>
        <v>OK</v>
      </c>
      <c r="X446" t="str">
        <f t="shared" si="103"/>
        <v>OK</v>
      </c>
      <c r="Y446" t="str">
        <f t="shared" si="104"/>
        <v>OK</v>
      </c>
      <c r="Z446">
        <v>441</v>
      </c>
      <c r="AA446">
        <v>443</v>
      </c>
      <c r="AB446" t="s">
        <v>2670</v>
      </c>
      <c r="AC446" t="s">
        <v>442</v>
      </c>
      <c r="AD446" t="s">
        <v>470</v>
      </c>
      <c r="AE446" t="s">
        <v>876</v>
      </c>
      <c r="AG446" t="s">
        <v>897</v>
      </c>
      <c r="AI446" t="s">
        <v>2688</v>
      </c>
      <c r="AJ446" t="s">
        <v>1402</v>
      </c>
      <c r="AK446" t="s">
        <v>2670</v>
      </c>
      <c r="AL446" t="s">
        <v>2672</v>
      </c>
      <c r="AN446" t="str">
        <f t="shared" si="106"/>
        <v>OK</v>
      </c>
      <c r="AO446" t="str">
        <f t="shared" si="107"/>
        <v>OK</v>
      </c>
      <c r="AP446" t="str">
        <f t="shared" si="108"/>
        <v>OK</v>
      </c>
      <c r="AR446" t="str">
        <f t="shared" si="109"/>
        <v>OK</v>
      </c>
      <c r="AS446" t="str">
        <f t="shared" si="110"/>
        <v>OK</v>
      </c>
      <c r="AT446" t="str">
        <f t="shared" si="111"/>
        <v>NOK</v>
      </c>
      <c r="AU446" t="str">
        <f t="shared" si="112"/>
        <v>OK</v>
      </c>
      <c r="AV446" t="str">
        <f t="shared" si="113"/>
        <v>OK</v>
      </c>
      <c r="AW446" t="str">
        <f t="shared" si="114"/>
        <v>OK</v>
      </c>
    </row>
    <row r="447" spans="1:49">
      <c r="A447">
        <f>Dbase_velden_versie4_2!A443</f>
        <v>443</v>
      </c>
      <c r="B447" t="str">
        <f>Dbase_velden_versie4_2!B443</f>
        <v>TXT_MS_S3'_5%</v>
      </c>
      <c r="C447" t="str">
        <f>Dbase_velden_versie4_2!C443</f>
        <v>kPa</v>
      </c>
      <c r="D447" t="str">
        <f>Dbase_velden_versie4_2!D443</f>
        <v>s' 3e trap5% rek</v>
      </c>
      <c r="E447" t="str">
        <f>Dbase_velden_versie4_2!E443</f>
        <v>Double</v>
      </c>
      <c r="F447">
        <f>Dbase_velden_versie4_2!F443</f>
        <v>0</v>
      </c>
      <c r="G447" t="str">
        <f>Dbase_velden_versie4_2!G443</f>
        <v>TXT MS S3' 5%</v>
      </c>
      <c r="H447" t="str">
        <f>Dbase_velden_versie4_2!H443</f>
        <v>[kPa]</v>
      </c>
      <c r="I447" t="str">
        <f>Dbase_velden_versie4_2!I443</f>
        <v>TXT_MS</v>
      </c>
      <c r="J447" t="str">
        <f>Dbase_velden_versie4_2!J443</f>
        <v>Triaxiaalproeven multistage (CU-MS)</v>
      </c>
      <c r="K447">
        <v>443</v>
      </c>
      <c r="L447" t="str">
        <v>TXT_MS_S3'_5%</v>
      </c>
      <c r="M447" t="str">
        <v>kPa</v>
      </c>
      <c r="N447" t="str">
        <v>s' 3e trap5% rek</v>
      </c>
      <c r="O447" t="str">
        <v>Double</v>
      </c>
      <c r="P447">
        <v>0</v>
      </c>
      <c r="Q447" t="str">
        <v>TXT MS S3' 5%</v>
      </c>
      <c r="R447" t="str">
        <v>[kPa]</v>
      </c>
      <c r="S447" t="str">
        <f t="shared" si="105"/>
        <v>OK</v>
      </c>
      <c r="T447" t="str">
        <f t="shared" si="99"/>
        <v>OK</v>
      </c>
      <c r="U447" t="str">
        <f t="shared" si="100"/>
        <v>OK</v>
      </c>
      <c r="V447" t="str">
        <f t="shared" si="101"/>
        <v>OK</v>
      </c>
      <c r="W447" t="str">
        <f t="shared" si="102"/>
        <v>OK</v>
      </c>
      <c r="X447" t="str">
        <f t="shared" si="103"/>
        <v>OK</v>
      </c>
      <c r="Y447" t="str">
        <f t="shared" si="104"/>
        <v>OK</v>
      </c>
      <c r="Z447">
        <v>442</v>
      </c>
      <c r="AA447">
        <v>444</v>
      </c>
      <c r="AB447" t="s">
        <v>2670</v>
      </c>
      <c r="AC447" t="s">
        <v>443</v>
      </c>
      <c r="AD447" t="s">
        <v>470</v>
      </c>
      <c r="AE447" t="s">
        <v>877</v>
      </c>
      <c r="AG447" t="s">
        <v>897</v>
      </c>
      <c r="AI447" t="s">
        <v>2689</v>
      </c>
      <c r="AJ447" t="s">
        <v>1402</v>
      </c>
      <c r="AK447" t="s">
        <v>2670</v>
      </c>
      <c r="AL447" t="s">
        <v>2672</v>
      </c>
      <c r="AN447" t="str">
        <f t="shared" si="106"/>
        <v>OK</v>
      </c>
      <c r="AO447" t="str">
        <f t="shared" si="107"/>
        <v>OK</v>
      </c>
      <c r="AP447" t="str">
        <f t="shared" si="108"/>
        <v>OK</v>
      </c>
      <c r="AR447" t="str">
        <f t="shared" si="109"/>
        <v>OK</v>
      </c>
      <c r="AS447" t="str">
        <f t="shared" si="110"/>
        <v>OK</v>
      </c>
      <c r="AT447" t="str">
        <f t="shared" si="111"/>
        <v>NOK</v>
      </c>
      <c r="AU447" t="str">
        <f t="shared" si="112"/>
        <v>OK</v>
      </c>
      <c r="AV447" t="str">
        <f t="shared" si="113"/>
        <v>OK</v>
      </c>
      <c r="AW447" t="str">
        <f t="shared" si="114"/>
        <v>OK</v>
      </c>
    </row>
    <row r="448" spans="1:49">
      <c r="A448">
        <f>Dbase_velden_versie4_2!A444</f>
        <v>444</v>
      </c>
      <c r="B448" t="str">
        <f>Dbase_velden_versie4_2!B444</f>
        <v>TXT_MS_T1_5%</v>
      </c>
      <c r="C448" t="str">
        <f>Dbase_velden_versie4_2!C444</f>
        <v>kPa</v>
      </c>
      <c r="D448" t="str">
        <f>Dbase_velden_versie4_2!D444</f>
        <v>t 1e trap5% rek</v>
      </c>
      <c r="E448" t="str">
        <f>Dbase_velden_versie4_2!E444</f>
        <v>Double</v>
      </c>
      <c r="F448">
        <f>Dbase_velden_versie4_2!F444</f>
        <v>0</v>
      </c>
      <c r="G448" t="str">
        <f>Dbase_velden_versie4_2!G444</f>
        <v>TXT MS T1 5%</v>
      </c>
      <c r="H448" t="str">
        <f>Dbase_velden_versie4_2!H444</f>
        <v>[kPa]</v>
      </c>
      <c r="I448" t="str">
        <f>Dbase_velden_versie4_2!I444</f>
        <v>TXT_MS</v>
      </c>
      <c r="J448" t="str">
        <f>Dbase_velden_versie4_2!J444</f>
        <v>Triaxiaalproeven multistage (CU-MS)</v>
      </c>
      <c r="K448">
        <v>444</v>
      </c>
      <c r="L448" t="str">
        <v>TXT_MS_T1_5%</v>
      </c>
      <c r="M448" t="str">
        <v>kPa</v>
      </c>
      <c r="N448" t="str">
        <v>t 1e trap5% rek</v>
      </c>
      <c r="O448" t="str">
        <v>Double</v>
      </c>
      <c r="P448">
        <v>0</v>
      </c>
      <c r="Q448" t="str">
        <v>TXT MS T1 5%</v>
      </c>
      <c r="R448" t="str">
        <v>[kPa]</v>
      </c>
      <c r="S448" t="str">
        <f t="shared" si="105"/>
        <v>OK</v>
      </c>
      <c r="T448" t="str">
        <f t="shared" si="99"/>
        <v>OK</v>
      </c>
      <c r="U448" t="str">
        <f t="shared" si="100"/>
        <v>OK</v>
      </c>
      <c r="V448" t="str">
        <f t="shared" si="101"/>
        <v>OK</v>
      </c>
      <c r="W448" t="str">
        <f t="shared" si="102"/>
        <v>OK</v>
      </c>
      <c r="X448" t="str">
        <f t="shared" si="103"/>
        <v>OK</v>
      </c>
      <c r="Y448" t="str">
        <f t="shared" si="104"/>
        <v>OK</v>
      </c>
      <c r="Z448">
        <v>443</v>
      </c>
      <c r="AA448">
        <v>445</v>
      </c>
      <c r="AB448" t="s">
        <v>2670</v>
      </c>
      <c r="AC448" t="s">
        <v>444</v>
      </c>
      <c r="AD448" t="s">
        <v>470</v>
      </c>
      <c r="AE448" t="s">
        <v>878</v>
      </c>
      <c r="AG448" t="s">
        <v>897</v>
      </c>
      <c r="AI448" t="s">
        <v>2690</v>
      </c>
      <c r="AJ448" t="s">
        <v>1402</v>
      </c>
      <c r="AK448" t="s">
        <v>2670</v>
      </c>
      <c r="AL448" t="s">
        <v>2672</v>
      </c>
      <c r="AN448" t="str">
        <f t="shared" si="106"/>
        <v>OK</v>
      </c>
      <c r="AO448" t="str">
        <f t="shared" si="107"/>
        <v>OK</v>
      </c>
      <c r="AP448" t="str">
        <f t="shared" si="108"/>
        <v>OK</v>
      </c>
      <c r="AR448" t="str">
        <f t="shared" si="109"/>
        <v>OK</v>
      </c>
      <c r="AS448" t="str">
        <f t="shared" si="110"/>
        <v>OK</v>
      </c>
      <c r="AT448" t="str">
        <f t="shared" si="111"/>
        <v>NOK</v>
      </c>
      <c r="AU448" t="str">
        <f t="shared" si="112"/>
        <v>OK</v>
      </c>
      <c r="AV448" t="str">
        <f t="shared" si="113"/>
        <v>OK</v>
      </c>
      <c r="AW448" t="str">
        <f t="shared" si="114"/>
        <v>OK</v>
      </c>
    </row>
    <row r="449" spans="1:49">
      <c r="A449">
        <f>Dbase_velden_versie4_2!A445</f>
        <v>445</v>
      </c>
      <c r="B449" t="str">
        <f>Dbase_velden_versie4_2!B445</f>
        <v>TXT_MS_T2_5%</v>
      </c>
      <c r="C449" t="str">
        <f>Dbase_velden_versie4_2!C445</f>
        <v>kPa</v>
      </c>
      <c r="D449" t="str">
        <f>Dbase_velden_versie4_2!D445</f>
        <v>t 2e trap5% rek</v>
      </c>
      <c r="E449" t="str">
        <f>Dbase_velden_versie4_2!E445</f>
        <v>Double</v>
      </c>
      <c r="F449">
        <f>Dbase_velden_versie4_2!F445</f>
        <v>0</v>
      </c>
      <c r="G449" t="str">
        <f>Dbase_velden_versie4_2!G445</f>
        <v>TXT MS T2 5%</v>
      </c>
      <c r="H449" t="str">
        <f>Dbase_velden_versie4_2!H445</f>
        <v>[kPa]</v>
      </c>
      <c r="I449" t="str">
        <f>Dbase_velden_versie4_2!I445</f>
        <v>TXT_MS</v>
      </c>
      <c r="J449" t="str">
        <f>Dbase_velden_versie4_2!J445</f>
        <v>Triaxiaalproeven multistage (CU-MS)</v>
      </c>
      <c r="K449">
        <v>445</v>
      </c>
      <c r="L449" t="str">
        <v>TXT_MS_T2_5%</v>
      </c>
      <c r="M449" t="str">
        <v>kPa</v>
      </c>
      <c r="N449" t="str">
        <v>t 2e trap5% rek</v>
      </c>
      <c r="O449" t="str">
        <v>Double</v>
      </c>
      <c r="P449">
        <v>0</v>
      </c>
      <c r="Q449" t="str">
        <v>TXT MS T2 5%</v>
      </c>
      <c r="R449" t="str">
        <v>[kPa]</v>
      </c>
      <c r="S449" t="str">
        <f t="shared" si="105"/>
        <v>OK</v>
      </c>
      <c r="T449" t="str">
        <f t="shared" si="99"/>
        <v>OK</v>
      </c>
      <c r="U449" t="str">
        <f t="shared" si="100"/>
        <v>OK</v>
      </c>
      <c r="V449" t="str">
        <f t="shared" si="101"/>
        <v>OK</v>
      </c>
      <c r="W449" t="str">
        <f t="shared" si="102"/>
        <v>OK</v>
      </c>
      <c r="X449" t="str">
        <f t="shared" si="103"/>
        <v>OK</v>
      </c>
      <c r="Y449" t="str">
        <f t="shared" si="104"/>
        <v>OK</v>
      </c>
      <c r="Z449">
        <v>444</v>
      </c>
      <c r="AA449">
        <v>446</v>
      </c>
      <c r="AB449" t="s">
        <v>2670</v>
      </c>
      <c r="AC449" t="s">
        <v>445</v>
      </c>
      <c r="AD449" t="s">
        <v>470</v>
      </c>
      <c r="AE449" t="s">
        <v>879</v>
      </c>
      <c r="AG449" t="s">
        <v>897</v>
      </c>
      <c r="AI449" t="s">
        <v>2691</v>
      </c>
      <c r="AJ449" t="s">
        <v>1402</v>
      </c>
      <c r="AK449" t="s">
        <v>2670</v>
      </c>
      <c r="AL449" t="s">
        <v>2672</v>
      </c>
      <c r="AN449" t="str">
        <f t="shared" si="106"/>
        <v>OK</v>
      </c>
      <c r="AO449" t="str">
        <f t="shared" si="107"/>
        <v>OK</v>
      </c>
      <c r="AP449" t="str">
        <f t="shared" si="108"/>
        <v>OK</v>
      </c>
      <c r="AR449" t="str">
        <f t="shared" si="109"/>
        <v>OK</v>
      </c>
      <c r="AS449" t="str">
        <f t="shared" si="110"/>
        <v>OK</v>
      </c>
      <c r="AT449" t="str">
        <f t="shared" si="111"/>
        <v>NOK</v>
      </c>
      <c r="AU449" t="str">
        <f t="shared" si="112"/>
        <v>OK</v>
      </c>
      <c r="AV449" t="str">
        <f t="shared" si="113"/>
        <v>OK</v>
      </c>
      <c r="AW449" t="str">
        <f t="shared" si="114"/>
        <v>OK</v>
      </c>
    </row>
    <row r="450" spans="1:49">
      <c r="A450">
        <f>Dbase_velden_versie4_2!A446</f>
        <v>446</v>
      </c>
      <c r="B450" t="str">
        <f>Dbase_velden_versie4_2!B446</f>
        <v>TXT_MS_T3_5%</v>
      </c>
      <c r="C450" t="str">
        <f>Dbase_velden_versie4_2!C446</f>
        <v>kPa</v>
      </c>
      <c r="D450" t="str">
        <f>Dbase_velden_versie4_2!D446</f>
        <v>t 3e trap5% rek</v>
      </c>
      <c r="E450" t="str">
        <f>Dbase_velden_versie4_2!E446</f>
        <v>Double</v>
      </c>
      <c r="F450">
        <f>Dbase_velden_versie4_2!F446</f>
        <v>0</v>
      </c>
      <c r="G450" t="str">
        <f>Dbase_velden_versie4_2!G446</f>
        <v>TXT MS T3 5%</v>
      </c>
      <c r="H450" t="str">
        <f>Dbase_velden_versie4_2!H446</f>
        <v>[kPa]</v>
      </c>
      <c r="I450" t="str">
        <f>Dbase_velden_versie4_2!I446</f>
        <v>TXT_MS</v>
      </c>
      <c r="J450" t="str">
        <f>Dbase_velden_versie4_2!J446</f>
        <v>Triaxiaalproeven multistage (CU-MS)</v>
      </c>
      <c r="K450">
        <v>446</v>
      </c>
      <c r="L450" t="str">
        <v>TXT_MS_T3_5%</v>
      </c>
      <c r="M450" t="str">
        <v>kPa</v>
      </c>
      <c r="N450" t="str">
        <v>t 3e trap5% rek</v>
      </c>
      <c r="O450" t="str">
        <v>Double</v>
      </c>
      <c r="P450">
        <v>0</v>
      </c>
      <c r="Q450" t="str">
        <v>TXT MS T3 5%</v>
      </c>
      <c r="R450" t="str">
        <v>[kPa]</v>
      </c>
      <c r="S450" t="str">
        <f t="shared" si="105"/>
        <v>OK</v>
      </c>
      <c r="T450" t="str">
        <f t="shared" si="99"/>
        <v>OK</v>
      </c>
      <c r="U450" t="str">
        <f t="shared" si="100"/>
        <v>OK</v>
      </c>
      <c r="V450" t="str">
        <f t="shared" si="101"/>
        <v>OK</v>
      </c>
      <c r="W450" t="str">
        <f t="shared" si="102"/>
        <v>OK</v>
      </c>
      <c r="X450" t="str">
        <f t="shared" si="103"/>
        <v>OK</v>
      </c>
      <c r="Y450" t="str">
        <f t="shared" si="104"/>
        <v>OK</v>
      </c>
      <c r="Z450">
        <v>445</v>
      </c>
      <c r="AA450">
        <v>447</v>
      </c>
      <c r="AB450" t="s">
        <v>2670</v>
      </c>
      <c r="AC450" t="s">
        <v>446</v>
      </c>
      <c r="AD450" t="s">
        <v>470</v>
      </c>
      <c r="AE450" t="s">
        <v>880</v>
      </c>
      <c r="AG450" t="s">
        <v>897</v>
      </c>
      <c r="AI450" t="s">
        <v>2692</v>
      </c>
      <c r="AJ450" t="s">
        <v>1402</v>
      </c>
      <c r="AK450" t="s">
        <v>2670</v>
      </c>
      <c r="AL450" t="s">
        <v>2672</v>
      </c>
      <c r="AN450" t="str">
        <f t="shared" si="106"/>
        <v>OK</v>
      </c>
      <c r="AO450" t="str">
        <f t="shared" si="107"/>
        <v>OK</v>
      </c>
      <c r="AP450" t="str">
        <f t="shared" si="108"/>
        <v>OK</v>
      </c>
      <c r="AR450" t="str">
        <f t="shared" si="109"/>
        <v>OK</v>
      </c>
      <c r="AS450" t="str">
        <f t="shared" si="110"/>
        <v>OK</v>
      </c>
      <c r="AT450" t="str">
        <f t="shared" si="111"/>
        <v>NOK</v>
      </c>
      <c r="AU450" t="str">
        <f t="shared" si="112"/>
        <v>OK</v>
      </c>
      <c r="AV450" t="str">
        <f t="shared" si="113"/>
        <v>OK</v>
      </c>
      <c r="AW450" t="str">
        <f t="shared" si="114"/>
        <v>OK</v>
      </c>
    </row>
    <row r="451" spans="1:49">
      <c r="A451">
        <f>Dbase_velden_versie4_2!A447</f>
        <v>447</v>
      </c>
      <c r="B451" t="str">
        <f>Dbase_velden_versie4_2!B447</f>
        <v>TXT_MS_C_5%</v>
      </c>
      <c r="C451" t="str">
        <f>Dbase_velden_versie4_2!C447</f>
        <v>kPa</v>
      </c>
      <c r="D451" t="str">
        <f>Dbase_velden_versie4_2!D447</f>
        <v>c'5% rek</v>
      </c>
      <c r="E451" t="str">
        <f>Dbase_velden_versie4_2!E447</f>
        <v>Double</v>
      </c>
      <c r="F451" t="str">
        <f>Dbase_velden_versie4_2!F447</f>
        <v>0 - 100</v>
      </c>
      <c r="G451" t="str">
        <f>Dbase_velden_versie4_2!G447</f>
        <v>TXT MS C 5%</v>
      </c>
      <c r="H451" t="str">
        <f>Dbase_velden_versie4_2!H447</f>
        <v>[kPa]</v>
      </c>
      <c r="I451" t="str">
        <f>Dbase_velden_versie4_2!I447</f>
        <v>TXT_MS</v>
      </c>
      <c r="J451" t="str">
        <f>Dbase_velden_versie4_2!J447</f>
        <v>Triaxiaalproeven multistage (CU-MS)</v>
      </c>
      <c r="K451">
        <v>447</v>
      </c>
      <c r="L451" t="str">
        <v>TXT_MS_C_5%</v>
      </c>
      <c r="M451" t="str">
        <v>kPa</v>
      </c>
      <c r="N451" t="str">
        <v>c'5% rek</v>
      </c>
      <c r="O451" t="str">
        <v>Double</v>
      </c>
      <c r="P451" t="str">
        <v>0 - 100</v>
      </c>
      <c r="Q451" t="str">
        <v>TXT MS C 5%</v>
      </c>
      <c r="R451" t="str">
        <v>[kPa]</v>
      </c>
      <c r="S451" t="str">
        <f t="shared" si="105"/>
        <v>OK</v>
      </c>
      <c r="T451" t="str">
        <f t="shared" si="99"/>
        <v>OK</v>
      </c>
      <c r="U451" t="str">
        <f t="shared" si="100"/>
        <v>OK</v>
      </c>
      <c r="V451" t="str">
        <f t="shared" si="101"/>
        <v>OK</v>
      </c>
      <c r="W451" t="str">
        <f t="shared" si="102"/>
        <v>OK</v>
      </c>
      <c r="X451" t="str">
        <f t="shared" si="103"/>
        <v>OK</v>
      </c>
      <c r="Y451" t="str">
        <f t="shared" si="104"/>
        <v>OK</v>
      </c>
      <c r="Z451">
        <v>446</v>
      </c>
      <c r="AA451">
        <v>448</v>
      </c>
      <c r="AB451" t="s">
        <v>2670</v>
      </c>
      <c r="AC451" t="s">
        <v>447</v>
      </c>
      <c r="AD451" t="s">
        <v>470</v>
      </c>
      <c r="AE451" t="s">
        <v>881</v>
      </c>
      <c r="AG451" t="s">
        <v>897</v>
      </c>
      <c r="AH451" t="s">
        <v>931</v>
      </c>
      <c r="AI451" t="s">
        <v>2693</v>
      </c>
      <c r="AJ451" t="s">
        <v>1402</v>
      </c>
      <c r="AK451" t="s">
        <v>2670</v>
      </c>
      <c r="AL451" t="s">
        <v>2672</v>
      </c>
      <c r="AN451" t="str">
        <f t="shared" si="106"/>
        <v>OK</v>
      </c>
      <c r="AO451" t="str">
        <f t="shared" si="107"/>
        <v>OK</v>
      </c>
      <c r="AP451" t="str">
        <f t="shared" si="108"/>
        <v>OK</v>
      </c>
      <c r="AR451" t="str">
        <f t="shared" si="109"/>
        <v>OK</v>
      </c>
      <c r="AS451" t="str">
        <f t="shared" si="110"/>
        <v>OK</v>
      </c>
      <c r="AT451" t="str">
        <f t="shared" si="111"/>
        <v>NOK</v>
      </c>
      <c r="AU451" t="str">
        <f t="shared" si="112"/>
        <v>OK</v>
      </c>
      <c r="AV451" t="str">
        <f t="shared" si="113"/>
        <v>OK</v>
      </c>
      <c r="AW451" t="str">
        <f t="shared" si="114"/>
        <v>OK</v>
      </c>
    </row>
    <row r="452" spans="1:49">
      <c r="A452">
        <f>Dbase_velden_versie4_2!A448</f>
        <v>448</v>
      </c>
      <c r="B452" t="str">
        <f>Dbase_velden_versie4_2!B448</f>
        <v>TXT_MS_PHI_5%</v>
      </c>
      <c r="C452" t="str">
        <f>Dbase_velden_versie4_2!C448</f>
        <v>°</v>
      </c>
      <c r="D452" t="str">
        <f>Dbase_velden_versie4_2!D448</f>
        <v>f'5% rek</v>
      </c>
      <c r="E452" t="str">
        <f>Dbase_velden_versie4_2!E448</f>
        <v>Double</v>
      </c>
      <c r="F452" t="str">
        <f>Dbase_velden_versie4_2!F448</f>
        <v>0 - 90</v>
      </c>
      <c r="G452" t="str">
        <f>Dbase_velden_versie4_2!G448</f>
        <v>TXT MS PHI 5%</v>
      </c>
      <c r="H452" t="str">
        <f>Dbase_velden_versie4_2!H448</f>
        <v>[°]</v>
      </c>
      <c r="I452" t="str">
        <f>Dbase_velden_versie4_2!I448</f>
        <v>TXT_MS</v>
      </c>
      <c r="J452" t="str">
        <f>Dbase_velden_versie4_2!J448</f>
        <v>Triaxiaalproeven multistage (CU-MS)</v>
      </c>
      <c r="K452">
        <v>448</v>
      </c>
      <c r="L452" t="str">
        <v>TXT_MS_PHI_5%</v>
      </c>
      <c r="M452" t="str">
        <v>°</v>
      </c>
      <c r="N452" t="str">
        <v>f'5% rek</v>
      </c>
      <c r="O452" t="str">
        <v>Double</v>
      </c>
      <c r="P452" t="str">
        <v>0 - 90</v>
      </c>
      <c r="Q452" t="str">
        <v>TXT MS PHI 5%</v>
      </c>
      <c r="R452" t="str">
        <v>[°]</v>
      </c>
      <c r="S452" t="str">
        <f t="shared" si="105"/>
        <v>OK</v>
      </c>
      <c r="T452" t="str">
        <f t="shared" si="99"/>
        <v>OK</v>
      </c>
      <c r="U452" t="str">
        <f t="shared" si="100"/>
        <v>OK</v>
      </c>
      <c r="V452" t="str">
        <f t="shared" si="101"/>
        <v>OK</v>
      </c>
      <c r="W452" t="str">
        <f t="shared" si="102"/>
        <v>OK</v>
      </c>
      <c r="X452" t="str">
        <f t="shared" si="103"/>
        <v>OK</v>
      </c>
      <c r="Y452" t="str">
        <f t="shared" si="104"/>
        <v>OK</v>
      </c>
      <c r="Z452">
        <v>447</v>
      </c>
      <c r="AA452">
        <v>449</v>
      </c>
      <c r="AB452" t="s">
        <v>2670</v>
      </c>
      <c r="AC452" t="s">
        <v>448</v>
      </c>
      <c r="AD452" t="s">
        <v>483</v>
      </c>
      <c r="AE452" t="s">
        <v>882</v>
      </c>
      <c r="AG452" t="s">
        <v>897</v>
      </c>
      <c r="AH452" t="s">
        <v>932</v>
      </c>
      <c r="AI452" t="s">
        <v>2694</v>
      </c>
      <c r="AJ452" t="s">
        <v>1415</v>
      </c>
      <c r="AK452" t="s">
        <v>2670</v>
      </c>
      <c r="AL452" t="s">
        <v>2672</v>
      </c>
      <c r="AN452" t="str">
        <f t="shared" si="106"/>
        <v>OK</v>
      </c>
      <c r="AO452" t="str">
        <f t="shared" si="107"/>
        <v>OK</v>
      </c>
      <c r="AP452" t="str">
        <f t="shared" si="108"/>
        <v>OK</v>
      </c>
      <c r="AR452" t="str">
        <f t="shared" si="109"/>
        <v>OK</v>
      </c>
      <c r="AS452" t="str">
        <f t="shared" si="110"/>
        <v>OK</v>
      </c>
      <c r="AT452" t="str">
        <f t="shared" si="111"/>
        <v>NOK</v>
      </c>
      <c r="AU452" t="str">
        <f t="shared" si="112"/>
        <v>OK</v>
      </c>
      <c r="AV452" t="str">
        <f t="shared" si="113"/>
        <v>OK</v>
      </c>
      <c r="AW452" t="str">
        <f t="shared" si="114"/>
        <v>OK</v>
      </c>
    </row>
    <row r="453" spans="1:49">
      <c r="A453">
        <f>Dbase_velden_versie4_2!A449</f>
        <v>449</v>
      </c>
      <c r="B453" t="str">
        <f>Dbase_velden_versie4_2!B449</f>
        <v>CEL_FILENAAM_PDF</v>
      </c>
      <c r="C453" t="str">
        <f>Dbase_velden_versie4_2!C449</f>
        <v>-</v>
      </c>
      <c r="D453" t="str">
        <f>Dbase_velden_versie4_2!D449</f>
        <v>koppeling pdf(hyperlink)</v>
      </c>
      <c r="E453" t="str">
        <f>Dbase_velden_versie4_2!E449</f>
        <v>String</v>
      </c>
      <c r="F453">
        <f>Dbase_velden_versie4_2!F449</f>
        <v>0</v>
      </c>
      <c r="G453" t="str">
        <f>Dbase_velden_versie4_2!G449</f>
        <v>CEL FILENAAM PDF</v>
      </c>
      <c r="H453" t="str">
        <f>Dbase_velden_versie4_2!H449</f>
        <v>[-]</v>
      </c>
      <c r="I453" t="str">
        <f>Dbase_velden_versie4_2!I449</f>
        <v>CEL</v>
      </c>
      <c r="J453" t="str">
        <f>Dbase_velden_versie4_2!J449</f>
        <v>Celproef</v>
      </c>
      <c r="K453">
        <v>449</v>
      </c>
      <c r="L453" t="str">
        <v>CEL_FILENAAM_PDF</v>
      </c>
      <c r="M453" t="str">
        <v>-</v>
      </c>
      <c r="N453" t="str">
        <v>koppeling pdf(hyperlink)</v>
      </c>
      <c r="O453" t="str">
        <v>String</v>
      </c>
      <c r="P453">
        <v>0</v>
      </c>
      <c r="Q453" t="str">
        <v>CEL FILENAAM PDF</v>
      </c>
      <c r="R453" t="str">
        <v>[-]</v>
      </c>
      <c r="S453" t="str">
        <f t="shared" si="105"/>
        <v>OK</v>
      </c>
      <c r="T453" t="str">
        <f t="shared" si="99"/>
        <v>OK</v>
      </c>
      <c r="U453" t="str">
        <f t="shared" si="100"/>
        <v>OK</v>
      </c>
      <c r="V453" t="str">
        <f t="shared" si="101"/>
        <v>OK</v>
      </c>
      <c r="W453" t="str">
        <f t="shared" si="102"/>
        <v>OK</v>
      </c>
      <c r="X453" t="str">
        <f t="shared" si="103"/>
        <v>OK</v>
      </c>
      <c r="Y453" t="str">
        <f t="shared" si="104"/>
        <v>OK</v>
      </c>
      <c r="Z453">
        <v>448</v>
      </c>
      <c r="AA453">
        <v>450</v>
      </c>
      <c r="AB453" t="s">
        <v>2695</v>
      </c>
      <c r="AC453" t="s">
        <v>449</v>
      </c>
      <c r="AD453" t="s">
        <v>463</v>
      </c>
      <c r="AE453" t="s">
        <v>861</v>
      </c>
      <c r="AG453" t="s">
        <v>896</v>
      </c>
      <c r="AI453" t="s">
        <v>2328</v>
      </c>
      <c r="AJ453" t="s">
        <v>1395</v>
      </c>
      <c r="AK453" t="s">
        <v>2695</v>
      </c>
      <c r="AL453" t="s">
        <v>2696</v>
      </c>
      <c r="AN453" t="str">
        <f t="shared" si="106"/>
        <v>OK</v>
      </c>
      <c r="AO453" t="str">
        <f t="shared" si="107"/>
        <v>OK</v>
      </c>
      <c r="AP453" t="str">
        <f t="shared" si="108"/>
        <v>OK</v>
      </c>
      <c r="AR453" t="str">
        <f t="shared" si="109"/>
        <v>OK</v>
      </c>
      <c r="AS453" t="str">
        <f t="shared" si="110"/>
        <v>OK</v>
      </c>
      <c r="AT453" t="str">
        <f t="shared" si="111"/>
        <v>NOK</v>
      </c>
      <c r="AU453" t="str">
        <f t="shared" si="112"/>
        <v>OK</v>
      </c>
      <c r="AV453" t="str">
        <f t="shared" si="113"/>
        <v>OK</v>
      </c>
      <c r="AW453" t="str">
        <f t="shared" si="114"/>
        <v>OK</v>
      </c>
    </row>
    <row r="454" spans="1:49">
      <c r="A454">
        <f>Dbase_velden_versie4_2!A450</f>
        <v>450</v>
      </c>
      <c r="B454" t="str">
        <f>Dbase_velden_versie4_2!B450</f>
        <v>CEL_FILENAAM_SPANNINGSPAD</v>
      </c>
      <c r="C454" t="str">
        <f>Dbase_velden_versie4_2!C450</f>
        <v>-</v>
      </c>
      <c r="D454" t="str">
        <f>Dbase_velden_versie4_2!D450</f>
        <v>Bestandsnaam van de file waarin het spanningspad conform het STOWA-format is opgenomen</v>
      </c>
      <c r="E454" t="str">
        <f>Dbase_velden_versie4_2!E450</f>
        <v>String</v>
      </c>
      <c r="F454">
        <f>Dbase_velden_versie4_2!F450</f>
        <v>0</v>
      </c>
      <c r="G454" t="str">
        <f>Dbase_velden_versie4_2!G450</f>
        <v>CEL FILENAAM SPANNINGSPAD</v>
      </c>
      <c r="H454" t="str">
        <f>Dbase_velden_versie4_2!H450</f>
        <v>[-]</v>
      </c>
      <c r="I454" t="str">
        <f>Dbase_velden_versie4_2!I450</f>
        <v>CEL</v>
      </c>
      <c r="J454" t="str">
        <f>Dbase_velden_versie4_2!J450</f>
        <v>Celproef</v>
      </c>
      <c r="K454">
        <v>450</v>
      </c>
      <c r="L454" t="str">
        <v>CEL_FILENAAM_SPANNINGSPAD</v>
      </c>
      <c r="M454" t="str">
        <v>-</v>
      </c>
      <c r="N454" t="str">
        <v>Bestandsnaam van de file waarin het spanningspad conform het STOWA-format is opgenomen</v>
      </c>
      <c r="O454" t="str">
        <v>String</v>
      </c>
      <c r="P454">
        <v>0</v>
      </c>
      <c r="Q454" t="str">
        <v>CEL FILENAAM SPANNINGSPAD</v>
      </c>
      <c r="R454" t="str">
        <v>[-]</v>
      </c>
      <c r="S454" t="str">
        <f t="shared" si="105"/>
        <v>OK</v>
      </c>
      <c r="T454" t="str">
        <f t="shared" ref="T454:T465" si="115">IF(B454=L454,"OK","NOK")</f>
        <v>OK</v>
      </c>
      <c r="U454" t="str">
        <f t="shared" ref="U454:U465" si="116">IF(C454=M454,"OK","NOK")</f>
        <v>OK</v>
      </c>
      <c r="V454" t="str">
        <f t="shared" ref="V454:V465" si="117">IF(D454=N454,"OK","NOK")</f>
        <v>OK</v>
      </c>
      <c r="W454" t="str">
        <f t="shared" ref="W454:W465" si="118">IF(E454=O454,"OK","NOK")</f>
        <v>OK</v>
      </c>
      <c r="X454" t="str">
        <f t="shared" ref="X454:X465" si="119">IF(F454=P454,"OK","NOK")</f>
        <v>OK</v>
      </c>
      <c r="Y454" t="str">
        <f t="shared" ref="Y454:Y465" si="120">IF(G454=Q454,"OK","NOK")</f>
        <v>OK</v>
      </c>
      <c r="Z454">
        <v>449</v>
      </c>
      <c r="AA454">
        <v>451</v>
      </c>
      <c r="AB454" t="s">
        <v>2695</v>
      </c>
      <c r="AC454" t="s">
        <v>450</v>
      </c>
      <c r="AD454" t="s">
        <v>463</v>
      </c>
      <c r="AE454" t="s">
        <v>612</v>
      </c>
      <c r="AG454" t="s">
        <v>896</v>
      </c>
      <c r="AI454" t="s">
        <v>2434</v>
      </c>
      <c r="AJ454" t="s">
        <v>1395</v>
      </c>
      <c r="AK454" t="s">
        <v>2695</v>
      </c>
      <c r="AL454" t="s">
        <v>2696</v>
      </c>
      <c r="AN454" t="str">
        <f t="shared" si="106"/>
        <v>OK</v>
      </c>
      <c r="AO454" t="str">
        <f t="shared" si="107"/>
        <v>OK</v>
      </c>
      <c r="AP454" t="str">
        <f t="shared" si="108"/>
        <v>OK</v>
      </c>
      <c r="AR454" t="str">
        <f t="shared" si="109"/>
        <v>OK</v>
      </c>
      <c r="AS454" t="str">
        <f t="shared" si="110"/>
        <v>OK</v>
      </c>
      <c r="AT454" t="str">
        <f t="shared" si="111"/>
        <v>NOK</v>
      </c>
      <c r="AU454" t="str">
        <f t="shared" si="112"/>
        <v>OK</v>
      </c>
      <c r="AV454" t="str">
        <f t="shared" si="113"/>
        <v>OK</v>
      </c>
      <c r="AW454" t="str">
        <f t="shared" si="114"/>
        <v>OK</v>
      </c>
    </row>
    <row r="455" spans="1:49">
      <c r="A455">
        <f>Dbase_velden_versie4_2!A451</f>
        <v>451</v>
      </c>
      <c r="B455" t="str">
        <f>Dbase_velden_versie4_2!B451</f>
        <v>CEL_PHI1</v>
      </c>
      <c r="C455" t="str">
        <f>Dbase_velden_versie4_2!C451</f>
        <v>°</v>
      </c>
      <c r="D455" t="str">
        <f>Dbase_velden_versie4_2!D451</f>
        <v>phi'1</v>
      </c>
      <c r="E455" t="str">
        <f>Dbase_velden_versie4_2!E451</f>
        <v>Double</v>
      </c>
      <c r="F455" t="str">
        <f>Dbase_velden_versie4_2!F451</f>
        <v>0 - 90</v>
      </c>
      <c r="G455" t="str">
        <f>Dbase_velden_versie4_2!G451</f>
        <v>CEL PHI1</v>
      </c>
      <c r="H455" t="str">
        <f>Dbase_velden_versie4_2!H451</f>
        <v>[°]</v>
      </c>
      <c r="I455" t="str">
        <f>Dbase_velden_versie4_2!I451</f>
        <v>CEL</v>
      </c>
      <c r="J455" t="str">
        <f>Dbase_velden_versie4_2!J451</f>
        <v>Celproef</v>
      </c>
      <c r="K455">
        <v>451</v>
      </c>
      <c r="L455" t="str">
        <v>CEL_PHI1</v>
      </c>
      <c r="M455" t="str">
        <v>°</v>
      </c>
      <c r="N455" t="str">
        <v>phi'1</v>
      </c>
      <c r="O455" t="str">
        <v>Double</v>
      </c>
      <c r="P455" t="str">
        <v>0 - 90</v>
      </c>
      <c r="Q455" t="str">
        <v>CEL PHI1</v>
      </c>
      <c r="R455" t="str">
        <v>[°]</v>
      </c>
      <c r="S455" t="str">
        <f t="shared" ref="S455:S465" si="121">IF(A455=K455,"OK","NOK")</f>
        <v>OK</v>
      </c>
      <c r="T455" t="str">
        <f t="shared" si="115"/>
        <v>OK</v>
      </c>
      <c r="U455" t="str">
        <f t="shared" si="116"/>
        <v>OK</v>
      </c>
      <c r="V455" t="str">
        <f t="shared" si="117"/>
        <v>OK</v>
      </c>
      <c r="W455" t="str">
        <f t="shared" si="118"/>
        <v>OK</v>
      </c>
      <c r="X455" t="str">
        <f t="shared" si="119"/>
        <v>OK</v>
      </c>
      <c r="Y455" t="str">
        <f t="shared" si="120"/>
        <v>OK</v>
      </c>
      <c r="Z455">
        <v>450</v>
      </c>
      <c r="AA455">
        <v>452</v>
      </c>
      <c r="AB455" t="s">
        <v>2695</v>
      </c>
      <c r="AC455" t="s">
        <v>451</v>
      </c>
      <c r="AD455" t="s">
        <v>483</v>
      </c>
      <c r="AE455" t="s">
        <v>883</v>
      </c>
      <c r="AG455" t="s">
        <v>897</v>
      </c>
      <c r="AH455" t="s">
        <v>932</v>
      </c>
      <c r="AI455" t="s">
        <v>2697</v>
      </c>
      <c r="AJ455" t="s">
        <v>1415</v>
      </c>
      <c r="AK455" t="s">
        <v>2695</v>
      </c>
      <c r="AL455" t="s">
        <v>2696</v>
      </c>
      <c r="AN455" t="str">
        <f t="shared" ref="AN455:AN465" si="122">IF(B455=AC455,"OK","NOK")</f>
        <v>OK</v>
      </c>
      <c r="AO455" t="str">
        <f t="shared" ref="AO455:AO465" si="123">IF(C455=AD455,"OK","NOK")</f>
        <v>OK</v>
      </c>
      <c r="AP455" t="str">
        <f t="shared" ref="AP455:AP465" si="124">IF(D455=AE455,"OK","NOK")</f>
        <v>OK</v>
      </c>
      <c r="AR455" t="str">
        <f t="shared" ref="AR455:AR465" si="125">IF(E455=AG455,"OK","NOK")</f>
        <v>OK</v>
      </c>
      <c r="AS455" t="str">
        <f t="shared" ref="AS455:AS465" si="126">IF(F455=AH455,"OK","NOK")</f>
        <v>OK</v>
      </c>
      <c r="AT455" t="str">
        <f t="shared" ref="AT455:AT465" si="127">IF(G455=AI455,"OK","NOK")</f>
        <v>NOK</v>
      </c>
      <c r="AU455" t="str">
        <f t="shared" ref="AU455:AU465" si="128">IF(H455=AJ455,"OK","NOK")</f>
        <v>OK</v>
      </c>
      <c r="AV455" t="str">
        <f t="shared" ref="AV455:AV465" si="129">IF(I455=AK455,"OK","NOK")</f>
        <v>OK</v>
      </c>
      <c r="AW455" t="str">
        <f t="shared" ref="AW455:AW465" si="130">IF(J455=AL455,"OK","NOK")</f>
        <v>OK</v>
      </c>
    </row>
    <row r="456" spans="1:49">
      <c r="A456">
        <f>Dbase_velden_versie4_2!A452</f>
        <v>452</v>
      </c>
      <c r="B456" t="str">
        <f>Dbase_velden_versie4_2!B452</f>
        <v>CEL_C1</v>
      </c>
      <c r="C456" t="str">
        <f>Dbase_velden_versie4_2!C452</f>
        <v>kPa</v>
      </c>
      <c r="D456" t="str">
        <f>Dbase_velden_versie4_2!D452</f>
        <v>c'1</v>
      </c>
      <c r="E456" t="str">
        <f>Dbase_velden_versie4_2!E452</f>
        <v>Double</v>
      </c>
      <c r="F456" t="str">
        <f>Dbase_velden_versie4_2!F452</f>
        <v>0 - 100</v>
      </c>
      <c r="G456" t="str">
        <f>Dbase_velden_versie4_2!G452</f>
        <v>CEL C1</v>
      </c>
      <c r="H456" t="str">
        <f>Dbase_velden_versie4_2!H452</f>
        <v>[kPa]</v>
      </c>
      <c r="I456" t="str">
        <f>Dbase_velden_versie4_2!I452</f>
        <v>CEL</v>
      </c>
      <c r="J456" t="str">
        <f>Dbase_velden_versie4_2!J452</f>
        <v>Celproef</v>
      </c>
      <c r="K456">
        <v>452</v>
      </c>
      <c r="L456" t="str">
        <v>CEL_C1</v>
      </c>
      <c r="M456" t="str">
        <v>kPa</v>
      </c>
      <c r="N456" t="str">
        <v>c'1</v>
      </c>
      <c r="O456" t="str">
        <v>Double</v>
      </c>
      <c r="P456" t="str">
        <v>0 - 100</v>
      </c>
      <c r="Q456" t="str">
        <v>CEL C1</v>
      </c>
      <c r="R456" t="str">
        <v>[kPa]</v>
      </c>
      <c r="S456" t="str">
        <f t="shared" si="121"/>
        <v>OK</v>
      </c>
      <c r="T456" t="str">
        <f t="shared" si="115"/>
        <v>OK</v>
      </c>
      <c r="U456" t="str">
        <f t="shared" si="116"/>
        <v>OK</v>
      </c>
      <c r="V456" t="str">
        <f t="shared" si="117"/>
        <v>OK</v>
      </c>
      <c r="W456" t="str">
        <f t="shared" si="118"/>
        <v>OK</v>
      </c>
      <c r="X456" t="str">
        <f t="shared" si="119"/>
        <v>OK</v>
      </c>
      <c r="Y456" t="str">
        <f t="shared" si="120"/>
        <v>OK</v>
      </c>
      <c r="Z456">
        <v>451</v>
      </c>
      <c r="AA456">
        <v>453</v>
      </c>
      <c r="AB456" t="s">
        <v>2695</v>
      </c>
      <c r="AC456" t="s">
        <v>452</v>
      </c>
      <c r="AD456" t="s">
        <v>470</v>
      </c>
      <c r="AE456" t="s">
        <v>884</v>
      </c>
      <c r="AG456" t="s">
        <v>897</v>
      </c>
      <c r="AH456" t="s">
        <v>931</v>
      </c>
      <c r="AI456" t="s">
        <v>2698</v>
      </c>
      <c r="AJ456" t="s">
        <v>1402</v>
      </c>
      <c r="AK456" t="s">
        <v>2695</v>
      </c>
      <c r="AL456" t="s">
        <v>2696</v>
      </c>
      <c r="AN456" t="str">
        <f t="shared" si="122"/>
        <v>OK</v>
      </c>
      <c r="AO456" t="str">
        <f t="shared" si="123"/>
        <v>OK</v>
      </c>
      <c r="AP456" t="str">
        <f t="shared" si="124"/>
        <v>OK</v>
      </c>
      <c r="AR456" t="str">
        <f t="shared" si="125"/>
        <v>OK</v>
      </c>
      <c r="AS456" t="str">
        <f t="shared" si="126"/>
        <v>OK</v>
      </c>
      <c r="AT456" t="str">
        <f t="shared" si="127"/>
        <v>NOK</v>
      </c>
      <c r="AU456" t="str">
        <f t="shared" si="128"/>
        <v>OK</v>
      </c>
      <c r="AV456" t="str">
        <f t="shared" si="129"/>
        <v>OK</v>
      </c>
      <c r="AW456" t="str">
        <f t="shared" si="130"/>
        <v>OK</v>
      </c>
    </row>
    <row r="457" spans="1:49">
      <c r="A457">
        <f>Dbase_velden_versie4_2!A453</f>
        <v>453</v>
      </c>
      <c r="B457" t="str">
        <f>Dbase_velden_versie4_2!B453</f>
        <v>CEL_PHI2</v>
      </c>
      <c r="C457" t="str">
        <f>Dbase_velden_versie4_2!C453</f>
        <v>°</v>
      </c>
      <c r="D457" t="str">
        <f>Dbase_velden_versie4_2!D453</f>
        <v>phi'2</v>
      </c>
      <c r="E457" t="str">
        <f>Dbase_velden_versie4_2!E453</f>
        <v>Double</v>
      </c>
      <c r="F457" t="str">
        <f>Dbase_velden_versie4_2!F453</f>
        <v>0 - 90</v>
      </c>
      <c r="G457" t="str">
        <f>Dbase_velden_versie4_2!G453</f>
        <v>CEL PHI2</v>
      </c>
      <c r="H457" t="str">
        <f>Dbase_velden_versie4_2!H453</f>
        <v>[°]</v>
      </c>
      <c r="I457" t="str">
        <f>Dbase_velden_versie4_2!I453</f>
        <v>CEL</v>
      </c>
      <c r="J457" t="str">
        <f>Dbase_velden_versie4_2!J453</f>
        <v>Celproef</v>
      </c>
      <c r="K457">
        <v>453</v>
      </c>
      <c r="L457" t="str">
        <v>CEL_PHI2</v>
      </c>
      <c r="M457" t="str">
        <v>°</v>
      </c>
      <c r="N457" t="str">
        <v>phi'2</v>
      </c>
      <c r="O457" t="str">
        <v>Double</v>
      </c>
      <c r="P457" t="str">
        <v>0 - 90</v>
      </c>
      <c r="Q457" t="str">
        <v>CEL PHI2</v>
      </c>
      <c r="R457" t="str">
        <v>[°]</v>
      </c>
      <c r="S457" t="str">
        <f t="shared" si="121"/>
        <v>OK</v>
      </c>
      <c r="T457" t="str">
        <f t="shared" si="115"/>
        <v>OK</v>
      </c>
      <c r="U457" t="str">
        <f t="shared" si="116"/>
        <v>OK</v>
      </c>
      <c r="V457" t="str">
        <f t="shared" si="117"/>
        <v>OK</v>
      </c>
      <c r="W457" t="str">
        <f t="shared" si="118"/>
        <v>OK</v>
      </c>
      <c r="X457" t="str">
        <f t="shared" si="119"/>
        <v>OK</v>
      </c>
      <c r="Y457" t="str">
        <f t="shared" si="120"/>
        <v>OK</v>
      </c>
      <c r="Z457">
        <v>452</v>
      </c>
      <c r="AA457">
        <v>454</v>
      </c>
      <c r="AB457" t="s">
        <v>2695</v>
      </c>
      <c r="AC457" t="s">
        <v>453</v>
      </c>
      <c r="AD457" t="s">
        <v>483</v>
      </c>
      <c r="AE457" t="s">
        <v>885</v>
      </c>
      <c r="AG457" t="s">
        <v>897</v>
      </c>
      <c r="AH457" t="s">
        <v>932</v>
      </c>
      <c r="AI457" t="s">
        <v>2699</v>
      </c>
      <c r="AJ457" t="s">
        <v>1415</v>
      </c>
      <c r="AK457" t="s">
        <v>2695</v>
      </c>
      <c r="AL457" t="s">
        <v>2696</v>
      </c>
      <c r="AN457" t="str">
        <f t="shared" si="122"/>
        <v>OK</v>
      </c>
      <c r="AO457" t="str">
        <f t="shared" si="123"/>
        <v>OK</v>
      </c>
      <c r="AP457" t="str">
        <f t="shared" si="124"/>
        <v>OK</v>
      </c>
      <c r="AR457" t="str">
        <f t="shared" si="125"/>
        <v>OK</v>
      </c>
      <c r="AS457" t="str">
        <f t="shared" si="126"/>
        <v>OK</v>
      </c>
      <c r="AT457" t="str">
        <f t="shared" si="127"/>
        <v>NOK</v>
      </c>
      <c r="AU457" t="str">
        <f t="shared" si="128"/>
        <v>OK</v>
      </c>
      <c r="AV457" t="str">
        <f t="shared" si="129"/>
        <v>OK</v>
      </c>
      <c r="AW457" t="str">
        <f t="shared" si="130"/>
        <v>OK</v>
      </c>
    </row>
    <row r="458" spans="1:49">
      <c r="A458">
        <f>Dbase_velden_versie4_2!A454</f>
        <v>454</v>
      </c>
      <c r="B458" t="str">
        <f>Dbase_velden_versie4_2!B454</f>
        <v>CEL_C2</v>
      </c>
      <c r="C458" t="str">
        <f>Dbase_velden_versie4_2!C454</f>
        <v>kPa</v>
      </c>
      <c r="D458" t="str">
        <f>Dbase_velden_versie4_2!D454</f>
        <v>c'2</v>
      </c>
      <c r="E458" t="str">
        <f>Dbase_velden_versie4_2!E454</f>
        <v>Double</v>
      </c>
      <c r="F458" t="str">
        <f>Dbase_velden_versie4_2!F454</f>
        <v>0 - 100</v>
      </c>
      <c r="G458" t="str">
        <f>Dbase_velden_versie4_2!G454</f>
        <v>CEL C2</v>
      </c>
      <c r="H458" t="str">
        <f>Dbase_velden_versie4_2!H454</f>
        <v>[kPa]</v>
      </c>
      <c r="I458" t="str">
        <f>Dbase_velden_versie4_2!I454</f>
        <v>CEL</v>
      </c>
      <c r="J458" t="str">
        <f>Dbase_velden_versie4_2!J454</f>
        <v>Celproef</v>
      </c>
      <c r="K458">
        <v>454</v>
      </c>
      <c r="L458" t="str">
        <v>CEL_C2</v>
      </c>
      <c r="M458" t="str">
        <v>kPa</v>
      </c>
      <c r="N458" t="str">
        <v>c'2</v>
      </c>
      <c r="O458" t="str">
        <v>Double</v>
      </c>
      <c r="P458" t="str">
        <v>0 - 100</v>
      </c>
      <c r="Q458" t="str">
        <v>CEL C2</v>
      </c>
      <c r="R458" t="str">
        <v>[kPa]</v>
      </c>
      <c r="S458" t="str">
        <f t="shared" si="121"/>
        <v>OK</v>
      </c>
      <c r="T458" t="str">
        <f t="shared" si="115"/>
        <v>OK</v>
      </c>
      <c r="U458" t="str">
        <f t="shared" si="116"/>
        <v>OK</v>
      </c>
      <c r="V458" t="str">
        <f t="shared" si="117"/>
        <v>OK</v>
      </c>
      <c r="W458" t="str">
        <f t="shared" si="118"/>
        <v>OK</v>
      </c>
      <c r="X458" t="str">
        <f t="shared" si="119"/>
        <v>OK</v>
      </c>
      <c r="Y458" t="str">
        <f t="shared" si="120"/>
        <v>OK</v>
      </c>
      <c r="Z458">
        <v>453</v>
      </c>
      <c r="AA458">
        <v>455</v>
      </c>
      <c r="AB458" t="s">
        <v>2695</v>
      </c>
      <c r="AC458" t="s">
        <v>454</v>
      </c>
      <c r="AD458" t="s">
        <v>470</v>
      </c>
      <c r="AE458" t="s">
        <v>886</v>
      </c>
      <c r="AG458" t="s">
        <v>897</v>
      </c>
      <c r="AH458" t="s">
        <v>931</v>
      </c>
      <c r="AI458" t="s">
        <v>2700</v>
      </c>
      <c r="AJ458" t="s">
        <v>1402</v>
      </c>
      <c r="AK458" t="s">
        <v>2695</v>
      </c>
      <c r="AL458" t="s">
        <v>2696</v>
      </c>
      <c r="AN458" t="str">
        <f t="shared" si="122"/>
        <v>OK</v>
      </c>
      <c r="AO458" t="str">
        <f t="shared" si="123"/>
        <v>OK</v>
      </c>
      <c r="AP458" t="str">
        <f t="shared" si="124"/>
        <v>OK</v>
      </c>
      <c r="AR458" t="str">
        <f t="shared" si="125"/>
        <v>OK</v>
      </c>
      <c r="AS458" t="str">
        <f t="shared" si="126"/>
        <v>OK</v>
      </c>
      <c r="AT458" t="str">
        <f t="shared" si="127"/>
        <v>NOK</v>
      </c>
      <c r="AU458" t="str">
        <f t="shared" si="128"/>
        <v>OK</v>
      </c>
      <c r="AV458" t="str">
        <f t="shared" si="129"/>
        <v>OK</v>
      </c>
      <c r="AW458" t="str">
        <f t="shared" si="130"/>
        <v>OK</v>
      </c>
    </row>
    <row r="459" spans="1:49">
      <c r="A459">
        <f>Dbase_velden_versie4_2!A455</f>
        <v>455</v>
      </c>
      <c r="B459" t="str">
        <f>Dbase_velden_versie4_2!B455</f>
        <v>CEL_PHI3</v>
      </c>
      <c r="C459" t="str">
        <f>Dbase_velden_versie4_2!C455</f>
        <v>°</v>
      </c>
      <c r="D459" t="str">
        <f>Dbase_velden_versie4_2!D455</f>
        <v>phi'3</v>
      </c>
      <c r="E459" t="str">
        <f>Dbase_velden_versie4_2!E455</f>
        <v>Double</v>
      </c>
      <c r="F459" t="str">
        <f>Dbase_velden_versie4_2!F455</f>
        <v>0 - 90</v>
      </c>
      <c r="G459" t="str">
        <f>Dbase_velden_versie4_2!G455</f>
        <v>CEL PHI3</v>
      </c>
      <c r="H459" t="str">
        <f>Dbase_velden_versie4_2!H455</f>
        <v>[°]</v>
      </c>
      <c r="I459" t="str">
        <f>Dbase_velden_versie4_2!I455</f>
        <v>CEL</v>
      </c>
      <c r="J459" t="str">
        <f>Dbase_velden_versie4_2!J455</f>
        <v>Celproef</v>
      </c>
      <c r="K459">
        <v>455</v>
      </c>
      <c r="L459" t="str">
        <v>CEL_PHI3</v>
      </c>
      <c r="M459" t="str">
        <v>°</v>
      </c>
      <c r="N459" t="str">
        <v>phi'3</v>
      </c>
      <c r="O459" t="str">
        <v>Double</v>
      </c>
      <c r="P459" t="str">
        <v>0 - 90</v>
      </c>
      <c r="Q459" t="str">
        <v>CEL PHI3</v>
      </c>
      <c r="R459" t="str">
        <v>[°]</v>
      </c>
      <c r="S459" t="str">
        <f t="shared" si="121"/>
        <v>OK</v>
      </c>
      <c r="T459" t="str">
        <f t="shared" si="115"/>
        <v>OK</v>
      </c>
      <c r="U459" t="str">
        <f t="shared" si="116"/>
        <v>OK</v>
      </c>
      <c r="V459" t="str">
        <f t="shared" si="117"/>
        <v>OK</v>
      </c>
      <c r="W459" t="str">
        <f t="shared" si="118"/>
        <v>OK</v>
      </c>
      <c r="X459" t="str">
        <f t="shared" si="119"/>
        <v>OK</v>
      </c>
      <c r="Y459" t="str">
        <f t="shared" si="120"/>
        <v>OK</v>
      </c>
      <c r="Z459">
        <v>454</v>
      </c>
      <c r="AA459">
        <v>456</v>
      </c>
      <c r="AB459" t="s">
        <v>2695</v>
      </c>
      <c r="AC459" t="s">
        <v>455</v>
      </c>
      <c r="AD459" t="s">
        <v>483</v>
      </c>
      <c r="AE459" t="s">
        <v>887</v>
      </c>
      <c r="AG459" t="s">
        <v>897</v>
      </c>
      <c r="AH459" t="s">
        <v>932</v>
      </c>
      <c r="AI459" t="s">
        <v>2701</v>
      </c>
      <c r="AJ459" t="s">
        <v>1415</v>
      </c>
      <c r="AK459" t="s">
        <v>2695</v>
      </c>
      <c r="AL459" t="s">
        <v>2696</v>
      </c>
      <c r="AN459" t="str">
        <f t="shared" si="122"/>
        <v>OK</v>
      </c>
      <c r="AO459" t="str">
        <f t="shared" si="123"/>
        <v>OK</v>
      </c>
      <c r="AP459" t="str">
        <f t="shared" si="124"/>
        <v>OK</v>
      </c>
      <c r="AR459" t="str">
        <f t="shared" si="125"/>
        <v>OK</v>
      </c>
      <c r="AS459" t="str">
        <f t="shared" si="126"/>
        <v>OK</v>
      </c>
      <c r="AT459" t="str">
        <f t="shared" si="127"/>
        <v>NOK</v>
      </c>
      <c r="AU459" t="str">
        <f t="shared" si="128"/>
        <v>OK</v>
      </c>
      <c r="AV459" t="str">
        <f t="shared" si="129"/>
        <v>OK</v>
      </c>
      <c r="AW459" t="str">
        <f t="shared" si="130"/>
        <v>OK</v>
      </c>
    </row>
    <row r="460" spans="1:49">
      <c r="A460">
        <f>Dbase_velden_versie4_2!A456</f>
        <v>456</v>
      </c>
      <c r="B460" t="str">
        <f>Dbase_velden_versie4_2!B456</f>
        <v>CEL_C3</v>
      </c>
      <c r="C460" t="str">
        <f>Dbase_velden_versie4_2!C456</f>
        <v>kPa</v>
      </c>
      <c r="D460" t="str">
        <f>Dbase_velden_versie4_2!D456</f>
        <v>c'3</v>
      </c>
      <c r="E460" t="str">
        <f>Dbase_velden_versie4_2!E456</f>
        <v>Double</v>
      </c>
      <c r="F460" t="str">
        <f>Dbase_velden_versie4_2!F456</f>
        <v>0 - 100</v>
      </c>
      <c r="G460" t="str">
        <f>Dbase_velden_versie4_2!G456</f>
        <v>CEL C3</v>
      </c>
      <c r="H460" t="str">
        <f>Dbase_velden_versie4_2!H456</f>
        <v>[kPa]</v>
      </c>
      <c r="I460" t="str">
        <f>Dbase_velden_versie4_2!I456</f>
        <v>CEL</v>
      </c>
      <c r="J460" t="str">
        <f>Dbase_velden_versie4_2!J456</f>
        <v>Celproef</v>
      </c>
      <c r="K460">
        <v>456</v>
      </c>
      <c r="L460" t="str">
        <v>CEL_C3</v>
      </c>
      <c r="M460" t="str">
        <v>kPa</v>
      </c>
      <c r="N460" t="str">
        <v>c'3</v>
      </c>
      <c r="O460" t="str">
        <v>Double</v>
      </c>
      <c r="P460" t="str">
        <v>0 - 100</v>
      </c>
      <c r="Q460" t="str">
        <v>CEL C3</v>
      </c>
      <c r="R460" t="str">
        <v>[kPa]</v>
      </c>
      <c r="S460" t="str">
        <f t="shared" si="121"/>
        <v>OK</v>
      </c>
      <c r="T460" t="str">
        <f t="shared" si="115"/>
        <v>OK</v>
      </c>
      <c r="U460" t="str">
        <f t="shared" si="116"/>
        <v>OK</v>
      </c>
      <c r="V460" t="str">
        <f t="shared" si="117"/>
        <v>OK</v>
      </c>
      <c r="W460" t="str">
        <f t="shared" si="118"/>
        <v>OK</v>
      </c>
      <c r="X460" t="str">
        <f t="shared" si="119"/>
        <v>OK</v>
      </c>
      <c r="Y460" t="str">
        <f t="shared" si="120"/>
        <v>OK</v>
      </c>
      <c r="Z460">
        <v>455</v>
      </c>
      <c r="AA460">
        <v>457</v>
      </c>
      <c r="AB460" t="s">
        <v>2695</v>
      </c>
      <c r="AC460" t="s">
        <v>456</v>
      </c>
      <c r="AD460" t="s">
        <v>470</v>
      </c>
      <c r="AE460" t="s">
        <v>888</v>
      </c>
      <c r="AG460" t="s">
        <v>897</v>
      </c>
      <c r="AH460" t="s">
        <v>931</v>
      </c>
      <c r="AI460" t="s">
        <v>2702</v>
      </c>
      <c r="AJ460" t="s">
        <v>1402</v>
      </c>
      <c r="AK460" t="s">
        <v>2695</v>
      </c>
      <c r="AL460" t="s">
        <v>2696</v>
      </c>
      <c r="AN460" t="str">
        <f t="shared" si="122"/>
        <v>OK</v>
      </c>
      <c r="AO460" t="str">
        <f t="shared" si="123"/>
        <v>OK</v>
      </c>
      <c r="AP460" t="str">
        <f t="shared" si="124"/>
        <v>OK</v>
      </c>
      <c r="AR460" t="str">
        <f t="shared" si="125"/>
        <v>OK</v>
      </c>
      <c r="AS460" t="str">
        <f t="shared" si="126"/>
        <v>OK</v>
      </c>
      <c r="AT460" t="str">
        <f t="shared" si="127"/>
        <v>NOK</v>
      </c>
      <c r="AU460" t="str">
        <f t="shared" si="128"/>
        <v>OK</v>
      </c>
      <c r="AV460" t="str">
        <f t="shared" si="129"/>
        <v>OK</v>
      </c>
      <c r="AW460" t="str">
        <f t="shared" si="130"/>
        <v>OK</v>
      </c>
    </row>
    <row r="461" spans="1:49">
      <c r="A461">
        <f>Dbase_velden_versie4_2!A457</f>
        <v>457</v>
      </c>
      <c r="B461" t="str">
        <f>Dbase_velden_versie4_2!B457</f>
        <v>CEL_PHI4</v>
      </c>
      <c r="C461" t="str">
        <f>Dbase_velden_versie4_2!C457</f>
        <v>°</v>
      </c>
      <c r="D461" t="str">
        <f>Dbase_velden_versie4_2!D457</f>
        <v>phi'4</v>
      </c>
      <c r="E461" t="str">
        <f>Dbase_velden_versie4_2!E457</f>
        <v>Double</v>
      </c>
      <c r="F461" t="str">
        <f>Dbase_velden_versie4_2!F457</f>
        <v>0 - 90</v>
      </c>
      <c r="G461" t="str">
        <f>Dbase_velden_versie4_2!G457</f>
        <v>CEL PHI4</v>
      </c>
      <c r="H461" t="str">
        <f>Dbase_velden_versie4_2!H457</f>
        <v>[°]</v>
      </c>
      <c r="I461" t="str">
        <f>Dbase_velden_versie4_2!I457</f>
        <v>CEL</v>
      </c>
      <c r="J461" t="str">
        <f>Dbase_velden_versie4_2!J457</f>
        <v>Celproef</v>
      </c>
      <c r="K461">
        <v>457</v>
      </c>
      <c r="L461" t="str">
        <v>CEL_PHI4</v>
      </c>
      <c r="M461" t="str">
        <v>°</v>
      </c>
      <c r="N461" t="str">
        <v>phi'4</v>
      </c>
      <c r="O461" t="str">
        <v>Double</v>
      </c>
      <c r="P461" t="str">
        <v>0 - 90</v>
      </c>
      <c r="Q461" t="str">
        <v>CEL PHI4</v>
      </c>
      <c r="R461" t="str">
        <v>[°]</v>
      </c>
      <c r="S461" t="str">
        <f t="shared" si="121"/>
        <v>OK</v>
      </c>
      <c r="T461" t="str">
        <f t="shared" si="115"/>
        <v>OK</v>
      </c>
      <c r="U461" t="str">
        <f t="shared" si="116"/>
        <v>OK</v>
      </c>
      <c r="V461" t="str">
        <f t="shared" si="117"/>
        <v>OK</v>
      </c>
      <c r="W461" t="str">
        <f t="shared" si="118"/>
        <v>OK</v>
      </c>
      <c r="X461" t="str">
        <f t="shared" si="119"/>
        <v>OK</v>
      </c>
      <c r="Y461" t="str">
        <f t="shared" si="120"/>
        <v>OK</v>
      </c>
      <c r="Z461">
        <v>456</v>
      </c>
      <c r="AA461">
        <v>458</v>
      </c>
      <c r="AB461" t="s">
        <v>2695</v>
      </c>
      <c r="AC461" t="s">
        <v>457</v>
      </c>
      <c r="AD461" t="s">
        <v>483</v>
      </c>
      <c r="AE461" t="s">
        <v>889</v>
      </c>
      <c r="AG461" t="s">
        <v>897</v>
      </c>
      <c r="AH461" t="s">
        <v>932</v>
      </c>
      <c r="AI461" t="s">
        <v>2703</v>
      </c>
      <c r="AJ461" t="s">
        <v>1415</v>
      </c>
      <c r="AK461" t="s">
        <v>2695</v>
      </c>
      <c r="AL461" t="s">
        <v>2696</v>
      </c>
      <c r="AN461" t="str">
        <f t="shared" si="122"/>
        <v>OK</v>
      </c>
      <c r="AO461" t="str">
        <f t="shared" si="123"/>
        <v>OK</v>
      </c>
      <c r="AP461" t="str">
        <f t="shared" si="124"/>
        <v>OK</v>
      </c>
      <c r="AR461" t="str">
        <f t="shared" si="125"/>
        <v>OK</v>
      </c>
      <c r="AS461" t="str">
        <f t="shared" si="126"/>
        <v>OK</v>
      </c>
      <c r="AT461" t="str">
        <f t="shared" si="127"/>
        <v>NOK</v>
      </c>
      <c r="AU461" t="str">
        <f t="shared" si="128"/>
        <v>OK</v>
      </c>
      <c r="AV461" t="str">
        <f t="shared" si="129"/>
        <v>OK</v>
      </c>
      <c r="AW461" t="str">
        <f t="shared" si="130"/>
        <v>OK</v>
      </c>
    </row>
    <row r="462" spans="1:49">
      <c r="A462">
        <f>Dbase_velden_versie4_2!A458</f>
        <v>458</v>
      </c>
      <c r="B462" t="str">
        <f>Dbase_velden_versie4_2!B458</f>
        <v>CEL_C4</v>
      </c>
      <c r="C462" t="str">
        <f>Dbase_velden_versie4_2!C458</f>
        <v>kPa</v>
      </c>
      <c r="D462" t="str">
        <f>Dbase_velden_versie4_2!D458</f>
        <v>c'4</v>
      </c>
      <c r="E462" t="str">
        <f>Dbase_velden_versie4_2!E458</f>
        <v>Double</v>
      </c>
      <c r="F462" t="str">
        <f>Dbase_velden_versie4_2!F458</f>
        <v>0 - 100</v>
      </c>
      <c r="G462" t="str">
        <f>Dbase_velden_versie4_2!G458</f>
        <v>CEL C4</v>
      </c>
      <c r="H462" t="str">
        <f>Dbase_velden_versie4_2!H458</f>
        <v>[kPa]</v>
      </c>
      <c r="I462" t="str">
        <f>Dbase_velden_versie4_2!I458</f>
        <v>CEL</v>
      </c>
      <c r="J462" t="str">
        <f>Dbase_velden_versie4_2!J458</f>
        <v>Celproef</v>
      </c>
      <c r="K462">
        <v>458</v>
      </c>
      <c r="L462" t="str">
        <v>CEL_C4</v>
      </c>
      <c r="M462" t="str">
        <v>kPa</v>
      </c>
      <c r="N462" t="str">
        <v>c'4</v>
      </c>
      <c r="O462" t="str">
        <v>Double</v>
      </c>
      <c r="P462" t="str">
        <v>0 - 100</v>
      </c>
      <c r="Q462" t="str">
        <v>CEL C4</v>
      </c>
      <c r="R462" t="str">
        <v>[kPa]</v>
      </c>
      <c r="S462" t="str">
        <f t="shared" si="121"/>
        <v>OK</v>
      </c>
      <c r="T462" t="str">
        <f t="shared" si="115"/>
        <v>OK</v>
      </c>
      <c r="U462" t="str">
        <f t="shared" si="116"/>
        <v>OK</v>
      </c>
      <c r="V462" t="str">
        <f t="shared" si="117"/>
        <v>OK</v>
      </c>
      <c r="W462" t="str">
        <f t="shared" si="118"/>
        <v>OK</v>
      </c>
      <c r="X462" t="str">
        <f t="shared" si="119"/>
        <v>OK</v>
      </c>
      <c r="Y462" t="str">
        <f t="shared" si="120"/>
        <v>OK</v>
      </c>
      <c r="Z462">
        <v>457</v>
      </c>
      <c r="AA462">
        <v>459</v>
      </c>
      <c r="AB462" t="s">
        <v>2695</v>
      </c>
      <c r="AC462" t="s">
        <v>458</v>
      </c>
      <c r="AD462" t="s">
        <v>470</v>
      </c>
      <c r="AE462" t="s">
        <v>890</v>
      </c>
      <c r="AG462" t="s">
        <v>897</v>
      </c>
      <c r="AH462" t="s">
        <v>931</v>
      </c>
      <c r="AI462" t="s">
        <v>2704</v>
      </c>
      <c r="AJ462" t="s">
        <v>1402</v>
      </c>
      <c r="AK462" t="s">
        <v>2695</v>
      </c>
      <c r="AL462" t="s">
        <v>2696</v>
      </c>
      <c r="AN462" t="str">
        <f t="shared" si="122"/>
        <v>OK</v>
      </c>
      <c r="AO462" t="str">
        <f t="shared" si="123"/>
        <v>OK</v>
      </c>
      <c r="AP462" t="str">
        <f t="shared" si="124"/>
        <v>OK</v>
      </c>
      <c r="AR462" t="str">
        <f t="shared" si="125"/>
        <v>OK</v>
      </c>
      <c r="AS462" t="str">
        <f t="shared" si="126"/>
        <v>OK</v>
      </c>
      <c r="AT462" t="str">
        <f t="shared" si="127"/>
        <v>NOK</v>
      </c>
      <c r="AU462" t="str">
        <f t="shared" si="128"/>
        <v>OK</v>
      </c>
      <c r="AV462" t="str">
        <f t="shared" si="129"/>
        <v>OK</v>
      </c>
      <c r="AW462" t="str">
        <f t="shared" si="130"/>
        <v>OK</v>
      </c>
    </row>
    <row r="463" spans="1:49">
      <c r="A463">
        <f>Dbase_velden_versie4_2!A459</f>
        <v>459</v>
      </c>
      <c r="B463" t="str">
        <f>Dbase_velden_versie4_2!B459</f>
        <v>CEL_PHI5</v>
      </c>
      <c r="C463" t="str">
        <f>Dbase_velden_versie4_2!C459</f>
        <v>°</v>
      </c>
      <c r="D463" t="str">
        <f>Dbase_velden_versie4_2!D459</f>
        <v>phi'5</v>
      </c>
      <c r="E463" t="str">
        <f>Dbase_velden_versie4_2!E459</f>
        <v>Double</v>
      </c>
      <c r="F463" t="str">
        <f>Dbase_velden_versie4_2!F459</f>
        <v>0 - 90</v>
      </c>
      <c r="G463" t="str">
        <f>Dbase_velden_versie4_2!G459</f>
        <v>CEL PHI5</v>
      </c>
      <c r="H463" t="str">
        <f>Dbase_velden_versie4_2!H459</f>
        <v>[°]</v>
      </c>
      <c r="I463" t="str">
        <f>Dbase_velden_versie4_2!I459</f>
        <v>CEL</v>
      </c>
      <c r="J463" t="str">
        <f>Dbase_velden_versie4_2!J459</f>
        <v>Celproef</v>
      </c>
      <c r="K463">
        <v>459</v>
      </c>
      <c r="L463" t="str">
        <v>CEL_PHI5</v>
      </c>
      <c r="M463" t="str">
        <v>°</v>
      </c>
      <c r="N463" t="str">
        <v>phi'5</v>
      </c>
      <c r="O463" t="str">
        <v>Double</v>
      </c>
      <c r="P463" t="str">
        <v>0 - 90</v>
      </c>
      <c r="Q463" t="str">
        <v>CEL PHI5</v>
      </c>
      <c r="R463" t="str">
        <v>[°]</v>
      </c>
      <c r="S463" t="str">
        <f t="shared" si="121"/>
        <v>OK</v>
      </c>
      <c r="T463" t="str">
        <f t="shared" si="115"/>
        <v>OK</v>
      </c>
      <c r="U463" t="str">
        <f t="shared" si="116"/>
        <v>OK</v>
      </c>
      <c r="V463" t="str">
        <f t="shared" si="117"/>
        <v>OK</v>
      </c>
      <c r="W463" t="str">
        <f t="shared" si="118"/>
        <v>OK</v>
      </c>
      <c r="X463" t="str">
        <f t="shared" si="119"/>
        <v>OK</v>
      </c>
      <c r="Y463" t="str">
        <f t="shared" si="120"/>
        <v>OK</v>
      </c>
      <c r="Z463">
        <v>458</v>
      </c>
      <c r="AA463">
        <v>460</v>
      </c>
      <c r="AB463" t="s">
        <v>2695</v>
      </c>
      <c r="AC463" t="s">
        <v>459</v>
      </c>
      <c r="AD463" t="s">
        <v>483</v>
      </c>
      <c r="AE463" t="s">
        <v>891</v>
      </c>
      <c r="AG463" t="s">
        <v>897</v>
      </c>
      <c r="AH463" t="s">
        <v>932</v>
      </c>
      <c r="AI463" t="s">
        <v>2705</v>
      </c>
      <c r="AJ463" t="s">
        <v>1415</v>
      </c>
      <c r="AK463" t="s">
        <v>2695</v>
      </c>
      <c r="AL463" t="s">
        <v>2696</v>
      </c>
      <c r="AN463" t="str">
        <f t="shared" si="122"/>
        <v>OK</v>
      </c>
      <c r="AO463" t="str">
        <f t="shared" si="123"/>
        <v>OK</v>
      </c>
      <c r="AP463" t="str">
        <f t="shared" si="124"/>
        <v>OK</v>
      </c>
      <c r="AR463" t="str">
        <f t="shared" si="125"/>
        <v>OK</v>
      </c>
      <c r="AS463" t="str">
        <f t="shared" si="126"/>
        <v>OK</v>
      </c>
      <c r="AT463" t="str">
        <f t="shared" si="127"/>
        <v>NOK</v>
      </c>
      <c r="AU463" t="str">
        <f t="shared" si="128"/>
        <v>OK</v>
      </c>
      <c r="AV463" t="str">
        <f t="shared" si="129"/>
        <v>OK</v>
      </c>
      <c r="AW463" t="str">
        <f t="shared" si="130"/>
        <v>OK</v>
      </c>
    </row>
    <row r="464" spans="1:49">
      <c r="A464">
        <f>Dbase_velden_versie4_2!A460</f>
        <v>460</v>
      </c>
      <c r="B464" t="str">
        <f>Dbase_velden_versie4_2!B460</f>
        <v>CEL_C5</v>
      </c>
      <c r="C464" t="str">
        <f>Dbase_velden_versie4_2!C460</f>
        <v>kPa</v>
      </c>
      <c r="D464" t="str">
        <f>Dbase_velden_versie4_2!D460</f>
        <v>c'5</v>
      </c>
      <c r="E464" t="str">
        <f>Dbase_velden_versie4_2!E460</f>
        <v>Double</v>
      </c>
      <c r="F464" t="str">
        <f>Dbase_velden_versie4_2!F460</f>
        <v>0 - 100</v>
      </c>
      <c r="G464" t="str">
        <f>Dbase_velden_versie4_2!G460</f>
        <v>CEL C5</v>
      </c>
      <c r="H464" t="str">
        <f>Dbase_velden_versie4_2!H460</f>
        <v>[kPa]</v>
      </c>
      <c r="I464" t="str">
        <f>Dbase_velden_versie4_2!I460</f>
        <v>CEL</v>
      </c>
      <c r="J464" t="str">
        <f>Dbase_velden_versie4_2!J460</f>
        <v>Celproef</v>
      </c>
      <c r="K464">
        <v>460</v>
      </c>
      <c r="L464" t="str">
        <v>CEL_C5</v>
      </c>
      <c r="M464" t="str">
        <v>kPa</v>
      </c>
      <c r="N464" t="str">
        <v>c'5</v>
      </c>
      <c r="O464" t="str">
        <v>Double</v>
      </c>
      <c r="P464" t="str">
        <v>0 - 100</v>
      </c>
      <c r="Q464" t="str">
        <v>CEL C5</v>
      </c>
      <c r="R464" t="str">
        <v>[kPa]</v>
      </c>
      <c r="S464" t="str">
        <f t="shared" si="121"/>
        <v>OK</v>
      </c>
      <c r="T464" t="str">
        <f t="shared" si="115"/>
        <v>OK</v>
      </c>
      <c r="U464" t="str">
        <f t="shared" si="116"/>
        <v>OK</v>
      </c>
      <c r="V464" t="str">
        <f t="shared" si="117"/>
        <v>OK</v>
      </c>
      <c r="W464" t="str">
        <f t="shared" si="118"/>
        <v>OK</v>
      </c>
      <c r="X464" t="str">
        <f t="shared" si="119"/>
        <v>OK</v>
      </c>
      <c r="Y464" t="str">
        <f t="shared" si="120"/>
        <v>OK</v>
      </c>
      <c r="Z464">
        <v>459</v>
      </c>
      <c r="AA464">
        <v>461</v>
      </c>
      <c r="AB464" t="s">
        <v>2695</v>
      </c>
      <c r="AC464" t="s">
        <v>460</v>
      </c>
      <c r="AD464" t="s">
        <v>470</v>
      </c>
      <c r="AE464" t="s">
        <v>892</v>
      </c>
      <c r="AG464" t="s">
        <v>897</v>
      </c>
      <c r="AH464" t="s">
        <v>931</v>
      </c>
      <c r="AI464" t="s">
        <v>2706</v>
      </c>
      <c r="AJ464" t="s">
        <v>1402</v>
      </c>
      <c r="AK464" t="s">
        <v>2695</v>
      </c>
      <c r="AL464" t="s">
        <v>2696</v>
      </c>
      <c r="AN464" t="str">
        <f t="shared" si="122"/>
        <v>OK</v>
      </c>
      <c r="AO464" t="str">
        <f t="shared" si="123"/>
        <v>OK</v>
      </c>
      <c r="AP464" t="str">
        <f t="shared" si="124"/>
        <v>OK</v>
      </c>
      <c r="AR464" t="str">
        <f t="shared" si="125"/>
        <v>OK</v>
      </c>
      <c r="AS464" t="str">
        <f t="shared" si="126"/>
        <v>OK</v>
      </c>
      <c r="AT464" t="str">
        <f t="shared" si="127"/>
        <v>NOK</v>
      </c>
      <c r="AU464" t="str">
        <f t="shared" si="128"/>
        <v>OK</v>
      </c>
      <c r="AV464" t="str">
        <f t="shared" si="129"/>
        <v>OK</v>
      </c>
      <c r="AW464" t="str">
        <f t="shared" si="130"/>
        <v>OK</v>
      </c>
    </row>
    <row r="465" spans="1:49">
      <c r="A465">
        <f>Dbase_velden_versie4_2!A461</f>
        <v>461</v>
      </c>
      <c r="B465" t="str">
        <f>Dbase_velden_versie4_2!B461</f>
        <v>CEL_EINDSPANNING</v>
      </c>
      <c r="C465" t="str">
        <f>Dbase_velden_versie4_2!C461</f>
        <v>kPa</v>
      </c>
      <c r="D465" t="str">
        <f>Dbase_velden_versie4_2!D461</f>
        <v>eindspanning</v>
      </c>
      <c r="E465" t="str">
        <f>Dbase_velden_versie4_2!E461</f>
        <v>Double</v>
      </c>
      <c r="F465">
        <f>Dbase_velden_versie4_2!F461</f>
        <v>0</v>
      </c>
      <c r="G465" t="str">
        <f>Dbase_velden_versie4_2!G461</f>
        <v>CEL EINDSPANNING</v>
      </c>
      <c r="H465" t="str">
        <f>Dbase_velden_versie4_2!H461</f>
        <v>[kPa]</v>
      </c>
      <c r="I465" t="str">
        <f>Dbase_velden_versie4_2!I461</f>
        <v>CEL</v>
      </c>
      <c r="J465" t="str">
        <f>Dbase_velden_versie4_2!J461</f>
        <v>Celproef</v>
      </c>
      <c r="K465">
        <v>461</v>
      </c>
      <c r="L465" t="str">
        <v>CEL_EINDSPANNING</v>
      </c>
      <c r="M465" t="str">
        <v>kPa</v>
      </c>
      <c r="N465" t="str">
        <v>eindspanning</v>
      </c>
      <c r="O465" t="str">
        <v>Double</v>
      </c>
      <c r="P465">
        <v>0</v>
      </c>
      <c r="Q465" t="str">
        <v>CEL EINDSPANNING</v>
      </c>
      <c r="R465" t="str">
        <v>[kPa]</v>
      </c>
      <c r="S465" t="str">
        <f t="shared" si="121"/>
        <v>OK</v>
      </c>
      <c r="T465" t="str">
        <f t="shared" si="115"/>
        <v>OK</v>
      </c>
      <c r="U465" t="str">
        <f t="shared" si="116"/>
        <v>OK</v>
      </c>
      <c r="V465" t="str">
        <f t="shared" si="117"/>
        <v>OK</v>
      </c>
      <c r="W465" t="str">
        <f t="shared" si="118"/>
        <v>OK</v>
      </c>
      <c r="X465" t="str">
        <f t="shared" si="119"/>
        <v>OK</v>
      </c>
      <c r="Y465" t="str">
        <f t="shared" si="120"/>
        <v>OK</v>
      </c>
      <c r="Z465">
        <v>460</v>
      </c>
      <c r="AA465">
        <v>462</v>
      </c>
      <c r="AB465" t="s">
        <v>2695</v>
      </c>
      <c r="AC465" t="s">
        <v>461</v>
      </c>
      <c r="AD465" t="s">
        <v>470</v>
      </c>
      <c r="AE465" t="s">
        <v>893</v>
      </c>
      <c r="AG465" t="s">
        <v>897</v>
      </c>
      <c r="AI465" t="s">
        <v>2707</v>
      </c>
      <c r="AJ465" t="s">
        <v>1402</v>
      </c>
      <c r="AK465" t="s">
        <v>2695</v>
      </c>
      <c r="AL465" t="s">
        <v>2696</v>
      </c>
      <c r="AN465" t="str">
        <f t="shared" si="122"/>
        <v>OK</v>
      </c>
      <c r="AO465" t="str">
        <f t="shared" si="123"/>
        <v>OK</v>
      </c>
      <c r="AP465" t="str">
        <f t="shared" si="124"/>
        <v>OK</v>
      </c>
      <c r="AR465" t="str">
        <f t="shared" si="125"/>
        <v>OK</v>
      </c>
      <c r="AS465" t="str">
        <f t="shared" si="126"/>
        <v>OK</v>
      </c>
      <c r="AT465" t="str">
        <f t="shared" si="127"/>
        <v>NOK</v>
      </c>
      <c r="AU465" t="str">
        <f t="shared" si="128"/>
        <v>OK</v>
      </c>
      <c r="AV465" t="str">
        <f t="shared" si="129"/>
        <v>OK</v>
      </c>
      <c r="AW465" t="str">
        <f t="shared" si="130"/>
        <v>OK</v>
      </c>
    </row>
  </sheetData>
  <conditionalFormatting sqref="S6:Y465">
    <cfRule type="cellIs" dxfId="3" priority="5" operator="equal">
      <formula>"OK"</formula>
    </cfRule>
    <cfRule type="cellIs" dxfId="2" priority="6" operator="equal">
      <formula>"NOK"</formula>
    </cfRule>
  </conditionalFormatting>
  <conditionalFormatting sqref="AN6:AW465">
    <cfRule type="cellIs" dxfId="1" priority="1" operator="equal">
      <formula>"OK"</formula>
    </cfRule>
    <cfRule type="cellIs" dxfId="0" priority="2" operator="equal">
      <formula>"NOK"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24">
    <pageSetUpPr fitToPage="1"/>
  </sheetPr>
  <dimension ref="A1:AD461"/>
  <sheetViews>
    <sheetView zoomScale="90" zoomScaleNormal="90" zoomScaleSheetLayoutView="70"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9.140625" defaultRowHeight="12.75"/>
  <cols>
    <col min="1" max="1" width="10.28515625" style="5" customWidth="1"/>
    <col min="2" max="2" width="39.28515625" style="5" bestFit="1" customWidth="1"/>
    <col min="3" max="3" width="11.85546875" style="5" bestFit="1" customWidth="1"/>
    <col min="4" max="4" width="55" style="8" customWidth="1"/>
    <col min="5" max="5" width="9" style="5" bestFit="1" customWidth="1"/>
    <col min="6" max="6" width="35.140625" style="8" bestFit="1" customWidth="1"/>
    <col min="7" max="7" width="37.42578125" style="5" bestFit="1" customWidth="1"/>
    <col min="8" max="8" width="15.28515625" style="5" customWidth="1"/>
    <col min="9" max="9" width="15.7109375" style="5" bestFit="1" customWidth="1"/>
    <col min="10" max="10" width="36.7109375" style="5" bestFit="1" customWidth="1"/>
    <col min="11" max="11" width="30" style="6" customWidth="1"/>
    <col min="12" max="12" width="18.28515625" style="5" bestFit="1" customWidth="1"/>
    <col min="13" max="13" width="27.5703125" style="5" bestFit="1" customWidth="1"/>
    <col min="14" max="18" width="9.140625" style="5"/>
    <col min="19" max="19" width="47.140625" style="5" customWidth="1"/>
    <col min="20" max="16384" width="9.140625" style="5"/>
  </cols>
  <sheetData>
    <row r="1" spans="1:30" ht="25.5">
      <c r="A1" s="1" t="s">
        <v>0</v>
      </c>
      <c r="B1" s="1" t="s">
        <v>1</v>
      </c>
      <c r="C1" s="1" t="s">
        <v>462</v>
      </c>
      <c r="D1" s="2" t="s">
        <v>484</v>
      </c>
      <c r="E1" s="2" t="s">
        <v>894</v>
      </c>
      <c r="F1" s="2" t="s">
        <v>899</v>
      </c>
      <c r="G1" s="1" t="s">
        <v>933</v>
      </c>
      <c r="H1" s="1" t="s">
        <v>1394</v>
      </c>
      <c r="I1" s="3" t="s">
        <v>2296</v>
      </c>
      <c r="J1" s="3" t="s">
        <v>2297</v>
      </c>
      <c r="K1" s="3" t="s">
        <v>2708</v>
      </c>
      <c r="L1" s="4" t="s">
        <v>2709</v>
      </c>
      <c r="M1" s="4" t="s">
        <v>2710</v>
      </c>
    </row>
    <row r="2" spans="1:30" ht="25.5">
      <c r="A2" s="6">
        <f>ROW()</f>
        <v>2</v>
      </c>
      <c r="B2" s="7" t="s">
        <v>2299</v>
      </c>
      <c r="C2" s="5" t="s">
        <v>463</v>
      </c>
      <c r="D2" s="8" t="s">
        <v>485</v>
      </c>
      <c r="E2" s="5" t="s">
        <v>895</v>
      </c>
      <c r="F2" s="8" t="s">
        <v>900</v>
      </c>
      <c r="G2" s="5" t="str">
        <f>SUBSTITUTE(B2,"_"," ")</f>
        <v>ALG  CLASSIFICATIE</v>
      </c>
      <c r="H2" s="5" t="str">
        <f>CONCATENATE("[",C2,"]")</f>
        <v>[-]</v>
      </c>
      <c r="I2" s="5" t="s">
        <v>2298</v>
      </c>
      <c r="J2" s="5" t="s">
        <v>2301</v>
      </c>
      <c r="K2" s="6">
        <v>0</v>
      </c>
      <c r="L2" s="9"/>
      <c r="M2" s="5" t="s">
        <v>2711</v>
      </c>
      <c r="P2" s="16"/>
      <c r="Q2" s="17"/>
      <c r="R2" s="17"/>
      <c r="S2" s="18"/>
      <c r="T2" s="18"/>
      <c r="U2" s="17"/>
      <c r="V2" s="18"/>
      <c r="W2" s="17"/>
      <c r="X2" s="17"/>
      <c r="Y2" s="17"/>
      <c r="Z2" s="17"/>
      <c r="AA2" s="17"/>
      <c r="AB2" s="18"/>
      <c r="AC2" s="17"/>
      <c r="AD2" s="17"/>
    </row>
    <row r="3" spans="1:30" ht="25.5">
      <c r="A3" s="6">
        <f>ROW()</f>
        <v>3</v>
      </c>
      <c r="B3" s="7" t="s">
        <v>3</v>
      </c>
      <c r="C3" s="5" t="s">
        <v>463</v>
      </c>
      <c r="D3" s="8" t="s">
        <v>486</v>
      </c>
      <c r="E3" s="5" t="s">
        <v>895</v>
      </c>
      <c r="F3" s="8" t="s">
        <v>900</v>
      </c>
      <c r="G3" s="5" t="str">
        <f t="shared" ref="G3:G5" si="0">SUBSTITUTE(B3,"_"," ")</f>
        <v>ALG  VEENCLASSIFICATIE</v>
      </c>
      <c r="H3" s="5" t="str">
        <f t="shared" ref="H3:H5" si="1">CONCATENATE("[",C3,"]")</f>
        <v>[-]</v>
      </c>
      <c r="I3" s="5" t="s">
        <v>2298</v>
      </c>
      <c r="J3" s="5" t="s">
        <v>2301</v>
      </c>
      <c r="K3" s="6">
        <v>0</v>
      </c>
      <c r="L3" s="9"/>
      <c r="M3" s="5" t="s">
        <v>2711</v>
      </c>
      <c r="P3" s="16"/>
      <c r="Q3" s="17"/>
      <c r="R3" s="17"/>
      <c r="S3" s="18"/>
      <c r="T3" s="18"/>
      <c r="U3" s="17"/>
      <c r="V3" s="18"/>
      <c r="W3" s="17"/>
      <c r="X3" s="17"/>
      <c r="Y3" s="17"/>
      <c r="Z3" s="17"/>
      <c r="AA3" s="17"/>
      <c r="AB3" s="18"/>
      <c r="AC3" s="17"/>
      <c r="AD3" s="17"/>
    </row>
    <row r="4" spans="1:30" ht="25.5">
      <c r="A4" s="6">
        <f>ROW()</f>
        <v>4</v>
      </c>
      <c r="B4" s="7" t="s">
        <v>4</v>
      </c>
      <c r="C4" s="5" t="s">
        <v>463</v>
      </c>
      <c r="D4" s="8" t="s">
        <v>487</v>
      </c>
      <c r="E4" s="5" t="s">
        <v>895</v>
      </c>
      <c r="F4" s="8" t="s">
        <v>900</v>
      </c>
      <c r="G4" s="5" t="str">
        <f t="shared" si="0"/>
        <v>ALG  KORRELVERDELING</v>
      </c>
      <c r="H4" s="5" t="str">
        <f t="shared" si="1"/>
        <v>[-]</v>
      </c>
      <c r="I4" s="5" t="s">
        <v>2298</v>
      </c>
      <c r="J4" s="5" t="s">
        <v>2301</v>
      </c>
      <c r="K4" s="6">
        <v>0</v>
      </c>
      <c r="L4" s="9"/>
      <c r="M4" s="5" t="s">
        <v>2711</v>
      </c>
      <c r="P4" s="16"/>
      <c r="Q4" s="17"/>
      <c r="R4" s="17"/>
      <c r="S4" s="18"/>
      <c r="T4" s="18"/>
      <c r="U4" s="17"/>
      <c r="V4" s="18"/>
      <c r="W4" s="17"/>
      <c r="X4" s="17"/>
      <c r="Y4" s="17"/>
      <c r="Z4" s="17"/>
      <c r="AA4" s="17"/>
      <c r="AB4" s="18"/>
      <c r="AC4" s="17"/>
      <c r="AD4" s="17"/>
    </row>
    <row r="5" spans="1:30" ht="25.5">
      <c r="A5" s="6">
        <f>ROW()</f>
        <v>5</v>
      </c>
      <c r="B5" s="7" t="s">
        <v>5</v>
      </c>
      <c r="C5" s="5" t="s">
        <v>463</v>
      </c>
      <c r="D5" s="8" t="s">
        <v>488</v>
      </c>
      <c r="E5" s="5" t="s">
        <v>895</v>
      </c>
      <c r="F5" s="8" t="s">
        <v>900</v>
      </c>
      <c r="G5" s="5" t="str">
        <f t="shared" si="0"/>
        <v>ALG  SONDEERWAARDE</v>
      </c>
      <c r="H5" s="5" t="str">
        <f t="shared" si="1"/>
        <v>[-]</v>
      </c>
      <c r="I5" s="5" t="s">
        <v>2298</v>
      </c>
      <c r="J5" s="5" t="s">
        <v>2301</v>
      </c>
      <c r="K5" s="6">
        <v>0</v>
      </c>
      <c r="L5" s="9"/>
      <c r="M5" s="5" t="s">
        <v>2711</v>
      </c>
      <c r="P5" s="16"/>
      <c r="Q5" s="17"/>
      <c r="R5" s="17"/>
      <c r="S5" s="18"/>
      <c r="T5" s="18"/>
      <c r="U5" s="17"/>
      <c r="V5" s="18"/>
      <c r="W5" s="17"/>
      <c r="X5" s="17"/>
      <c r="Y5" s="17"/>
      <c r="Z5" s="17"/>
      <c r="AA5" s="17"/>
      <c r="AB5" s="18"/>
      <c r="AC5" s="17"/>
      <c r="AD5" s="17"/>
    </row>
    <row r="6" spans="1:30" ht="25.5">
      <c r="A6" s="6">
        <f>ROW()</f>
        <v>6</v>
      </c>
      <c r="B6" s="7" t="s">
        <v>6</v>
      </c>
      <c r="C6" s="5" t="s">
        <v>463</v>
      </c>
      <c r="D6" s="8" t="s">
        <v>489</v>
      </c>
      <c r="E6" s="5" t="s">
        <v>895</v>
      </c>
      <c r="F6" s="8" t="s">
        <v>900</v>
      </c>
      <c r="G6" s="5" t="str">
        <f t="shared" ref="G6:G69" si="2">SUBSTITUTE(B6,"_"," ")</f>
        <v>ALG  CRS</v>
      </c>
      <c r="H6" s="5" t="str">
        <f t="shared" ref="H6:H69" si="3">CONCATENATE("[",C6,"]")</f>
        <v>[-]</v>
      </c>
      <c r="I6" s="5" t="s">
        <v>2298</v>
      </c>
      <c r="J6" s="5" t="s">
        <v>2301</v>
      </c>
      <c r="K6" s="6">
        <v>0</v>
      </c>
      <c r="L6" s="9"/>
      <c r="M6" s="5" t="s">
        <v>2711</v>
      </c>
      <c r="P6" s="16"/>
      <c r="Q6" s="17"/>
      <c r="R6" s="17"/>
      <c r="S6" s="18"/>
      <c r="T6" s="18"/>
      <c r="U6" s="17"/>
      <c r="V6" s="18"/>
      <c r="W6" s="17"/>
      <c r="X6" s="17"/>
      <c r="Y6" s="17"/>
      <c r="Z6" s="17"/>
      <c r="AA6" s="17"/>
      <c r="AB6" s="18"/>
      <c r="AC6" s="17"/>
      <c r="AD6" s="17"/>
    </row>
    <row r="7" spans="1:30" ht="25.5">
      <c r="A7" s="6">
        <f>ROW()</f>
        <v>7</v>
      </c>
      <c r="B7" s="7" t="s">
        <v>7</v>
      </c>
      <c r="C7" s="5" t="s">
        <v>463</v>
      </c>
      <c r="D7" s="8" t="s">
        <v>490</v>
      </c>
      <c r="E7" s="5" t="s">
        <v>895</v>
      </c>
      <c r="F7" s="8" t="s">
        <v>900</v>
      </c>
      <c r="G7" s="5" t="str">
        <f t="shared" ref="G7" si="4">SUBSTITUTE(B7,"_"," ")</f>
        <v>ALG  SAMENDRUKKING</v>
      </c>
      <c r="H7" s="5" t="str">
        <f t="shared" ref="H7" si="5">CONCATENATE("[",C7,"]")</f>
        <v>[-]</v>
      </c>
      <c r="I7" s="5" t="s">
        <v>2298</v>
      </c>
      <c r="J7" s="5" t="s">
        <v>2301</v>
      </c>
      <c r="K7" s="6">
        <v>0</v>
      </c>
      <c r="L7" s="9"/>
      <c r="M7" s="5" t="s">
        <v>2711</v>
      </c>
      <c r="P7" s="16"/>
      <c r="Q7" s="17"/>
      <c r="R7" s="17"/>
      <c r="S7" s="18"/>
      <c r="T7" s="18"/>
      <c r="U7" s="17"/>
      <c r="V7" s="18"/>
      <c r="W7" s="17"/>
      <c r="X7" s="17"/>
      <c r="Y7" s="17"/>
      <c r="Z7" s="17"/>
      <c r="AA7" s="17"/>
      <c r="AB7" s="18"/>
      <c r="AC7" s="17"/>
      <c r="AD7" s="17"/>
    </row>
    <row r="8" spans="1:30" ht="25.5">
      <c r="A8" s="6">
        <f>ROW()</f>
        <v>8</v>
      </c>
      <c r="B8" s="7" t="s">
        <v>8</v>
      </c>
      <c r="C8" s="5" t="s">
        <v>463</v>
      </c>
      <c r="D8" s="8" t="s">
        <v>491</v>
      </c>
      <c r="E8" s="5" t="s">
        <v>895</v>
      </c>
      <c r="F8" s="8" t="s">
        <v>900</v>
      </c>
      <c r="G8" s="5" t="str">
        <f t="shared" si="2"/>
        <v>ALG  DSS</v>
      </c>
      <c r="H8" s="5" t="str">
        <f t="shared" si="3"/>
        <v>[-]</v>
      </c>
      <c r="I8" s="5" t="s">
        <v>2298</v>
      </c>
      <c r="J8" s="5" t="s">
        <v>2301</v>
      </c>
      <c r="K8" s="6">
        <v>0</v>
      </c>
      <c r="L8" s="9"/>
      <c r="M8" s="5" t="s">
        <v>2711</v>
      </c>
      <c r="P8" s="16"/>
      <c r="Q8" s="17"/>
      <c r="R8" s="17"/>
      <c r="S8" s="18"/>
      <c r="T8" s="18"/>
      <c r="U8" s="17"/>
      <c r="V8" s="18"/>
      <c r="W8" s="17"/>
      <c r="X8" s="17"/>
      <c r="Y8" s="17"/>
      <c r="Z8" s="17"/>
      <c r="AA8" s="17"/>
      <c r="AB8" s="18"/>
      <c r="AC8" s="17"/>
      <c r="AD8" s="17"/>
    </row>
    <row r="9" spans="1:30" ht="25.5">
      <c r="A9" s="6">
        <f>ROW()</f>
        <v>9</v>
      </c>
      <c r="B9" s="7" t="s">
        <v>9</v>
      </c>
      <c r="C9" s="5" t="s">
        <v>463</v>
      </c>
      <c r="D9" s="8" t="s">
        <v>492</v>
      </c>
      <c r="E9" s="5" t="s">
        <v>895</v>
      </c>
      <c r="F9" s="8" t="s">
        <v>900</v>
      </c>
      <c r="G9" s="5" t="str">
        <f t="shared" si="2"/>
        <v>ALG  TRIAXIAAL</v>
      </c>
      <c r="H9" s="5" t="str">
        <f t="shared" si="3"/>
        <v>[-]</v>
      </c>
      <c r="I9" s="5" t="s">
        <v>2298</v>
      </c>
      <c r="J9" s="5" t="s">
        <v>2301</v>
      </c>
      <c r="K9" s="6">
        <v>0</v>
      </c>
      <c r="L9" s="9"/>
      <c r="M9" s="5" t="s">
        <v>2711</v>
      </c>
      <c r="P9" s="16"/>
      <c r="Q9" s="17"/>
      <c r="R9" s="17"/>
      <c r="S9" s="18"/>
      <c r="T9" s="18"/>
      <c r="U9" s="17"/>
      <c r="V9" s="18"/>
      <c r="W9" s="17"/>
      <c r="X9" s="17"/>
      <c r="Y9" s="17"/>
      <c r="Z9" s="17"/>
      <c r="AA9" s="17"/>
      <c r="AB9" s="18"/>
      <c r="AC9" s="17"/>
      <c r="AD9" s="17"/>
    </row>
    <row r="10" spans="1:30">
      <c r="A10" s="6">
        <f>ROW()</f>
        <v>10</v>
      </c>
      <c r="B10" s="7" t="s">
        <v>10</v>
      </c>
      <c r="C10" s="5" t="s">
        <v>463</v>
      </c>
      <c r="D10" s="8" t="s">
        <v>493</v>
      </c>
      <c r="E10" s="5" t="s">
        <v>896</v>
      </c>
      <c r="G10" s="5" t="str">
        <f t="shared" si="2"/>
        <v>ALG  BORING MONSTERNR ID</v>
      </c>
      <c r="H10" s="5" t="str">
        <f t="shared" si="3"/>
        <v>[-]</v>
      </c>
      <c r="I10" s="5" t="s">
        <v>2298</v>
      </c>
      <c r="J10" s="5" t="s">
        <v>2301</v>
      </c>
      <c r="K10" s="6">
        <v>0</v>
      </c>
      <c r="L10" s="9">
        <v>3</v>
      </c>
      <c r="M10" s="5" t="s">
        <v>2712</v>
      </c>
      <c r="P10" s="16"/>
      <c r="Q10" s="17"/>
      <c r="R10" s="17"/>
      <c r="S10" s="18"/>
      <c r="T10" s="18"/>
      <c r="U10" s="17"/>
      <c r="V10" s="18"/>
      <c r="W10" s="17"/>
      <c r="X10" s="17"/>
      <c r="Y10" s="17"/>
      <c r="Z10" s="17"/>
      <c r="AA10" s="17"/>
      <c r="AB10" s="18"/>
      <c r="AC10" s="17"/>
      <c r="AD10" s="17"/>
    </row>
    <row r="11" spans="1:30">
      <c r="A11" s="6">
        <f>ROW()</f>
        <v>11</v>
      </c>
      <c r="B11" s="7" t="s">
        <v>11</v>
      </c>
      <c r="C11" s="5" t="s">
        <v>463</v>
      </c>
      <c r="D11" s="8" t="s">
        <v>494</v>
      </c>
      <c r="E11" s="5" t="s">
        <v>896</v>
      </c>
      <c r="G11" s="5" t="str">
        <f t="shared" si="2"/>
        <v>ALG OPDRACHTGEVER</v>
      </c>
      <c r="H11" s="5" t="str">
        <f t="shared" si="3"/>
        <v>[-]</v>
      </c>
      <c r="I11" s="5" t="s">
        <v>2298</v>
      </c>
      <c r="J11" s="5" t="s">
        <v>2301</v>
      </c>
      <c r="K11" s="6">
        <v>1</v>
      </c>
      <c r="L11" s="9">
        <v>9</v>
      </c>
      <c r="M11" s="5" t="s">
        <v>2713</v>
      </c>
      <c r="P11" s="16"/>
      <c r="Q11" s="17"/>
      <c r="R11" s="17"/>
      <c r="S11" s="18"/>
      <c r="T11" s="18"/>
      <c r="U11" s="17"/>
      <c r="V11" s="18"/>
      <c r="W11" s="17"/>
      <c r="X11" s="17"/>
      <c r="Y11" s="17"/>
      <c r="Z11" s="17"/>
      <c r="AA11" s="17"/>
      <c r="AB11" s="18"/>
      <c r="AC11" s="17"/>
      <c r="AD11" s="17"/>
    </row>
    <row r="12" spans="1:30">
      <c r="A12" s="6">
        <f>ROW()</f>
        <v>12</v>
      </c>
      <c r="B12" s="7" t="s">
        <v>12</v>
      </c>
      <c r="C12" s="5" t="s">
        <v>463</v>
      </c>
      <c r="D12" s="8" t="s">
        <v>495</v>
      </c>
      <c r="E12" s="5" t="s">
        <v>896</v>
      </c>
      <c r="G12" s="5" t="str">
        <f t="shared" si="2"/>
        <v>ALG PROJECTNAAM</v>
      </c>
      <c r="H12" s="5" t="str">
        <f t="shared" si="3"/>
        <v>[-]</v>
      </c>
      <c r="I12" s="5" t="s">
        <v>2298</v>
      </c>
      <c r="J12" s="5" t="s">
        <v>2301</v>
      </c>
      <c r="K12" s="6">
        <v>1</v>
      </c>
      <c r="L12" s="9">
        <v>7</v>
      </c>
      <c r="M12" s="5" t="s">
        <v>2714</v>
      </c>
      <c r="P12" s="16"/>
      <c r="Q12" s="17"/>
      <c r="R12" s="17"/>
      <c r="S12" s="18"/>
      <c r="T12" s="18"/>
      <c r="U12" s="17"/>
      <c r="V12" s="18"/>
      <c r="W12" s="17"/>
      <c r="X12" s="17"/>
      <c r="Y12" s="17"/>
      <c r="Z12" s="17"/>
      <c r="AA12" s="17"/>
      <c r="AB12" s="18"/>
      <c r="AC12" s="17"/>
      <c r="AD12" s="17"/>
    </row>
    <row r="13" spans="1:30">
      <c r="A13" s="6">
        <f>ROW()</f>
        <v>13</v>
      </c>
      <c r="B13" s="7" t="s">
        <v>13</v>
      </c>
      <c r="C13" s="5" t="s">
        <v>463</v>
      </c>
      <c r="D13" s="8" t="s">
        <v>496</v>
      </c>
      <c r="E13" s="5" t="s">
        <v>896</v>
      </c>
      <c r="G13" s="5" t="str">
        <f t="shared" si="2"/>
        <v>ALG PROJECTNUMMER</v>
      </c>
      <c r="H13" s="5" t="str">
        <f t="shared" si="3"/>
        <v>[-]</v>
      </c>
      <c r="I13" s="5" t="s">
        <v>2298</v>
      </c>
      <c r="J13" s="5" t="s">
        <v>2301</v>
      </c>
      <c r="K13" s="6">
        <v>1</v>
      </c>
      <c r="L13" s="9">
        <v>8</v>
      </c>
      <c r="M13" s="5" t="s">
        <v>2715</v>
      </c>
      <c r="P13" s="16"/>
      <c r="Q13" s="17"/>
      <c r="R13" s="17"/>
      <c r="S13" s="18"/>
      <c r="T13" s="18"/>
      <c r="U13" s="17"/>
      <c r="V13" s="18"/>
      <c r="W13" s="17"/>
      <c r="X13" s="17"/>
      <c r="Y13" s="17"/>
      <c r="Z13" s="17"/>
      <c r="AA13" s="17"/>
      <c r="AB13" s="18"/>
      <c r="AC13" s="17"/>
      <c r="AD13" s="17"/>
    </row>
    <row r="14" spans="1:30">
      <c r="A14" s="6">
        <f>ROW()</f>
        <v>14</v>
      </c>
      <c r="B14" s="7" t="s">
        <v>14</v>
      </c>
      <c r="C14" s="5" t="s">
        <v>463</v>
      </c>
      <c r="D14" s="8" t="s">
        <v>497</v>
      </c>
      <c r="E14" s="5" t="s">
        <v>896</v>
      </c>
      <c r="G14" s="5" t="str">
        <f t="shared" si="2"/>
        <v>ALG NAAM POLDER DIJK</v>
      </c>
      <c r="H14" s="5" t="str">
        <f t="shared" si="3"/>
        <v>[-]</v>
      </c>
      <c r="I14" s="5" t="s">
        <v>2298</v>
      </c>
      <c r="J14" s="5" t="s">
        <v>2301</v>
      </c>
      <c r="K14" s="6">
        <v>0</v>
      </c>
      <c r="L14" s="9">
        <v>5</v>
      </c>
      <c r="M14" s="5" t="s">
        <v>2716</v>
      </c>
      <c r="P14" s="16"/>
      <c r="Q14" s="17"/>
      <c r="R14" s="17"/>
      <c r="S14" s="18"/>
      <c r="T14" s="18"/>
      <c r="U14" s="17"/>
      <c r="V14" s="18"/>
      <c r="W14" s="17"/>
      <c r="X14" s="17"/>
      <c r="Y14" s="17"/>
      <c r="Z14" s="17"/>
      <c r="AA14" s="17"/>
      <c r="AB14" s="18"/>
      <c r="AC14" s="17"/>
      <c r="AD14" s="17"/>
    </row>
    <row r="15" spans="1:30" ht="25.5">
      <c r="A15" s="6">
        <f>ROW()</f>
        <v>15</v>
      </c>
      <c r="B15" s="7" t="s">
        <v>15</v>
      </c>
      <c r="C15" s="5" t="s">
        <v>463</v>
      </c>
      <c r="D15" s="8" t="s">
        <v>498</v>
      </c>
      <c r="E15" s="5" t="s">
        <v>896</v>
      </c>
      <c r="G15" s="5" t="str">
        <f t="shared" si="2"/>
        <v>ALG REFERENTIE</v>
      </c>
      <c r="H15" s="5" t="str">
        <f t="shared" si="3"/>
        <v>[-]</v>
      </c>
      <c r="I15" s="5" t="s">
        <v>2298</v>
      </c>
      <c r="J15" s="5" t="s">
        <v>2301</v>
      </c>
      <c r="L15" s="9">
        <v>14</v>
      </c>
      <c r="M15" s="5" t="s">
        <v>2717</v>
      </c>
      <c r="P15" s="16"/>
      <c r="Q15" s="17"/>
      <c r="R15" s="17"/>
      <c r="S15" s="18"/>
      <c r="T15" s="18"/>
      <c r="U15" s="17"/>
      <c r="V15" s="18"/>
      <c r="W15" s="17"/>
      <c r="X15" s="17"/>
      <c r="Y15" s="17"/>
      <c r="Z15" s="17"/>
      <c r="AA15" s="17"/>
      <c r="AB15" s="18"/>
      <c r="AC15" s="17"/>
      <c r="AD15" s="17"/>
    </row>
    <row r="16" spans="1:30">
      <c r="A16" s="6">
        <f>ROW()</f>
        <v>16</v>
      </c>
      <c r="B16" s="7" t="s">
        <v>16</v>
      </c>
      <c r="C16" s="5" t="s">
        <v>463</v>
      </c>
      <c r="D16" s="8" t="s">
        <v>499</v>
      </c>
      <c r="E16" s="5" t="s">
        <v>896</v>
      </c>
      <c r="G16" s="5" t="str">
        <f t="shared" si="2"/>
        <v>ALG REGIO</v>
      </c>
      <c r="H16" s="5" t="str">
        <f t="shared" si="3"/>
        <v>[-]</v>
      </c>
      <c r="I16" s="5" t="s">
        <v>2298</v>
      </c>
      <c r="J16" s="5" t="s">
        <v>2301</v>
      </c>
      <c r="L16" s="9">
        <v>6</v>
      </c>
      <c r="M16" s="5" t="s">
        <v>2718</v>
      </c>
      <c r="P16" s="16"/>
      <c r="Q16" s="17"/>
      <c r="R16" s="17"/>
      <c r="S16" s="18"/>
      <c r="T16" s="18"/>
      <c r="U16" s="17"/>
      <c r="V16" s="18"/>
      <c r="W16" s="17"/>
      <c r="X16" s="17"/>
      <c r="Y16" s="17"/>
      <c r="Z16" s="17"/>
      <c r="AA16" s="17"/>
      <c r="AB16" s="18"/>
      <c r="AC16" s="17"/>
      <c r="AD16" s="17"/>
    </row>
    <row r="17" spans="1:30">
      <c r="A17" s="6">
        <f>ROW()</f>
        <v>17</v>
      </c>
      <c r="B17" s="7" t="s">
        <v>17</v>
      </c>
      <c r="C17" s="5" t="s">
        <v>463</v>
      </c>
      <c r="D17" s="8" t="s">
        <v>500</v>
      </c>
      <c r="E17" s="5" t="s">
        <v>896</v>
      </c>
      <c r="G17" s="5" t="str">
        <f t="shared" si="2"/>
        <v>ALG TYPE WATERKERING</v>
      </c>
      <c r="H17" s="5" t="str">
        <f t="shared" si="3"/>
        <v>[-]</v>
      </c>
      <c r="I17" s="5" t="s">
        <v>2298</v>
      </c>
      <c r="J17" s="5" t="s">
        <v>2301</v>
      </c>
      <c r="L17" s="9">
        <v>26</v>
      </c>
      <c r="M17" s="5" t="s">
        <v>2719</v>
      </c>
      <c r="P17" s="16"/>
      <c r="Q17" s="17"/>
      <c r="R17" s="17"/>
      <c r="S17" s="18"/>
      <c r="T17" s="18"/>
      <c r="U17" s="17"/>
      <c r="V17" s="18"/>
      <c r="W17" s="17"/>
      <c r="X17" s="17"/>
      <c r="Y17" s="17"/>
      <c r="Z17" s="17"/>
      <c r="AA17" s="17"/>
      <c r="AB17" s="18"/>
      <c r="AC17" s="17"/>
      <c r="AD17" s="17"/>
    </row>
    <row r="18" spans="1:30">
      <c r="A18" s="6">
        <f>ROW()</f>
        <v>18</v>
      </c>
      <c r="B18" s="7" t="s">
        <v>18</v>
      </c>
      <c r="C18" s="5" t="s">
        <v>463</v>
      </c>
      <c r="D18" s="10" t="s">
        <v>501</v>
      </c>
      <c r="E18" s="5" t="s">
        <v>896</v>
      </c>
      <c r="F18" s="11"/>
      <c r="G18" s="5" t="str">
        <f t="shared" si="2"/>
        <v>ALG AANLEGJAAR</v>
      </c>
      <c r="H18" s="5" t="str">
        <f t="shared" si="3"/>
        <v>[-]</v>
      </c>
      <c r="I18" s="5" t="s">
        <v>2298</v>
      </c>
      <c r="J18" s="5" t="s">
        <v>2301</v>
      </c>
      <c r="L18" s="9">
        <v>42</v>
      </c>
      <c r="M18" s="5" t="s">
        <v>2720</v>
      </c>
      <c r="P18" s="16"/>
      <c r="Q18" s="17"/>
      <c r="R18" s="17"/>
      <c r="S18" s="18"/>
      <c r="T18" s="18"/>
      <c r="U18" s="17"/>
      <c r="V18" s="19"/>
      <c r="W18" s="17"/>
      <c r="X18" s="17"/>
      <c r="Y18" s="17"/>
      <c r="Z18" s="17"/>
      <c r="AA18" s="17"/>
      <c r="AB18" s="18"/>
      <c r="AC18" s="17"/>
      <c r="AD18" s="17"/>
    </row>
    <row r="19" spans="1:30">
      <c r="A19" s="6">
        <f>ROW()</f>
        <v>19</v>
      </c>
      <c r="B19" s="7" t="s">
        <v>19</v>
      </c>
      <c r="C19" s="5" t="s">
        <v>463</v>
      </c>
      <c r="D19" s="10" t="s">
        <v>502</v>
      </c>
      <c r="E19" s="5" t="s">
        <v>896</v>
      </c>
      <c r="G19" s="5" t="str">
        <f t="shared" si="2"/>
        <v>ALG BODEMKAART</v>
      </c>
      <c r="H19" s="5" t="str">
        <f t="shared" si="3"/>
        <v>[-]</v>
      </c>
      <c r="I19" s="5" t="s">
        <v>2298</v>
      </c>
      <c r="J19" s="5" t="s">
        <v>2301</v>
      </c>
      <c r="L19" s="9">
        <v>40</v>
      </c>
      <c r="M19" s="5" t="s">
        <v>2721</v>
      </c>
      <c r="P19" s="16"/>
      <c r="Q19" s="17"/>
      <c r="R19" s="17"/>
      <c r="S19" s="18"/>
      <c r="T19" s="18"/>
      <c r="U19" s="17"/>
      <c r="V19" s="18"/>
      <c r="W19" s="17"/>
      <c r="X19" s="17"/>
      <c r="Y19" s="17"/>
      <c r="Z19" s="17"/>
      <c r="AA19" s="17"/>
      <c r="AB19" s="18"/>
      <c r="AC19" s="17"/>
      <c r="AD19" s="17"/>
    </row>
    <row r="20" spans="1:30" ht="25.5">
      <c r="A20" s="6">
        <f>ROW()</f>
        <v>20</v>
      </c>
      <c r="B20" s="7" t="s">
        <v>20</v>
      </c>
      <c r="C20" s="5" t="s">
        <v>463</v>
      </c>
      <c r="D20" s="8" t="s">
        <v>503</v>
      </c>
      <c r="E20" s="5" t="s">
        <v>896</v>
      </c>
      <c r="G20" s="5" t="str">
        <f t="shared" si="2"/>
        <v>ALG GEOLOGIE</v>
      </c>
      <c r="H20" s="5" t="str">
        <f t="shared" si="3"/>
        <v>[-]</v>
      </c>
      <c r="I20" s="5" t="s">
        <v>2298</v>
      </c>
      <c r="J20" s="5" t="s">
        <v>2301</v>
      </c>
      <c r="L20" s="9">
        <v>16</v>
      </c>
      <c r="M20" s="5" t="s">
        <v>2722</v>
      </c>
      <c r="P20" s="16"/>
      <c r="Q20" s="17"/>
      <c r="R20" s="17"/>
      <c r="S20" s="18"/>
      <c r="T20" s="18"/>
      <c r="U20" s="17"/>
      <c r="V20" s="18"/>
      <c r="W20" s="17"/>
      <c r="X20" s="17"/>
      <c r="Y20" s="17"/>
      <c r="Z20" s="17"/>
      <c r="AA20" s="17"/>
      <c r="AB20" s="18"/>
      <c r="AC20" s="17"/>
      <c r="AD20" s="17"/>
    </row>
    <row r="21" spans="1:30" ht="25.5">
      <c r="A21" s="6">
        <f>ROW()</f>
        <v>21</v>
      </c>
      <c r="B21" s="7" t="s">
        <v>21</v>
      </c>
      <c r="C21" s="5" t="s">
        <v>463</v>
      </c>
      <c r="D21" s="8" t="s">
        <v>504</v>
      </c>
      <c r="E21" s="5" t="s">
        <v>896</v>
      </c>
      <c r="G21" s="5" t="str">
        <f t="shared" si="2"/>
        <v>ALG FILENAAM GEOT PROFIEL</v>
      </c>
      <c r="H21" s="5" t="str">
        <f t="shared" si="3"/>
        <v>[-]</v>
      </c>
      <c r="I21" s="5" t="s">
        <v>2298</v>
      </c>
      <c r="J21" s="5" t="s">
        <v>2301</v>
      </c>
      <c r="L21" s="9">
        <v>17</v>
      </c>
      <c r="M21" s="5" t="s">
        <v>2723</v>
      </c>
      <c r="P21" s="16"/>
      <c r="Q21" s="17"/>
      <c r="R21" s="17"/>
      <c r="S21" s="18"/>
      <c r="T21" s="18"/>
      <c r="U21" s="17"/>
      <c r="V21" s="18"/>
      <c r="W21" s="17"/>
      <c r="X21" s="17"/>
      <c r="Y21" s="17"/>
      <c r="Z21" s="17"/>
      <c r="AA21" s="17"/>
      <c r="AB21" s="18"/>
      <c r="AC21" s="17"/>
      <c r="AD21" s="17"/>
    </row>
    <row r="22" spans="1:30" ht="25.5">
      <c r="A22" s="6">
        <f>ROW()</f>
        <v>22</v>
      </c>
      <c r="B22" s="7" t="s">
        <v>22</v>
      </c>
      <c r="C22" s="5" t="s">
        <v>464</v>
      </c>
      <c r="D22" s="8" t="s">
        <v>505</v>
      </c>
      <c r="E22" s="5" t="s">
        <v>897</v>
      </c>
      <c r="F22" s="11" t="s">
        <v>901</v>
      </c>
      <c r="G22" s="5" t="str">
        <f t="shared" si="2"/>
        <v>BORING XID</v>
      </c>
      <c r="H22" s="5" t="str">
        <f t="shared" si="3"/>
        <v>[m]</v>
      </c>
      <c r="I22" s="5" t="s">
        <v>2320</v>
      </c>
      <c r="J22" s="5" t="s">
        <v>2322</v>
      </c>
      <c r="K22" s="6">
        <v>1</v>
      </c>
      <c r="L22" s="9">
        <v>27</v>
      </c>
      <c r="M22" s="5" t="s">
        <v>2724</v>
      </c>
      <c r="P22" s="16"/>
      <c r="Q22" s="17"/>
      <c r="R22" s="17"/>
      <c r="S22" s="18"/>
      <c r="T22" s="18"/>
      <c r="U22" s="17"/>
      <c r="V22" s="19"/>
      <c r="W22" s="17"/>
      <c r="X22" s="17"/>
      <c r="Y22" s="17"/>
      <c r="Z22" s="17"/>
      <c r="AA22" s="17"/>
      <c r="AB22" s="18"/>
      <c r="AC22" s="17"/>
      <c r="AD22" s="17"/>
    </row>
    <row r="23" spans="1:30" ht="25.5">
      <c r="A23" s="6">
        <f>ROW()</f>
        <v>23</v>
      </c>
      <c r="B23" s="7" t="s">
        <v>23</v>
      </c>
      <c r="C23" s="5" t="s">
        <v>464</v>
      </c>
      <c r="D23" s="8" t="s">
        <v>506</v>
      </c>
      <c r="E23" s="5" t="s">
        <v>897</v>
      </c>
      <c r="F23" s="11" t="s">
        <v>902</v>
      </c>
      <c r="G23" s="5" t="str">
        <f t="shared" si="2"/>
        <v>BORING YID</v>
      </c>
      <c r="H23" s="5" t="str">
        <f t="shared" si="3"/>
        <v>[m]</v>
      </c>
      <c r="I23" s="5" t="s">
        <v>2320</v>
      </c>
      <c r="J23" s="5" t="s">
        <v>2322</v>
      </c>
      <c r="K23" s="6">
        <v>1</v>
      </c>
      <c r="L23" s="9">
        <v>28</v>
      </c>
      <c r="M23" s="5" t="s">
        <v>2725</v>
      </c>
      <c r="P23" s="16"/>
      <c r="Q23" s="17"/>
      <c r="R23" s="17"/>
      <c r="S23" s="18"/>
      <c r="T23" s="18"/>
      <c r="U23" s="17"/>
      <c r="V23" s="19"/>
      <c r="W23" s="17"/>
      <c r="X23" s="17"/>
      <c r="Y23" s="17"/>
      <c r="Z23" s="17"/>
      <c r="AA23" s="17"/>
      <c r="AB23" s="18"/>
      <c r="AC23" s="17"/>
      <c r="AD23" s="17"/>
    </row>
    <row r="24" spans="1:30">
      <c r="A24" s="6">
        <f>ROW()</f>
        <v>24</v>
      </c>
      <c r="B24" s="7" t="s">
        <v>24</v>
      </c>
      <c r="C24" s="5" t="s">
        <v>465</v>
      </c>
      <c r="D24" s="8" t="s">
        <v>507</v>
      </c>
      <c r="E24" s="5" t="s">
        <v>897</v>
      </c>
      <c r="F24" s="11" t="s">
        <v>903</v>
      </c>
      <c r="G24" s="5" t="str">
        <f t="shared" si="2"/>
        <v>BORING MAAIVELDPEIL</v>
      </c>
      <c r="H24" s="5" t="str">
        <f t="shared" si="3"/>
        <v>[m NAP]</v>
      </c>
      <c r="I24" s="5" t="s">
        <v>2320</v>
      </c>
      <c r="J24" s="5" t="s">
        <v>2322</v>
      </c>
      <c r="K24" s="6">
        <v>1</v>
      </c>
      <c r="L24" s="9">
        <v>20</v>
      </c>
      <c r="M24" s="5" t="s">
        <v>2726</v>
      </c>
      <c r="P24" s="16"/>
      <c r="Q24" s="17"/>
      <c r="R24" s="17"/>
      <c r="S24" s="18"/>
      <c r="T24" s="18"/>
      <c r="U24" s="17"/>
      <c r="V24" s="19"/>
      <c r="W24" s="17"/>
      <c r="X24" s="17"/>
      <c r="Y24" s="17"/>
      <c r="Z24" s="17"/>
      <c r="AA24" s="17"/>
      <c r="AB24" s="18"/>
      <c r="AC24" s="17"/>
      <c r="AD24" s="17"/>
    </row>
    <row r="25" spans="1:30">
      <c r="A25" s="6">
        <f>ROW()</f>
        <v>25</v>
      </c>
      <c r="B25" s="7" t="s">
        <v>25</v>
      </c>
      <c r="C25" s="5" t="s">
        <v>463</v>
      </c>
      <c r="D25" s="8" t="s">
        <v>508</v>
      </c>
      <c r="E25" s="5" t="s">
        <v>896</v>
      </c>
      <c r="G25" s="5" t="str">
        <f t="shared" si="2"/>
        <v>BORING NUMMER</v>
      </c>
      <c r="H25" s="5" t="str">
        <f t="shared" si="3"/>
        <v>[-]</v>
      </c>
      <c r="I25" s="5" t="s">
        <v>2320</v>
      </c>
      <c r="J25" s="5" t="s">
        <v>2322</v>
      </c>
      <c r="K25" s="6">
        <v>1</v>
      </c>
      <c r="L25" s="9">
        <v>11</v>
      </c>
      <c r="M25" s="5" t="s">
        <v>2727</v>
      </c>
      <c r="P25" s="16"/>
      <c r="Q25" s="17"/>
      <c r="R25" s="17"/>
      <c r="S25" s="18"/>
      <c r="T25" s="18"/>
      <c r="U25" s="17"/>
      <c r="V25" s="18"/>
      <c r="W25" s="17"/>
      <c r="X25" s="17"/>
      <c r="Y25" s="17"/>
      <c r="Z25" s="17"/>
      <c r="AA25" s="17"/>
      <c r="AB25" s="18"/>
      <c r="AC25" s="17"/>
      <c r="AD25" s="17"/>
    </row>
    <row r="26" spans="1:30" ht="38.25">
      <c r="A26" s="6">
        <f>ROW()</f>
        <v>26</v>
      </c>
      <c r="B26" s="7" t="s">
        <v>26</v>
      </c>
      <c r="C26" s="5" t="s">
        <v>463</v>
      </c>
      <c r="D26" s="8" t="s">
        <v>509</v>
      </c>
      <c r="E26" s="5" t="s">
        <v>896</v>
      </c>
      <c r="F26" s="8" t="s">
        <v>904</v>
      </c>
      <c r="G26" s="5" t="str">
        <f t="shared" si="2"/>
        <v>BORING POSITIE</v>
      </c>
      <c r="H26" s="5" t="str">
        <f t="shared" si="3"/>
        <v>[-]</v>
      </c>
      <c r="I26" s="5" t="s">
        <v>2320</v>
      </c>
      <c r="J26" s="5" t="s">
        <v>2322</v>
      </c>
      <c r="K26" s="6">
        <v>1</v>
      </c>
      <c r="L26" s="9">
        <v>13</v>
      </c>
      <c r="M26" s="5" t="s">
        <v>2728</v>
      </c>
      <c r="P26" s="16"/>
      <c r="Q26" s="17"/>
      <c r="R26" s="17"/>
      <c r="S26" s="18"/>
      <c r="T26" s="18"/>
      <c r="U26" s="17"/>
      <c r="V26" s="18"/>
      <c r="W26" s="17"/>
      <c r="X26" s="17"/>
      <c r="Y26" s="17"/>
      <c r="Z26" s="17"/>
      <c r="AA26" s="17"/>
      <c r="AB26" s="18"/>
      <c r="AC26" s="17"/>
      <c r="AD26" s="17"/>
    </row>
    <row r="27" spans="1:30">
      <c r="A27" s="6">
        <f>ROW()</f>
        <v>27</v>
      </c>
      <c r="B27" s="7" t="s">
        <v>27</v>
      </c>
      <c r="C27" s="5" t="s">
        <v>466</v>
      </c>
      <c r="D27" s="8" t="s">
        <v>510</v>
      </c>
      <c r="E27" s="5" t="s">
        <v>898</v>
      </c>
      <c r="G27" s="5" t="str">
        <f t="shared" si="2"/>
        <v>BORING DATUM</v>
      </c>
      <c r="H27" s="5" t="str">
        <f t="shared" si="3"/>
        <v>[DD-MM-JJJJ]</v>
      </c>
      <c r="I27" s="5" t="s">
        <v>2320</v>
      </c>
      <c r="J27" s="5" t="s">
        <v>2322</v>
      </c>
      <c r="K27" s="6">
        <v>1</v>
      </c>
      <c r="L27" s="9">
        <v>29</v>
      </c>
      <c r="M27" s="5" t="s">
        <v>2729</v>
      </c>
      <c r="P27" s="16"/>
      <c r="Q27" s="17"/>
      <c r="R27" s="17"/>
      <c r="S27" s="18"/>
      <c r="T27" s="18"/>
      <c r="U27" s="17"/>
      <c r="V27" s="18"/>
      <c r="W27" s="17"/>
      <c r="X27" s="17"/>
      <c r="Y27" s="17"/>
      <c r="Z27" s="17"/>
      <c r="AA27" s="17"/>
      <c r="AB27" s="18"/>
      <c r="AC27" s="17"/>
      <c r="AD27" s="17"/>
    </row>
    <row r="28" spans="1:30">
      <c r="A28" s="6">
        <f>ROW()</f>
        <v>28</v>
      </c>
      <c r="B28" s="7" t="s">
        <v>28</v>
      </c>
      <c r="C28" s="5" t="s">
        <v>463</v>
      </c>
      <c r="D28" s="8" t="s">
        <v>511</v>
      </c>
      <c r="E28" s="5" t="s">
        <v>896</v>
      </c>
      <c r="G28" s="5" t="str">
        <f t="shared" si="2"/>
        <v>BORING FILENAAM PDF</v>
      </c>
      <c r="H28" s="5" t="str">
        <f t="shared" si="3"/>
        <v>[-]</v>
      </c>
      <c r="I28" s="5" t="s">
        <v>2320</v>
      </c>
      <c r="J28" s="5" t="s">
        <v>2322</v>
      </c>
      <c r="K28" s="6">
        <v>1</v>
      </c>
      <c r="L28" s="9">
        <v>30</v>
      </c>
      <c r="M28" s="5" t="s">
        <v>2730</v>
      </c>
      <c r="P28" s="16"/>
      <c r="Q28" s="17"/>
      <c r="R28" s="17"/>
      <c r="S28" s="18"/>
      <c r="T28" s="18"/>
      <c r="U28" s="17"/>
      <c r="V28" s="18"/>
      <c r="W28" s="17"/>
      <c r="X28" s="17"/>
      <c r="Y28" s="17"/>
      <c r="Z28" s="17"/>
      <c r="AA28" s="17"/>
      <c r="AB28" s="18"/>
      <c r="AC28" s="17"/>
      <c r="AD28" s="17"/>
    </row>
    <row r="29" spans="1:30" ht="25.5">
      <c r="A29" s="6">
        <f>ROW()</f>
        <v>29</v>
      </c>
      <c r="B29" s="5" t="s">
        <v>29</v>
      </c>
      <c r="C29" s="5" t="s">
        <v>463</v>
      </c>
      <c r="D29" s="8" t="s">
        <v>512</v>
      </c>
      <c r="E29" s="5" t="s">
        <v>896</v>
      </c>
      <c r="G29" s="5" t="str">
        <f t="shared" si="2"/>
        <v>BORING FILENAAM GEF</v>
      </c>
      <c r="H29" s="5" t="str">
        <f t="shared" si="3"/>
        <v>[-]</v>
      </c>
      <c r="I29" s="5" t="s">
        <v>2320</v>
      </c>
      <c r="J29" s="5" t="s">
        <v>2322</v>
      </c>
      <c r="K29" s="6">
        <v>1</v>
      </c>
      <c r="L29" s="9"/>
      <c r="M29" s="5" t="s">
        <v>2711</v>
      </c>
      <c r="P29" s="16"/>
      <c r="Q29" s="17"/>
      <c r="R29" s="17"/>
      <c r="S29" s="18"/>
      <c r="T29" s="18"/>
      <c r="U29" s="17"/>
      <c r="V29" s="18"/>
      <c r="W29" s="17"/>
      <c r="X29" s="17"/>
      <c r="Y29" s="17"/>
      <c r="Z29" s="17"/>
      <c r="AA29" s="17"/>
      <c r="AB29" s="18"/>
      <c r="AC29" s="17"/>
      <c r="AD29" s="17"/>
    </row>
    <row r="30" spans="1:30">
      <c r="A30" s="6">
        <f>ROW()</f>
        <v>30</v>
      </c>
      <c r="B30" s="7" t="s">
        <v>30</v>
      </c>
      <c r="C30" s="5" t="s">
        <v>463</v>
      </c>
      <c r="D30" s="8" t="s">
        <v>513</v>
      </c>
      <c r="E30" s="5" t="s">
        <v>896</v>
      </c>
      <c r="G30" s="5" t="str">
        <f t="shared" si="2"/>
        <v>BORING BEDRIJF</v>
      </c>
      <c r="H30" s="5" t="str">
        <f t="shared" si="3"/>
        <v>[-]</v>
      </c>
      <c r="I30" s="5" t="s">
        <v>2320</v>
      </c>
      <c r="J30" s="5" t="s">
        <v>2322</v>
      </c>
      <c r="K30" s="6">
        <v>1</v>
      </c>
      <c r="L30" s="9">
        <v>10</v>
      </c>
      <c r="M30" s="5" t="s">
        <v>2731</v>
      </c>
      <c r="P30" s="16"/>
      <c r="Q30" s="17"/>
      <c r="R30" s="17"/>
      <c r="S30" s="18"/>
      <c r="T30" s="18"/>
      <c r="U30" s="17"/>
      <c r="V30" s="18"/>
      <c r="W30" s="17"/>
      <c r="X30" s="17"/>
      <c r="Y30" s="17"/>
      <c r="Z30" s="17"/>
      <c r="AA30" s="17"/>
      <c r="AB30" s="18"/>
      <c r="AC30" s="17"/>
      <c r="AD30" s="17"/>
    </row>
    <row r="31" spans="1:30">
      <c r="A31" s="6">
        <f>ROW()</f>
        <v>31</v>
      </c>
      <c r="B31" s="7" t="s">
        <v>31</v>
      </c>
      <c r="C31" s="5" t="s">
        <v>463</v>
      </c>
      <c r="D31" s="8" t="s">
        <v>514</v>
      </c>
      <c r="E31" s="5" t="s">
        <v>896</v>
      </c>
      <c r="G31" s="5" t="str">
        <f t="shared" si="2"/>
        <v>BORING BOORMEESTER</v>
      </c>
      <c r="H31" s="5" t="str">
        <f t="shared" si="3"/>
        <v>[-]</v>
      </c>
      <c r="I31" s="5" t="s">
        <v>2320</v>
      </c>
      <c r="J31" s="5" t="s">
        <v>2322</v>
      </c>
      <c r="L31" s="9">
        <v>19</v>
      </c>
      <c r="M31" s="5" t="s">
        <v>2732</v>
      </c>
      <c r="P31" s="16"/>
      <c r="Q31" s="17"/>
      <c r="R31" s="17"/>
      <c r="S31" s="18"/>
      <c r="T31" s="18"/>
      <c r="U31" s="17"/>
      <c r="V31" s="18"/>
      <c r="W31" s="17"/>
      <c r="X31" s="17"/>
      <c r="Y31" s="17"/>
      <c r="Z31" s="17"/>
      <c r="AA31" s="17"/>
      <c r="AB31" s="18"/>
      <c r="AC31" s="17"/>
      <c r="AD31" s="17"/>
    </row>
    <row r="32" spans="1:30">
      <c r="A32" s="6">
        <f>ROW()</f>
        <v>32</v>
      </c>
      <c r="B32" s="7" t="s">
        <v>32</v>
      </c>
      <c r="C32" s="5" t="s">
        <v>463</v>
      </c>
      <c r="D32" s="8" t="s">
        <v>515</v>
      </c>
      <c r="E32" s="5" t="s">
        <v>896</v>
      </c>
      <c r="G32" s="5" t="str">
        <f t="shared" si="2"/>
        <v>BORING METHODE</v>
      </c>
      <c r="H32" s="5" t="str">
        <f t="shared" si="3"/>
        <v>[-]</v>
      </c>
      <c r="I32" s="5" t="s">
        <v>2320</v>
      </c>
      <c r="J32" s="5" t="s">
        <v>2322</v>
      </c>
      <c r="K32" s="6">
        <v>1</v>
      </c>
      <c r="L32" s="9">
        <v>18</v>
      </c>
      <c r="M32" s="5" t="s">
        <v>2733</v>
      </c>
      <c r="P32" s="16"/>
      <c r="Q32" s="17"/>
      <c r="R32" s="17"/>
      <c r="S32" s="18"/>
      <c r="T32" s="18"/>
      <c r="U32" s="17"/>
      <c r="V32" s="18"/>
      <c r="W32" s="17"/>
      <c r="X32" s="17"/>
      <c r="Y32" s="17"/>
      <c r="Z32" s="17"/>
      <c r="AA32" s="17"/>
      <c r="AB32" s="18"/>
      <c r="AC32" s="17"/>
      <c r="AD32" s="17"/>
    </row>
    <row r="33" spans="1:30">
      <c r="A33" s="6">
        <f>ROW()</f>
        <v>33</v>
      </c>
      <c r="B33" s="7" t="s">
        <v>33</v>
      </c>
      <c r="C33" s="5" t="s">
        <v>465</v>
      </c>
      <c r="D33" s="8" t="s">
        <v>516</v>
      </c>
      <c r="E33" s="5" t="s">
        <v>897</v>
      </c>
      <c r="G33" s="5" t="str">
        <f t="shared" si="2"/>
        <v>BORING OPNAME GWS</v>
      </c>
      <c r="H33" s="5" t="str">
        <f t="shared" si="3"/>
        <v>[m NAP]</v>
      </c>
      <c r="I33" s="5" t="s">
        <v>2320</v>
      </c>
      <c r="J33" s="5" t="s">
        <v>2322</v>
      </c>
      <c r="L33" s="9"/>
      <c r="M33" s="5" t="s">
        <v>2711</v>
      </c>
      <c r="P33" s="16"/>
      <c r="Q33" s="17"/>
      <c r="R33" s="17"/>
      <c r="S33" s="18"/>
      <c r="T33" s="18"/>
      <c r="U33" s="17"/>
      <c r="V33" s="18"/>
      <c r="W33" s="17"/>
      <c r="X33" s="17"/>
      <c r="Y33" s="17"/>
      <c r="Z33" s="17"/>
      <c r="AA33" s="17"/>
      <c r="AB33" s="18"/>
      <c r="AC33" s="17"/>
      <c r="AD33" s="17"/>
    </row>
    <row r="34" spans="1:30" ht="25.5">
      <c r="A34" s="6">
        <f>ROW()</f>
        <v>34</v>
      </c>
      <c r="B34" s="7" t="s">
        <v>34</v>
      </c>
      <c r="C34" s="5" t="s">
        <v>465</v>
      </c>
      <c r="D34" s="8" t="s">
        <v>517</v>
      </c>
      <c r="E34" s="5" t="s">
        <v>897</v>
      </c>
      <c r="F34" s="11" t="s">
        <v>905</v>
      </c>
      <c r="G34" s="5" t="str">
        <f t="shared" si="2"/>
        <v>BORING GLG</v>
      </c>
      <c r="H34" s="5" t="str">
        <f t="shared" si="3"/>
        <v>[m NAP]</v>
      </c>
      <c r="I34" s="5" t="s">
        <v>2320</v>
      </c>
      <c r="J34" s="5" t="s">
        <v>2322</v>
      </c>
      <c r="L34" s="9"/>
      <c r="M34" s="5" t="s">
        <v>2734</v>
      </c>
      <c r="P34" s="16"/>
      <c r="Q34" s="17"/>
      <c r="R34" s="17"/>
      <c r="S34" s="18"/>
      <c r="T34" s="18"/>
      <c r="U34" s="17"/>
      <c r="V34" s="19"/>
      <c r="W34" s="17"/>
      <c r="X34" s="17"/>
      <c r="Y34" s="17"/>
      <c r="Z34" s="17"/>
      <c r="AA34" s="17"/>
      <c r="AB34" s="18"/>
      <c r="AC34" s="17"/>
      <c r="AD34" s="17"/>
    </row>
    <row r="35" spans="1:30">
      <c r="A35" s="6">
        <f>ROW()</f>
        <v>35</v>
      </c>
      <c r="B35" s="7" t="s">
        <v>35</v>
      </c>
      <c r="C35" s="5" t="s">
        <v>463</v>
      </c>
      <c r="D35" s="8" t="s">
        <v>518</v>
      </c>
      <c r="E35" s="5" t="s">
        <v>896</v>
      </c>
      <c r="F35" s="11"/>
      <c r="G35" s="5" t="str">
        <f t="shared" si="2"/>
        <v>MONSTER ID</v>
      </c>
      <c r="H35" s="5" t="str">
        <f t="shared" si="3"/>
        <v>[-]</v>
      </c>
      <c r="I35" s="5" t="s">
        <v>2335</v>
      </c>
      <c r="J35" s="5" t="s">
        <v>2337</v>
      </c>
      <c r="K35" s="6">
        <v>1</v>
      </c>
      <c r="L35" s="9"/>
      <c r="M35" s="5" t="s">
        <v>2735</v>
      </c>
      <c r="P35" s="16"/>
      <c r="Q35" s="17"/>
      <c r="R35" s="17"/>
      <c r="S35" s="18"/>
      <c r="T35" s="18"/>
      <c r="U35" s="17"/>
      <c r="V35" s="19"/>
      <c r="W35" s="17"/>
      <c r="X35" s="17"/>
      <c r="Y35" s="17"/>
      <c r="Z35" s="17"/>
      <c r="AA35" s="17"/>
      <c r="AB35" s="18"/>
      <c r="AC35" s="17"/>
      <c r="AD35" s="17"/>
    </row>
    <row r="36" spans="1:30" ht="25.5">
      <c r="A36" s="6">
        <f>ROW()</f>
        <v>36</v>
      </c>
      <c r="B36" s="7" t="s">
        <v>36</v>
      </c>
      <c r="C36" s="5" t="s">
        <v>463</v>
      </c>
      <c r="D36" s="8" t="s">
        <v>519</v>
      </c>
      <c r="E36" s="5" t="s">
        <v>896</v>
      </c>
      <c r="G36" s="5" t="str">
        <f t="shared" si="2"/>
        <v>MONSTER STEEKMETHODE</v>
      </c>
      <c r="H36" s="5" t="str">
        <f t="shared" si="3"/>
        <v>[-]</v>
      </c>
      <c r="I36" s="5" t="s">
        <v>2335</v>
      </c>
      <c r="J36" s="5" t="s">
        <v>2337</v>
      </c>
      <c r="K36" s="6">
        <v>1</v>
      </c>
      <c r="L36" s="9"/>
      <c r="M36" s="5" t="s">
        <v>2711</v>
      </c>
      <c r="P36" s="16"/>
      <c r="Q36" s="17"/>
      <c r="R36" s="17"/>
      <c r="S36" s="18"/>
      <c r="T36" s="18"/>
      <c r="U36" s="17"/>
      <c r="V36" s="18"/>
      <c r="W36" s="17"/>
      <c r="X36" s="17"/>
      <c r="Y36" s="17"/>
      <c r="Z36" s="17"/>
      <c r="AA36" s="17"/>
      <c r="AB36" s="18"/>
      <c r="AC36" s="17"/>
      <c r="AD36" s="17"/>
    </row>
    <row r="37" spans="1:30" ht="25.5">
      <c r="A37" s="6">
        <f>ROW()</f>
        <v>37</v>
      </c>
      <c r="B37" s="7" t="s">
        <v>37</v>
      </c>
      <c r="C37" s="5" t="s">
        <v>463</v>
      </c>
      <c r="D37" s="8" t="s">
        <v>520</v>
      </c>
      <c r="E37" s="5" t="s">
        <v>896</v>
      </c>
      <c r="G37" s="5" t="str">
        <f t="shared" si="2"/>
        <v>MONSTER OPSLAGWIJZE</v>
      </c>
      <c r="H37" s="5" t="str">
        <f t="shared" si="3"/>
        <v>[-]</v>
      </c>
      <c r="I37" s="5" t="s">
        <v>2335</v>
      </c>
      <c r="J37" s="5" t="s">
        <v>2337</v>
      </c>
      <c r="L37" s="9"/>
      <c r="M37" s="5" t="s">
        <v>2736</v>
      </c>
      <c r="P37" s="16"/>
      <c r="Q37" s="17"/>
      <c r="R37" s="17"/>
      <c r="S37" s="18"/>
      <c r="T37" s="18"/>
      <c r="U37" s="17"/>
      <c r="V37" s="18"/>
      <c r="W37" s="17"/>
      <c r="X37" s="17"/>
      <c r="Y37" s="17"/>
      <c r="Z37" s="17"/>
      <c r="AA37" s="17"/>
      <c r="AB37" s="18"/>
      <c r="AC37" s="17"/>
      <c r="AD37" s="17"/>
    </row>
    <row r="38" spans="1:30" ht="25.5">
      <c r="A38" s="6">
        <f>ROW()</f>
        <v>38</v>
      </c>
      <c r="B38" s="7" t="s">
        <v>38</v>
      </c>
      <c r="C38" s="5" t="s">
        <v>465</v>
      </c>
      <c r="D38" s="8" t="s">
        <v>521</v>
      </c>
      <c r="E38" s="5" t="s">
        <v>897</v>
      </c>
      <c r="F38" s="11" t="s">
        <v>905</v>
      </c>
      <c r="G38" s="5" t="str">
        <f t="shared" si="2"/>
        <v>MONSTER NIVEAU NAP VANAF</v>
      </c>
      <c r="H38" s="5" t="str">
        <f t="shared" si="3"/>
        <v>[m NAP]</v>
      </c>
      <c r="I38" s="5" t="s">
        <v>2335</v>
      </c>
      <c r="J38" s="5" t="s">
        <v>2337</v>
      </c>
      <c r="L38" s="9"/>
      <c r="M38" s="5" t="s">
        <v>2737</v>
      </c>
      <c r="P38" s="16"/>
      <c r="Q38" s="17"/>
      <c r="R38" s="17"/>
      <c r="S38" s="18"/>
      <c r="T38" s="18"/>
      <c r="U38" s="17"/>
      <c r="V38" s="19"/>
      <c r="W38" s="17"/>
      <c r="X38" s="17"/>
      <c r="Y38" s="17"/>
      <c r="Z38" s="17"/>
      <c r="AA38" s="17"/>
      <c r="AB38" s="18"/>
      <c r="AC38" s="17"/>
      <c r="AD38" s="17"/>
    </row>
    <row r="39" spans="1:30" ht="25.5">
      <c r="A39" s="6">
        <f>ROW()</f>
        <v>39</v>
      </c>
      <c r="B39" s="7" t="s">
        <v>39</v>
      </c>
      <c r="C39" s="5" t="s">
        <v>465</v>
      </c>
      <c r="D39" s="8" t="s">
        <v>522</v>
      </c>
      <c r="E39" s="5" t="s">
        <v>897</v>
      </c>
      <c r="F39" s="11" t="s">
        <v>905</v>
      </c>
      <c r="G39" s="5" t="str">
        <f t="shared" si="2"/>
        <v>MONSTER NIVEAU NAP TOT</v>
      </c>
      <c r="H39" s="5" t="str">
        <f t="shared" si="3"/>
        <v>[m NAP]</v>
      </c>
      <c r="I39" s="5" t="s">
        <v>2335</v>
      </c>
      <c r="J39" s="5" t="s">
        <v>2337</v>
      </c>
      <c r="L39" s="9"/>
      <c r="M39" s="5" t="s">
        <v>2738</v>
      </c>
      <c r="P39" s="16"/>
      <c r="Q39" s="17"/>
      <c r="R39" s="17"/>
      <c r="S39" s="18"/>
      <c r="T39" s="18"/>
      <c r="U39" s="17"/>
      <c r="V39" s="19"/>
      <c r="W39" s="17"/>
      <c r="X39" s="17"/>
      <c r="Y39" s="17"/>
      <c r="Z39" s="17"/>
      <c r="AA39" s="17"/>
      <c r="AB39" s="18"/>
      <c r="AC39" s="17"/>
      <c r="AD39" s="17"/>
    </row>
    <row r="40" spans="1:30" ht="25.5">
      <c r="A40" s="6">
        <f>ROW()</f>
        <v>40</v>
      </c>
      <c r="B40" s="7" t="s">
        <v>40</v>
      </c>
      <c r="C40" s="5" t="s">
        <v>464</v>
      </c>
      <c r="D40" s="8" t="s">
        <v>523</v>
      </c>
      <c r="E40" s="5" t="s">
        <v>897</v>
      </c>
      <c r="F40" s="11" t="s">
        <v>906</v>
      </c>
      <c r="G40" s="5" t="str">
        <f t="shared" si="2"/>
        <v>MONSTER NIVEAU MV VANAF</v>
      </c>
      <c r="H40" s="5" t="str">
        <f t="shared" si="3"/>
        <v>[m]</v>
      </c>
      <c r="I40" s="5" t="s">
        <v>2335</v>
      </c>
      <c r="J40" s="5" t="s">
        <v>2337</v>
      </c>
      <c r="L40" s="9"/>
      <c r="M40" s="5" t="s">
        <v>2739</v>
      </c>
      <c r="P40" s="16"/>
      <c r="Q40" s="17"/>
      <c r="R40" s="17"/>
      <c r="S40" s="18"/>
      <c r="T40" s="18"/>
      <c r="U40" s="17"/>
      <c r="V40" s="19"/>
      <c r="W40" s="17"/>
      <c r="X40" s="17"/>
      <c r="Y40" s="17"/>
      <c r="Z40" s="17"/>
      <c r="AA40" s="17"/>
      <c r="AB40" s="18"/>
      <c r="AC40" s="17"/>
      <c r="AD40" s="17"/>
    </row>
    <row r="41" spans="1:30" ht="25.5">
      <c r="A41" s="6">
        <f>ROW()</f>
        <v>41</v>
      </c>
      <c r="B41" s="7" t="s">
        <v>41</v>
      </c>
      <c r="C41" s="5" t="s">
        <v>464</v>
      </c>
      <c r="D41" s="8" t="s">
        <v>524</v>
      </c>
      <c r="E41" s="5" t="s">
        <v>897</v>
      </c>
      <c r="F41" s="11" t="s">
        <v>906</v>
      </c>
      <c r="G41" s="5" t="str">
        <f t="shared" si="2"/>
        <v>MONSTER NIVEAU MV TOT</v>
      </c>
      <c r="H41" s="5" t="str">
        <f t="shared" si="3"/>
        <v>[m]</v>
      </c>
      <c r="I41" s="5" t="s">
        <v>2335</v>
      </c>
      <c r="J41" s="5" t="s">
        <v>2337</v>
      </c>
      <c r="L41" s="9"/>
      <c r="M41" s="5" t="s">
        <v>2740</v>
      </c>
      <c r="P41" s="16"/>
      <c r="Q41" s="17"/>
      <c r="R41" s="17"/>
      <c r="S41" s="18"/>
      <c r="T41" s="18"/>
      <c r="U41" s="17"/>
      <c r="V41" s="19"/>
      <c r="W41" s="17"/>
      <c r="X41" s="17"/>
      <c r="Y41" s="17"/>
      <c r="Z41" s="17"/>
      <c r="AA41" s="17"/>
      <c r="AB41" s="18"/>
      <c r="AC41" s="17"/>
      <c r="AD41" s="17"/>
    </row>
    <row r="42" spans="1:30" ht="25.5">
      <c r="A42" s="6">
        <f>ROW()</f>
        <v>42</v>
      </c>
      <c r="B42" s="7" t="s">
        <v>42</v>
      </c>
      <c r="C42" s="5" t="s">
        <v>467</v>
      </c>
      <c r="D42" s="8" t="s">
        <v>525</v>
      </c>
      <c r="E42" s="5" t="s">
        <v>897</v>
      </c>
      <c r="F42" s="11"/>
      <c r="G42" s="5" t="str">
        <f t="shared" si="2"/>
        <v>MONSTER TOTAAL VOLUMEGEWICHT</v>
      </c>
      <c r="H42" s="5" t="str">
        <f t="shared" si="3"/>
        <v>[kN/m3]</v>
      </c>
      <c r="I42" s="5" t="s">
        <v>2335</v>
      </c>
      <c r="J42" s="5" t="s">
        <v>2337</v>
      </c>
      <c r="L42" s="9"/>
      <c r="M42" s="5" t="s">
        <v>2711</v>
      </c>
      <c r="P42" s="16"/>
      <c r="Q42" s="17"/>
      <c r="R42" s="17"/>
      <c r="S42" s="18"/>
      <c r="T42" s="18"/>
      <c r="U42" s="17"/>
      <c r="V42" s="19"/>
      <c r="W42" s="17"/>
      <c r="X42" s="17"/>
      <c r="Y42" s="17"/>
      <c r="Z42" s="17"/>
      <c r="AA42" s="17"/>
      <c r="AB42" s="18"/>
      <c r="AC42" s="17"/>
      <c r="AD42" s="17"/>
    </row>
    <row r="43" spans="1:30" ht="25.5">
      <c r="A43" s="6">
        <f>ROW()</f>
        <v>43</v>
      </c>
      <c r="B43" s="7" t="s">
        <v>43</v>
      </c>
      <c r="C43" s="5" t="s">
        <v>463</v>
      </c>
      <c r="D43" s="8" t="s">
        <v>526</v>
      </c>
      <c r="E43" s="5" t="s">
        <v>896</v>
      </c>
      <c r="G43" s="5" t="str">
        <f t="shared" si="2"/>
        <v>CLAS FILENAAM PDF</v>
      </c>
      <c r="H43" s="5" t="str">
        <f t="shared" si="3"/>
        <v>[-]</v>
      </c>
      <c r="I43" s="5" t="s">
        <v>2345</v>
      </c>
      <c r="J43" s="5" t="s">
        <v>2346</v>
      </c>
      <c r="L43" s="9"/>
      <c r="M43" s="5" t="s">
        <v>2741</v>
      </c>
      <c r="P43" s="16"/>
      <c r="Q43" s="17"/>
      <c r="R43" s="17"/>
      <c r="S43" s="18"/>
      <c r="T43" s="18"/>
      <c r="U43" s="17"/>
      <c r="V43" s="18"/>
      <c r="W43" s="17"/>
      <c r="X43" s="17"/>
      <c r="Y43" s="17"/>
      <c r="Z43" s="17"/>
      <c r="AA43" s="17"/>
      <c r="AB43" s="18"/>
      <c r="AC43" s="17"/>
      <c r="AD43" s="17"/>
    </row>
    <row r="44" spans="1:30" ht="25.5">
      <c r="A44" s="6">
        <f>ROW()</f>
        <v>44</v>
      </c>
      <c r="B44" s="5" t="s">
        <v>44</v>
      </c>
      <c r="C44" s="5" t="s">
        <v>463</v>
      </c>
      <c r="D44" s="8" t="s">
        <v>527</v>
      </c>
      <c r="E44" s="5" t="s">
        <v>896</v>
      </c>
      <c r="G44" s="5" t="str">
        <f t="shared" si="2"/>
        <v>CLAS FILENAAM DIGITAAL</v>
      </c>
      <c r="H44" s="5" t="str">
        <f t="shared" si="3"/>
        <v>[-]</v>
      </c>
      <c r="I44" s="5" t="s">
        <v>2345</v>
      </c>
      <c r="J44" s="5" t="s">
        <v>2346</v>
      </c>
      <c r="L44" s="9"/>
      <c r="M44" s="5" t="s">
        <v>2711</v>
      </c>
      <c r="P44" s="16"/>
      <c r="Q44" s="17"/>
      <c r="R44" s="17"/>
      <c r="S44" s="18"/>
      <c r="T44" s="18"/>
      <c r="U44" s="17"/>
      <c r="V44" s="18"/>
      <c r="W44" s="17"/>
      <c r="X44" s="17"/>
      <c r="Y44" s="17"/>
      <c r="Z44" s="17"/>
      <c r="AA44" s="17"/>
      <c r="AB44" s="18"/>
      <c r="AC44" s="17"/>
      <c r="AD44" s="17"/>
    </row>
    <row r="45" spans="1:30">
      <c r="A45" s="6">
        <f>ROW()</f>
        <v>45</v>
      </c>
      <c r="B45" s="7" t="s">
        <v>45</v>
      </c>
      <c r="C45" s="5" t="s">
        <v>463</v>
      </c>
      <c r="D45" s="8" t="s">
        <v>528</v>
      </c>
      <c r="E45" s="5" t="s">
        <v>896</v>
      </c>
      <c r="G45" s="5" t="str">
        <f t="shared" si="2"/>
        <v>CLAS MONSTERID</v>
      </c>
      <c r="H45" s="5" t="str">
        <f t="shared" si="3"/>
        <v>[-]</v>
      </c>
      <c r="I45" s="5" t="s">
        <v>2345</v>
      </c>
      <c r="J45" s="5" t="s">
        <v>2346</v>
      </c>
      <c r="L45" s="9"/>
      <c r="M45" s="5" t="s">
        <v>2711</v>
      </c>
      <c r="P45" s="16"/>
      <c r="Q45" s="17"/>
      <c r="R45" s="17"/>
      <c r="S45" s="18"/>
      <c r="T45" s="18"/>
      <c r="U45" s="17"/>
      <c r="V45" s="18"/>
      <c r="W45" s="17"/>
      <c r="X45" s="17"/>
      <c r="Y45" s="17"/>
      <c r="Z45" s="17"/>
      <c r="AA45" s="17"/>
      <c r="AB45" s="18"/>
      <c r="AC45" s="17"/>
      <c r="AD45" s="17"/>
    </row>
    <row r="46" spans="1:30" ht="25.5">
      <c r="A46" s="6">
        <f>ROW()</f>
        <v>46</v>
      </c>
      <c r="B46" s="7" t="s">
        <v>46</v>
      </c>
      <c r="C46" s="5" t="s">
        <v>463</v>
      </c>
      <c r="D46" s="8" t="s">
        <v>529</v>
      </c>
      <c r="E46" s="5" t="s">
        <v>896</v>
      </c>
      <c r="G46" s="5" t="str">
        <f t="shared" si="2"/>
        <v>CLAS LABORATORIUM</v>
      </c>
      <c r="H46" s="5" t="str">
        <f t="shared" si="3"/>
        <v>[-]</v>
      </c>
      <c r="I46" s="5" t="s">
        <v>2345</v>
      </c>
      <c r="J46" s="5" t="s">
        <v>2346</v>
      </c>
      <c r="L46" s="9"/>
      <c r="M46" s="5" t="s">
        <v>2742</v>
      </c>
      <c r="P46" s="16"/>
      <c r="Q46" s="17"/>
      <c r="R46" s="17"/>
      <c r="S46" s="18"/>
      <c r="T46" s="18"/>
      <c r="U46" s="17"/>
      <c r="V46" s="18"/>
      <c r="W46" s="17"/>
      <c r="X46" s="17"/>
      <c r="Y46" s="17"/>
      <c r="Z46" s="17"/>
      <c r="AA46" s="17"/>
      <c r="AB46" s="18"/>
      <c r="AC46" s="17"/>
      <c r="AD46" s="17"/>
    </row>
    <row r="47" spans="1:30">
      <c r="A47" s="6">
        <f>ROW()</f>
        <v>47</v>
      </c>
      <c r="B47" s="7" t="s">
        <v>47</v>
      </c>
      <c r="C47" s="5" t="s">
        <v>463</v>
      </c>
      <c r="D47" s="8" t="s">
        <v>530</v>
      </c>
      <c r="E47" s="5" t="s">
        <v>896</v>
      </c>
      <c r="G47" s="5" t="str">
        <f t="shared" si="2"/>
        <v>CLAS NORMEN</v>
      </c>
      <c r="H47" s="5" t="str">
        <f t="shared" si="3"/>
        <v>[-]</v>
      </c>
      <c r="I47" s="5" t="s">
        <v>2345</v>
      </c>
      <c r="J47" s="5" t="s">
        <v>2346</v>
      </c>
      <c r="L47" s="9"/>
      <c r="M47" s="5" t="s">
        <v>2736</v>
      </c>
      <c r="P47" s="16"/>
      <c r="Q47" s="17"/>
      <c r="R47" s="17"/>
      <c r="S47" s="18"/>
      <c r="T47" s="18"/>
      <c r="U47" s="17"/>
      <c r="V47" s="18"/>
      <c r="W47" s="17"/>
      <c r="X47" s="17"/>
      <c r="Y47" s="17"/>
      <c r="Z47" s="17"/>
      <c r="AA47" s="17"/>
      <c r="AB47" s="18"/>
      <c r="AC47" s="17"/>
      <c r="AD47" s="17"/>
    </row>
    <row r="48" spans="1:30">
      <c r="A48" s="6">
        <f>ROW()</f>
        <v>48</v>
      </c>
      <c r="B48" s="7" t="s">
        <v>48</v>
      </c>
      <c r="C48" s="5" t="s">
        <v>466</v>
      </c>
      <c r="D48" s="8" t="s">
        <v>531</v>
      </c>
      <c r="E48" s="5" t="s">
        <v>898</v>
      </c>
      <c r="G48" s="5" t="str">
        <f t="shared" si="2"/>
        <v>CLAS DATUM</v>
      </c>
      <c r="H48" s="5" t="str">
        <f t="shared" si="3"/>
        <v>[DD-MM-JJJJ]</v>
      </c>
      <c r="I48" s="5" t="s">
        <v>2345</v>
      </c>
      <c r="J48" s="5" t="s">
        <v>2346</v>
      </c>
      <c r="L48" s="9"/>
      <c r="M48" s="5" t="s">
        <v>2743</v>
      </c>
      <c r="P48" s="16"/>
      <c r="Q48" s="17"/>
      <c r="R48" s="17"/>
      <c r="S48" s="18"/>
      <c r="T48" s="18"/>
      <c r="U48" s="17"/>
      <c r="V48" s="18"/>
      <c r="W48" s="17"/>
      <c r="X48" s="17"/>
      <c r="Y48" s="17"/>
      <c r="Z48" s="17"/>
      <c r="AA48" s="17"/>
      <c r="AB48" s="18"/>
      <c r="AC48" s="17"/>
      <c r="AD48" s="17"/>
    </row>
    <row r="49" spans="1:30">
      <c r="A49" s="6">
        <f>ROW()</f>
        <v>49</v>
      </c>
      <c r="B49" s="7" t="s">
        <v>2744</v>
      </c>
      <c r="C49" s="5" t="s">
        <v>463</v>
      </c>
      <c r="D49" s="8" t="s">
        <v>532</v>
      </c>
      <c r="E49" s="5" t="s">
        <v>896</v>
      </c>
      <c r="G49" s="5" t="str">
        <f t="shared" ref="G49:G50" si="6">SUBSTITUTE(B49,"_"," ")</f>
        <v>CLAS CLASSIFICATIE</v>
      </c>
      <c r="H49" s="5" t="str">
        <f t="shared" ref="H49:H50" si="7">CONCATENATE("[",C49,"]")</f>
        <v>[-]</v>
      </c>
      <c r="I49" s="5" t="s">
        <v>2345</v>
      </c>
      <c r="J49" s="5" t="s">
        <v>2346</v>
      </c>
      <c r="L49" s="9"/>
      <c r="M49" s="5" t="s">
        <v>2745</v>
      </c>
      <c r="P49" s="16"/>
      <c r="Q49" s="17"/>
      <c r="R49" s="17"/>
      <c r="S49" s="18"/>
      <c r="T49" s="18"/>
      <c r="U49" s="17"/>
      <c r="V49" s="18"/>
      <c r="W49" s="17"/>
      <c r="X49" s="17"/>
      <c r="Y49" s="17"/>
      <c r="Z49" s="17"/>
      <c r="AA49" s="17"/>
      <c r="AB49" s="18"/>
      <c r="AC49" s="17"/>
      <c r="AD49" s="17"/>
    </row>
    <row r="50" spans="1:30" ht="25.5">
      <c r="A50" s="6">
        <f>ROW()</f>
        <v>50</v>
      </c>
      <c r="B50" s="5" t="s">
        <v>2746</v>
      </c>
      <c r="C50" s="5" t="s">
        <v>463</v>
      </c>
      <c r="D50" s="8" t="s">
        <v>533</v>
      </c>
      <c r="E50" s="5" t="s">
        <v>896</v>
      </c>
      <c r="G50" s="5" t="str">
        <f t="shared" si="6"/>
        <v>CLAS CLASSIFICATIE BIJMENGING</v>
      </c>
      <c r="H50" s="5" t="str">
        <f t="shared" si="7"/>
        <v>[-]</v>
      </c>
      <c r="I50" s="5" t="s">
        <v>2345</v>
      </c>
      <c r="J50" s="5" t="s">
        <v>2346</v>
      </c>
      <c r="L50" s="9"/>
      <c r="M50" s="5" t="s">
        <v>2747</v>
      </c>
      <c r="P50" s="16"/>
      <c r="Q50" s="17"/>
      <c r="R50" s="17"/>
      <c r="S50" s="18"/>
      <c r="T50" s="18"/>
      <c r="U50" s="17"/>
      <c r="V50" s="18"/>
      <c r="W50" s="17"/>
      <c r="X50" s="17"/>
      <c r="Y50" s="17"/>
      <c r="Z50" s="17"/>
      <c r="AA50" s="17"/>
      <c r="AB50" s="18"/>
      <c r="AC50" s="17"/>
      <c r="AD50" s="17"/>
    </row>
    <row r="51" spans="1:30">
      <c r="A51" s="6">
        <f>ROW()</f>
        <v>51</v>
      </c>
      <c r="B51" s="7" t="s">
        <v>51</v>
      </c>
      <c r="C51" s="5" t="s">
        <v>465</v>
      </c>
      <c r="D51" s="8" t="s">
        <v>534</v>
      </c>
      <c r="E51" s="5" t="s">
        <v>897</v>
      </c>
      <c r="F51" s="11" t="s">
        <v>907</v>
      </c>
      <c r="G51" s="5" t="str">
        <f t="shared" ref="G51" si="8">SUBSTITUTE(B51,"_"," ")</f>
        <v>CLAS MONSTERNIVEAU</v>
      </c>
      <c r="H51" s="5" t="str">
        <f t="shared" ref="H51" si="9">CONCATENATE("[",C51,"]")</f>
        <v>[m NAP]</v>
      </c>
      <c r="I51" s="5" t="s">
        <v>2345</v>
      </c>
      <c r="J51" s="5" t="s">
        <v>2346</v>
      </c>
      <c r="L51" s="9"/>
      <c r="P51" s="16"/>
      <c r="Q51" s="17"/>
      <c r="R51" s="17"/>
      <c r="S51" s="18"/>
      <c r="T51" s="18"/>
      <c r="U51" s="17"/>
      <c r="V51" s="19"/>
      <c r="W51" s="17"/>
      <c r="X51" s="17"/>
      <c r="Y51" s="17"/>
      <c r="Z51" s="17"/>
      <c r="AA51" s="17"/>
      <c r="AB51" s="18"/>
      <c r="AC51" s="17"/>
      <c r="AD51" s="17"/>
    </row>
    <row r="52" spans="1:30" ht="25.5">
      <c r="A52" s="6">
        <f>ROW()</f>
        <v>52</v>
      </c>
      <c r="B52" s="7" t="s">
        <v>52</v>
      </c>
      <c r="C52" s="5" t="s">
        <v>467</v>
      </c>
      <c r="D52" s="8" t="s">
        <v>535</v>
      </c>
      <c r="E52" s="5" t="s">
        <v>897</v>
      </c>
      <c r="F52" s="11" t="s">
        <v>908</v>
      </c>
      <c r="G52" s="5" t="str">
        <f t="shared" si="2"/>
        <v>CLAS VOLUMEGEWICHT NAT</v>
      </c>
      <c r="H52" s="5" t="str">
        <f t="shared" si="3"/>
        <v>[kN/m3]</v>
      </c>
      <c r="I52" s="5" t="s">
        <v>2345</v>
      </c>
      <c r="J52" s="5" t="s">
        <v>2346</v>
      </c>
      <c r="L52" s="9"/>
      <c r="M52" s="5" t="s">
        <v>2748</v>
      </c>
      <c r="P52" s="16"/>
      <c r="Q52" s="17"/>
      <c r="R52" s="17"/>
      <c r="S52" s="18"/>
      <c r="T52" s="18"/>
      <c r="U52" s="17"/>
      <c r="V52" s="19"/>
      <c r="W52" s="17"/>
      <c r="X52" s="17"/>
      <c r="Y52" s="17"/>
      <c r="Z52" s="17"/>
      <c r="AA52" s="17"/>
      <c r="AB52" s="18"/>
      <c r="AC52" s="17"/>
      <c r="AD52" s="17"/>
    </row>
    <row r="53" spans="1:30" ht="25.5">
      <c r="A53" s="6">
        <f>ROW()</f>
        <v>53</v>
      </c>
      <c r="B53" s="7" t="s">
        <v>53</v>
      </c>
      <c r="C53" s="5" t="s">
        <v>467</v>
      </c>
      <c r="D53" s="8" t="s">
        <v>536</v>
      </c>
      <c r="E53" s="5" t="s">
        <v>897</v>
      </c>
      <c r="F53" s="11" t="s">
        <v>909</v>
      </c>
      <c r="G53" s="5" t="str">
        <f t="shared" si="2"/>
        <v>CLAS VOLUMEGEWICHT DRG</v>
      </c>
      <c r="H53" s="5" t="str">
        <f t="shared" si="3"/>
        <v>[kN/m3]</v>
      </c>
      <c r="I53" s="5" t="s">
        <v>2345</v>
      </c>
      <c r="J53" s="5" t="s">
        <v>2346</v>
      </c>
      <c r="L53" s="9"/>
      <c r="M53" s="5" t="s">
        <v>2749</v>
      </c>
      <c r="P53" s="16"/>
      <c r="Q53" s="17"/>
      <c r="R53" s="17"/>
      <c r="S53" s="18"/>
      <c r="T53" s="18"/>
      <c r="U53" s="17"/>
      <c r="V53" s="19"/>
      <c r="W53" s="17"/>
      <c r="X53" s="17"/>
      <c r="Y53" s="17"/>
      <c r="Z53" s="17"/>
      <c r="AA53" s="17"/>
      <c r="AB53" s="18"/>
      <c r="AC53" s="17"/>
      <c r="AD53" s="17"/>
    </row>
    <row r="54" spans="1:30" ht="25.5">
      <c r="A54" s="6">
        <f>ROW()</f>
        <v>54</v>
      </c>
      <c r="B54" s="7" t="s">
        <v>54</v>
      </c>
      <c r="C54" s="5" t="s">
        <v>468</v>
      </c>
      <c r="D54" s="8" t="s">
        <v>537</v>
      </c>
      <c r="E54" s="5" t="s">
        <v>897</v>
      </c>
      <c r="F54" s="11" t="s">
        <v>910</v>
      </c>
      <c r="G54" s="5" t="str">
        <f t="shared" si="2"/>
        <v>CLAS WATERGEHALTE</v>
      </c>
      <c r="H54" s="5" t="str">
        <f t="shared" si="3"/>
        <v>[%]</v>
      </c>
      <c r="I54" s="5" t="s">
        <v>2345</v>
      </c>
      <c r="J54" s="5" t="s">
        <v>2346</v>
      </c>
      <c r="L54" s="9"/>
      <c r="M54" s="5" t="s">
        <v>2750</v>
      </c>
      <c r="P54" s="16"/>
      <c r="Q54" s="17"/>
      <c r="R54" s="17"/>
      <c r="S54" s="18"/>
      <c r="T54" s="18"/>
      <c r="U54" s="17"/>
      <c r="V54" s="19"/>
      <c r="W54" s="17"/>
      <c r="X54" s="17"/>
      <c r="Y54" s="17"/>
      <c r="Z54" s="17"/>
      <c r="AA54" s="17"/>
      <c r="AB54" s="18"/>
      <c r="AC54" s="17"/>
      <c r="AD54" s="17"/>
    </row>
    <row r="55" spans="1:30">
      <c r="A55" s="6">
        <f>ROW()</f>
        <v>55</v>
      </c>
      <c r="B55" s="7" t="s">
        <v>55</v>
      </c>
      <c r="C55" s="5" t="s">
        <v>468</v>
      </c>
      <c r="D55" s="8" t="s">
        <v>538</v>
      </c>
      <c r="E55" s="5" t="s">
        <v>897</v>
      </c>
      <c r="F55" s="11" t="s">
        <v>911</v>
      </c>
      <c r="G55" s="5" t="str">
        <f t="shared" si="2"/>
        <v>CLAS POROSITEIT</v>
      </c>
      <c r="H55" s="5" t="str">
        <f t="shared" si="3"/>
        <v>[%]</v>
      </c>
      <c r="I55" s="5" t="s">
        <v>2345</v>
      </c>
      <c r="J55" s="5" t="s">
        <v>2346</v>
      </c>
      <c r="L55" s="9"/>
      <c r="P55" s="16"/>
      <c r="Q55" s="17"/>
      <c r="R55" s="17"/>
      <c r="S55" s="18"/>
      <c r="T55" s="18"/>
      <c r="U55" s="17"/>
      <c r="V55" s="19"/>
      <c r="W55" s="17"/>
      <c r="X55" s="17"/>
      <c r="Y55" s="17"/>
      <c r="Z55" s="17"/>
      <c r="AA55" s="17"/>
      <c r="AB55" s="18"/>
      <c r="AC55" s="17"/>
      <c r="AD55" s="17"/>
    </row>
    <row r="56" spans="1:30">
      <c r="A56" s="6">
        <f>ROW()</f>
        <v>56</v>
      </c>
      <c r="B56" s="7" t="s">
        <v>56</v>
      </c>
      <c r="C56" s="5" t="s">
        <v>463</v>
      </c>
      <c r="D56" s="8" t="s">
        <v>539</v>
      </c>
      <c r="E56" s="5" t="s">
        <v>897</v>
      </c>
      <c r="F56" s="8" t="s">
        <v>912</v>
      </c>
      <c r="G56" s="5" t="str">
        <f t="shared" si="2"/>
        <v>CLAS PORIENGETAL</v>
      </c>
      <c r="H56" s="5" t="str">
        <f t="shared" si="3"/>
        <v>[-]</v>
      </c>
      <c r="I56" s="5" t="s">
        <v>2345</v>
      </c>
      <c r="J56" s="5" t="s">
        <v>2346</v>
      </c>
      <c r="L56" s="9"/>
      <c r="M56" s="5" t="s">
        <v>2751</v>
      </c>
      <c r="P56" s="16"/>
      <c r="Q56" s="17"/>
      <c r="R56" s="17"/>
      <c r="S56" s="18"/>
      <c r="T56" s="18"/>
      <c r="U56" s="17"/>
      <c r="V56" s="18"/>
      <c r="W56" s="17"/>
      <c r="X56" s="17"/>
      <c r="Y56" s="17"/>
      <c r="Z56" s="17"/>
      <c r="AA56" s="17"/>
      <c r="AB56" s="18"/>
      <c r="AC56" s="17"/>
      <c r="AD56" s="17"/>
    </row>
    <row r="57" spans="1:30">
      <c r="A57" s="6">
        <f>ROW()</f>
        <v>57</v>
      </c>
      <c r="B57" s="7" t="s">
        <v>57</v>
      </c>
      <c r="C57" s="5" t="s">
        <v>468</v>
      </c>
      <c r="D57" s="8" t="s">
        <v>540</v>
      </c>
      <c r="E57" s="5" t="s">
        <v>897</v>
      </c>
      <c r="F57" s="8" t="s">
        <v>913</v>
      </c>
      <c r="G57" s="5" t="str">
        <f t="shared" si="2"/>
        <v>CLAS VERZADIGINGSGRAAD</v>
      </c>
      <c r="H57" s="5" t="str">
        <f t="shared" si="3"/>
        <v>[%]</v>
      </c>
      <c r="I57" s="5" t="s">
        <v>2345</v>
      </c>
      <c r="J57" s="5" t="s">
        <v>2346</v>
      </c>
      <c r="L57" s="9"/>
      <c r="M57" s="5" t="s">
        <v>2711</v>
      </c>
      <c r="P57" s="16"/>
      <c r="Q57" s="17"/>
      <c r="R57" s="17"/>
      <c r="S57" s="18"/>
      <c r="T57" s="18"/>
      <c r="U57" s="17"/>
      <c r="V57" s="18"/>
      <c r="W57" s="17"/>
      <c r="X57" s="17"/>
      <c r="Y57" s="17"/>
      <c r="Z57" s="17"/>
      <c r="AA57" s="17"/>
      <c r="AB57" s="18"/>
      <c r="AC57" s="17"/>
      <c r="AD57" s="17"/>
    </row>
    <row r="58" spans="1:30">
      <c r="A58" s="6">
        <f>ROW()</f>
        <v>58</v>
      </c>
      <c r="B58" s="7" t="s">
        <v>58</v>
      </c>
      <c r="C58" s="5" t="s">
        <v>467</v>
      </c>
      <c r="D58" s="8" t="s">
        <v>541</v>
      </c>
      <c r="E58" s="5" t="s">
        <v>897</v>
      </c>
      <c r="F58" s="11" t="s">
        <v>906</v>
      </c>
      <c r="G58" s="5" t="str">
        <f t="shared" si="2"/>
        <v>CLAS VOLUMEGEWICHT VERZADIGD</v>
      </c>
      <c r="H58" s="5" t="str">
        <f t="shared" si="3"/>
        <v>[kN/m3]</v>
      </c>
      <c r="I58" s="5" t="s">
        <v>2345</v>
      </c>
      <c r="J58" s="5" t="s">
        <v>2346</v>
      </c>
      <c r="L58" s="9"/>
      <c r="M58" s="5" t="s">
        <v>2711</v>
      </c>
      <c r="P58" s="16"/>
      <c r="Q58" s="17"/>
      <c r="R58" s="17"/>
      <c r="S58" s="18"/>
      <c r="T58" s="18"/>
      <c r="U58" s="17"/>
      <c r="V58" s="19"/>
      <c r="W58" s="17"/>
      <c r="X58" s="17"/>
      <c r="Y58" s="17"/>
      <c r="Z58" s="17"/>
      <c r="AA58" s="17"/>
      <c r="AB58" s="18"/>
      <c r="AC58" s="17"/>
      <c r="AD58" s="17"/>
    </row>
    <row r="59" spans="1:30" ht="25.5">
      <c r="A59" s="6">
        <f>ROW()</f>
        <v>59</v>
      </c>
      <c r="B59" s="7" t="s">
        <v>59</v>
      </c>
      <c r="C59" s="5" t="s">
        <v>469</v>
      </c>
      <c r="D59" s="8" t="s">
        <v>542</v>
      </c>
      <c r="E59" s="5" t="s">
        <v>897</v>
      </c>
      <c r="F59" s="8" t="s">
        <v>914</v>
      </c>
      <c r="G59" s="5" t="str">
        <f t="shared" si="2"/>
        <v>CLAS SPECIFIEKE MASSA INSCHATTING</v>
      </c>
      <c r="H59" s="5" t="str">
        <f t="shared" si="3"/>
        <v>[kg/m3]</v>
      </c>
      <c r="I59" s="5" t="s">
        <v>2345</v>
      </c>
      <c r="J59" s="5" t="s">
        <v>2346</v>
      </c>
      <c r="L59" s="9"/>
      <c r="M59" s="5" t="s">
        <v>2711</v>
      </c>
      <c r="P59" s="16"/>
      <c r="Q59" s="17"/>
      <c r="R59" s="17"/>
      <c r="S59" s="18"/>
      <c r="T59" s="18"/>
      <c r="U59" s="17"/>
      <c r="V59" s="18"/>
      <c r="W59" s="17"/>
      <c r="X59" s="17"/>
      <c r="Y59" s="17"/>
      <c r="Z59" s="17"/>
      <c r="AA59" s="17"/>
      <c r="AB59" s="18"/>
      <c r="AC59" s="17"/>
      <c r="AD59" s="17"/>
    </row>
    <row r="60" spans="1:30" ht="25.5">
      <c r="A60" s="6">
        <f>ROW()</f>
        <v>60</v>
      </c>
      <c r="B60" s="7" t="s">
        <v>60</v>
      </c>
      <c r="C60" s="5" t="s">
        <v>469</v>
      </c>
      <c r="D60" s="8" t="s">
        <v>543</v>
      </c>
      <c r="E60" s="5" t="s">
        <v>897</v>
      </c>
      <c r="F60" s="8" t="s">
        <v>914</v>
      </c>
      <c r="G60" s="5" t="str">
        <f t="shared" si="2"/>
        <v>CLAS SPECIFIEKE MASSA</v>
      </c>
      <c r="H60" s="5" t="str">
        <f t="shared" si="3"/>
        <v>[kg/m3]</v>
      </c>
      <c r="I60" s="5" t="s">
        <v>2345</v>
      </c>
      <c r="J60" s="5" t="s">
        <v>2346</v>
      </c>
      <c r="L60" s="9"/>
      <c r="M60" s="5" t="s">
        <v>2752</v>
      </c>
      <c r="P60" s="16"/>
      <c r="Q60" s="17"/>
      <c r="R60" s="17"/>
      <c r="S60" s="18"/>
      <c r="T60" s="18"/>
      <c r="U60" s="17"/>
      <c r="V60" s="18"/>
      <c r="W60" s="17"/>
      <c r="X60" s="17"/>
      <c r="Y60" s="17"/>
      <c r="Z60" s="17"/>
      <c r="AA60" s="17"/>
      <c r="AB60" s="18"/>
      <c r="AC60" s="17"/>
      <c r="AD60" s="17"/>
    </row>
    <row r="61" spans="1:30" ht="63.75">
      <c r="A61" s="6">
        <f>ROW()</f>
        <v>61</v>
      </c>
      <c r="B61" s="7" t="s">
        <v>61</v>
      </c>
      <c r="C61" s="5" t="s">
        <v>468</v>
      </c>
      <c r="D61" s="8" t="s">
        <v>544</v>
      </c>
      <c r="E61" s="5" t="s">
        <v>897</v>
      </c>
      <c r="G61" s="5" t="str">
        <f t="shared" si="2"/>
        <v>CLAS GLOEIVERLIES</v>
      </c>
      <c r="H61" s="5" t="str">
        <f t="shared" si="3"/>
        <v>[%]</v>
      </c>
      <c r="I61" s="5" t="s">
        <v>2345</v>
      </c>
      <c r="J61" s="5" t="s">
        <v>2346</v>
      </c>
      <c r="L61" s="9"/>
      <c r="M61" s="5" t="s">
        <v>2753</v>
      </c>
      <c r="P61" s="16"/>
      <c r="Q61" s="17"/>
      <c r="R61" s="17"/>
      <c r="S61" s="18"/>
      <c r="T61" s="18"/>
      <c r="U61" s="17"/>
      <c r="V61" s="18"/>
      <c r="W61" s="17"/>
      <c r="X61" s="17"/>
      <c r="Y61" s="17"/>
      <c r="Z61" s="17"/>
      <c r="AA61" s="17"/>
      <c r="AB61" s="18"/>
      <c r="AC61" s="17"/>
      <c r="AD61" s="17"/>
    </row>
    <row r="62" spans="1:30" ht="25.5">
      <c r="A62" s="6">
        <f>ROW()</f>
        <v>62</v>
      </c>
      <c r="B62" s="7" t="s">
        <v>62</v>
      </c>
      <c r="C62" s="5" t="s">
        <v>468</v>
      </c>
      <c r="D62" s="8" t="s">
        <v>545</v>
      </c>
      <c r="E62" s="5" t="s">
        <v>897</v>
      </c>
      <c r="G62" s="5" t="str">
        <f t="shared" si="2"/>
        <v>CLAS KALKGEHALTE</v>
      </c>
      <c r="H62" s="5" t="str">
        <f t="shared" si="3"/>
        <v>[%]</v>
      </c>
      <c r="I62" s="5" t="s">
        <v>2345</v>
      </c>
      <c r="J62" s="5" t="s">
        <v>2346</v>
      </c>
      <c r="L62" s="9"/>
      <c r="M62" s="5" t="s">
        <v>2754</v>
      </c>
      <c r="P62" s="16"/>
      <c r="Q62" s="17"/>
      <c r="R62" s="17"/>
      <c r="S62" s="18"/>
      <c r="T62" s="18"/>
      <c r="U62" s="17"/>
      <c r="V62" s="18"/>
      <c r="W62" s="17"/>
      <c r="X62" s="17"/>
      <c r="Y62" s="17"/>
      <c r="Z62" s="17"/>
      <c r="AA62" s="17"/>
      <c r="AB62" s="18"/>
      <c r="AC62" s="17"/>
      <c r="AD62" s="17"/>
    </row>
    <row r="63" spans="1:30" ht="25.5">
      <c r="A63" s="6">
        <f>ROW()</f>
        <v>63</v>
      </c>
      <c r="B63" s="7" t="s">
        <v>63</v>
      </c>
      <c r="C63" s="5" t="s">
        <v>470</v>
      </c>
      <c r="D63" s="8" t="s">
        <v>546</v>
      </c>
      <c r="E63" s="5" t="s">
        <v>897</v>
      </c>
      <c r="G63" s="5" t="str">
        <f t="shared" si="2"/>
        <v>CLAS POCKETPENETRO</v>
      </c>
      <c r="H63" s="5" t="str">
        <f t="shared" si="3"/>
        <v>[kPa]</v>
      </c>
      <c r="I63" s="5" t="s">
        <v>2345</v>
      </c>
      <c r="J63" s="5" t="s">
        <v>2346</v>
      </c>
      <c r="L63" s="9"/>
      <c r="M63" s="5" t="s">
        <v>2755</v>
      </c>
      <c r="P63" s="16"/>
      <c r="Q63" s="17"/>
      <c r="R63" s="17"/>
      <c r="S63" s="18"/>
      <c r="T63" s="18"/>
      <c r="U63" s="17"/>
      <c r="V63" s="18"/>
      <c r="W63" s="17"/>
      <c r="X63" s="17"/>
      <c r="Y63" s="17"/>
      <c r="Z63" s="17"/>
      <c r="AA63" s="17"/>
      <c r="AB63" s="18"/>
      <c r="AC63" s="17"/>
      <c r="AD63" s="17"/>
    </row>
    <row r="64" spans="1:30" ht="25.5">
      <c r="A64" s="6">
        <f>ROW()</f>
        <v>64</v>
      </c>
      <c r="B64" s="7" t="s">
        <v>64</v>
      </c>
      <c r="C64" s="5" t="s">
        <v>470</v>
      </c>
      <c r="D64" s="8" t="s">
        <v>547</v>
      </c>
      <c r="E64" s="5" t="s">
        <v>897</v>
      </c>
      <c r="F64" s="8" t="s">
        <v>915</v>
      </c>
      <c r="G64" s="5" t="str">
        <f t="shared" si="2"/>
        <v>CLAS TORVANE</v>
      </c>
      <c r="H64" s="5" t="str">
        <f t="shared" si="3"/>
        <v>[kPa]</v>
      </c>
      <c r="I64" s="5" t="s">
        <v>2345</v>
      </c>
      <c r="J64" s="5" t="s">
        <v>2346</v>
      </c>
      <c r="L64" s="9"/>
      <c r="M64" s="5" t="s">
        <v>2756</v>
      </c>
      <c r="P64" s="16"/>
      <c r="Q64" s="17"/>
      <c r="R64" s="17"/>
      <c r="S64" s="18"/>
      <c r="T64" s="18"/>
      <c r="U64" s="17"/>
      <c r="V64" s="18"/>
      <c r="W64" s="17"/>
      <c r="X64" s="17"/>
      <c r="Y64" s="17"/>
      <c r="Z64" s="17"/>
      <c r="AA64" s="17"/>
      <c r="AB64" s="18"/>
      <c r="AC64" s="17"/>
      <c r="AD64" s="17"/>
    </row>
    <row r="65" spans="1:30">
      <c r="A65" s="6">
        <f>ROW()</f>
        <v>65</v>
      </c>
      <c r="B65" s="7" t="s">
        <v>65</v>
      </c>
      <c r="C65" s="5" t="s">
        <v>471</v>
      </c>
      <c r="D65" s="10" t="s">
        <v>548</v>
      </c>
      <c r="E65" s="5" t="s">
        <v>897</v>
      </c>
      <c r="G65" s="5" t="str">
        <f t="shared" si="2"/>
        <v>CLAS FALLINGHEAD K10</v>
      </c>
      <c r="H65" s="5" t="str">
        <f t="shared" si="3"/>
        <v>[m/s]</v>
      </c>
      <c r="I65" s="5" t="s">
        <v>2345</v>
      </c>
      <c r="J65" s="5" t="s">
        <v>2346</v>
      </c>
      <c r="L65" s="9"/>
      <c r="M65" s="5" t="s">
        <v>2757</v>
      </c>
      <c r="P65" s="16"/>
      <c r="Q65" s="17"/>
      <c r="R65" s="17"/>
      <c r="S65" s="18"/>
      <c r="T65" s="18"/>
      <c r="U65" s="17"/>
      <c r="V65" s="18"/>
      <c r="W65" s="17"/>
      <c r="X65" s="17"/>
      <c r="Y65" s="17"/>
      <c r="Z65" s="17"/>
      <c r="AA65" s="17"/>
      <c r="AB65" s="18"/>
      <c r="AC65" s="17"/>
      <c r="AD65" s="17"/>
    </row>
    <row r="66" spans="1:30">
      <c r="A66" s="6">
        <f>ROW()</f>
        <v>66</v>
      </c>
      <c r="B66" s="7" t="s">
        <v>66</v>
      </c>
      <c r="C66" s="5" t="s">
        <v>471</v>
      </c>
      <c r="D66" s="10" t="s">
        <v>549</v>
      </c>
      <c r="E66" s="5" t="s">
        <v>897</v>
      </c>
      <c r="G66" s="5" t="str">
        <f t="shared" si="2"/>
        <v>CLAS CONSTANTHEAD K10</v>
      </c>
      <c r="H66" s="5" t="str">
        <f t="shared" si="3"/>
        <v>[m/s]</v>
      </c>
      <c r="I66" s="5" t="s">
        <v>2345</v>
      </c>
      <c r="J66" s="5" t="s">
        <v>2346</v>
      </c>
      <c r="L66" s="9"/>
      <c r="M66" s="5" t="s">
        <v>2711</v>
      </c>
      <c r="P66" s="16"/>
      <c r="Q66" s="17"/>
      <c r="R66" s="17"/>
      <c r="S66" s="18"/>
      <c r="T66" s="18"/>
      <c r="U66" s="17"/>
      <c r="V66" s="18"/>
      <c r="W66" s="17"/>
      <c r="X66" s="17"/>
      <c r="Y66" s="17"/>
      <c r="Z66" s="17"/>
      <c r="AA66" s="17"/>
      <c r="AB66" s="18"/>
      <c r="AC66" s="17"/>
      <c r="AD66" s="17"/>
    </row>
    <row r="67" spans="1:30">
      <c r="A67" s="6">
        <f>ROW()</f>
        <v>67</v>
      </c>
      <c r="B67" s="7" t="s">
        <v>67</v>
      </c>
      <c r="C67" s="5" t="s">
        <v>463</v>
      </c>
      <c r="D67" s="10" t="s">
        <v>550</v>
      </c>
      <c r="E67" s="5" t="s">
        <v>896</v>
      </c>
      <c r="G67" s="5" t="str">
        <f t="shared" si="2"/>
        <v>CLAS OPMERKING</v>
      </c>
      <c r="H67" s="5" t="str">
        <f t="shared" si="3"/>
        <v>[-]</v>
      </c>
      <c r="I67" s="5" t="s">
        <v>2345</v>
      </c>
      <c r="J67" s="5" t="s">
        <v>2346</v>
      </c>
      <c r="L67" s="9"/>
      <c r="M67" s="5" t="s">
        <v>2758</v>
      </c>
      <c r="P67" s="16"/>
      <c r="Q67" s="17"/>
      <c r="R67" s="17"/>
      <c r="S67" s="18"/>
      <c r="T67" s="18"/>
      <c r="U67" s="17"/>
      <c r="V67" s="18"/>
      <c r="W67" s="17"/>
      <c r="X67" s="17"/>
      <c r="Y67" s="17"/>
      <c r="Z67" s="17"/>
      <c r="AA67" s="17"/>
      <c r="AB67" s="18"/>
      <c r="AC67" s="17"/>
      <c r="AD67" s="17"/>
    </row>
    <row r="68" spans="1:30">
      <c r="A68" s="6">
        <f>ROW()</f>
        <v>68</v>
      </c>
      <c r="B68" s="7" t="s">
        <v>68</v>
      </c>
      <c r="C68" s="5" t="s">
        <v>468</v>
      </c>
      <c r="D68" s="8" t="s">
        <v>551</v>
      </c>
      <c r="E68" s="5" t="s">
        <v>897</v>
      </c>
      <c r="G68" s="5" t="str">
        <f t="shared" si="2"/>
        <v>CLAS AT VLOEIGRENS CAS</v>
      </c>
      <c r="H68" s="5" t="str">
        <f t="shared" si="3"/>
        <v>[%]</v>
      </c>
      <c r="I68" s="5" t="s">
        <v>2376</v>
      </c>
      <c r="J68" s="5" t="s">
        <v>2378</v>
      </c>
      <c r="L68" s="9"/>
      <c r="M68" s="5" t="s">
        <v>2759</v>
      </c>
      <c r="P68" s="17"/>
      <c r="Q68" s="17"/>
      <c r="R68" s="17"/>
      <c r="S68" s="18"/>
      <c r="T68" s="18"/>
      <c r="U68" s="17"/>
      <c r="V68" s="18"/>
      <c r="W68" s="17"/>
      <c r="X68" s="17"/>
      <c r="Y68" s="17"/>
      <c r="Z68" s="17"/>
      <c r="AA68" s="17"/>
      <c r="AB68" s="18"/>
      <c r="AC68" s="17"/>
      <c r="AD68" s="17"/>
    </row>
    <row r="69" spans="1:30">
      <c r="A69" s="6">
        <f>ROW()</f>
        <v>69</v>
      </c>
      <c r="B69" s="7" t="s">
        <v>69</v>
      </c>
      <c r="C69" s="5" t="s">
        <v>468</v>
      </c>
      <c r="D69" s="8" t="s">
        <v>552</v>
      </c>
      <c r="E69" s="5" t="s">
        <v>897</v>
      </c>
      <c r="G69" s="5" t="str">
        <f t="shared" si="2"/>
        <v>CLAS AT UITROLGRENS</v>
      </c>
      <c r="H69" s="5" t="str">
        <f t="shared" si="3"/>
        <v>[%]</v>
      </c>
      <c r="I69" s="5" t="s">
        <v>2376</v>
      </c>
      <c r="J69" s="5" t="s">
        <v>2378</v>
      </c>
      <c r="L69" s="9"/>
      <c r="M69" s="5" t="s">
        <v>2760</v>
      </c>
      <c r="P69" s="17"/>
      <c r="Q69" s="17"/>
      <c r="R69" s="17"/>
      <c r="S69" s="18"/>
      <c r="T69" s="18"/>
      <c r="U69" s="17"/>
      <c r="V69" s="18"/>
      <c r="W69" s="17"/>
      <c r="X69" s="17"/>
      <c r="Y69" s="17"/>
      <c r="Z69" s="17"/>
      <c r="AA69" s="17"/>
      <c r="AB69" s="18"/>
      <c r="AC69" s="17"/>
      <c r="AD69" s="17"/>
    </row>
    <row r="70" spans="1:30">
      <c r="A70" s="6">
        <f>ROW()</f>
        <v>70</v>
      </c>
      <c r="B70" s="7" t="s">
        <v>70</v>
      </c>
      <c r="C70" s="5" t="s">
        <v>468</v>
      </c>
      <c r="D70" s="10" t="s">
        <v>553</v>
      </c>
      <c r="E70" s="5" t="s">
        <v>897</v>
      </c>
      <c r="G70" s="5" t="str">
        <f t="shared" ref="G70:G138" si="10">SUBSTITUTE(B70,"_"," ")</f>
        <v>CLAS AT PI</v>
      </c>
      <c r="H70" s="5" t="str">
        <f t="shared" ref="H70:H138" si="11">CONCATENATE("[",C70,"]")</f>
        <v>[%]</v>
      </c>
      <c r="I70" s="5" t="s">
        <v>2376</v>
      </c>
      <c r="J70" s="5" t="s">
        <v>2378</v>
      </c>
      <c r="L70" s="9"/>
      <c r="M70" s="5" t="s">
        <v>2761</v>
      </c>
      <c r="P70" s="17"/>
      <c r="Q70" s="17"/>
      <c r="R70" s="17"/>
      <c r="S70" s="18"/>
      <c r="T70" s="18"/>
      <c r="U70" s="17"/>
      <c r="V70" s="18"/>
      <c r="W70" s="18"/>
      <c r="X70" s="17"/>
      <c r="Y70" s="17"/>
      <c r="Z70" s="17"/>
      <c r="AA70" s="17"/>
      <c r="AB70" s="18"/>
      <c r="AC70" s="17"/>
      <c r="AD70" s="17"/>
    </row>
    <row r="71" spans="1:30">
      <c r="A71" s="6">
        <f>ROW()</f>
        <v>71</v>
      </c>
      <c r="B71" s="7" t="s">
        <v>71</v>
      </c>
      <c r="C71" s="30" t="s">
        <v>463</v>
      </c>
      <c r="D71" s="10" t="s">
        <v>554</v>
      </c>
      <c r="E71" s="5" t="s">
        <v>897</v>
      </c>
      <c r="G71" s="5" t="str">
        <f t="shared" si="10"/>
        <v>CLAS AT IC</v>
      </c>
      <c r="H71" s="5" t="str">
        <f t="shared" si="11"/>
        <v>[-]</v>
      </c>
      <c r="I71" s="5" t="s">
        <v>2376</v>
      </c>
      <c r="J71" s="5" t="s">
        <v>2378</v>
      </c>
      <c r="L71" s="9"/>
      <c r="M71" s="5" t="s">
        <v>2762</v>
      </c>
      <c r="P71" s="17"/>
      <c r="Q71" s="17"/>
      <c r="R71" s="17"/>
      <c r="S71" s="18"/>
      <c r="T71" s="18"/>
      <c r="U71" s="17"/>
      <c r="V71" s="18"/>
      <c r="W71" s="18"/>
      <c r="X71" s="17"/>
      <c r="Y71" s="17"/>
      <c r="Z71" s="17"/>
      <c r="AA71" s="17"/>
      <c r="AB71" s="18"/>
      <c r="AC71" s="17"/>
      <c r="AD71" s="17"/>
    </row>
    <row r="72" spans="1:30" ht="25.5">
      <c r="A72" s="6">
        <f>ROW()</f>
        <v>72</v>
      </c>
      <c r="B72" s="5" t="s">
        <v>72</v>
      </c>
      <c r="C72" s="5" t="s">
        <v>463</v>
      </c>
      <c r="D72" s="8" t="s">
        <v>555</v>
      </c>
      <c r="E72" s="5" t="s">
        <v>896</v>
      </c>
      <c r="G72" s="5" t="str">
        <f t="shared" si="10"/>
        <v>CLAS VN FILENAAM PDF</v>
      </c>
      <c r="H72" s="5" t="str">
        <f t="shared" si="11"/>
        <v>[-]</v>
      </c>
      <c r="I72" s="5" t="s">
        <v>2380</v>
      </c>
      <c r="J72" s="5" t="s">
        <v>2381</v>
      </c>
      <c r="L72" s="9"/>
      <c r="M72" s="5" t="s">
        <v>2711</v>
      </c>
      <c r="P72" s="17"/>
      <c r="Q72" s="17"/>
      <c r="R72" s="17"/>
      <c r="S72" s="18"/>
      <c r="T72" s="18"/>
      <c r="U72" s="17"/>
      <c r="V72" s="18"/>
      <c r="W72" s="17"/>
      <c r="X72" s="17"/>
      <c r="Y72" s="17"/>
      <c r="Z72" s="17"/>
      <c r="AA72" s="17"/>
      <c r="AB72" s="18"/>
      <c r="AC72" s="17"/>
      <c r="AD72" s="17"/>
    </row>
    <row r="73" spans="1:30" ht="25.5">
      <c r="A73" s="6">
        <f>ROW()</f>
        <v>73</v>
      </c>
      <c r="B73" s="5" t="s">
        <v>73</v>
      </c>
      <c r="C73" s="5" t="s">
        <v>463</v>
      </c>
      <c r="D73" s="8" t="s">
        <v>556</v>
      </c>
      <c r="E73" s="5" t="s">
        <v>896</v>
      </c>
      <c r="G73" s="5" t="str">
        <f t="shared" si="10"/>
        <v>CLAS VN FILENAAM DIGITAAL</v>
      </c>
      <c r="H73" s="5" t="str">
        <f t="shared" si="11"/>
        <v>[-]</v>
      </c>
      <c r="I73" s="5" t="s">
        <v>2380</v>
      </c>
      <c r="J73" s="5" t="s">
        <v>2381</v>
      </c>
      <c r="L73" s="9"/>
      <c r="M73" s="5" t="s">
        <v>2711</v>
      </c>
      <c r="P73" s="17"/>
      <c r="Q73" s="17"/>
      <c r="R73" s="17"/>
      <c r="S73" s="18"/>
      <c r="T73" s="18"/>
      <c r="U73" s="17"/>
      <c r="V73" s="18"/>
      <c r="W73" s="17"/>
      <c r="X73" s="17"/>
      <c r="Y73" s="17"/>
      <c r="Z73" s="17"/>
      <c r="AA73" s="17"/>
      <c r="AB73" s="18"/>
      <c r="AC73" s="17"/>
      <c r="AD73" s="17"/>
    </row>
    <row r="74" spans="1:30" ht="38.25">
      <c r="A74" s="6">
        <f>ROW()</f>
        <v>74</v>
      </c>
      <c r="B74" s="7" t="s">
        <v>74</v>
      </c>
      <c r="C74" s="5" t="s">
        <v>463</v>
      </c>
      <c r="D74" s="8" t="s">
        <v>557</v>
      </c>
      <c r="E74" s="5" t="s">
        <v>896</v>
      </c>
      <c r="G74" s="5" t="str">
        <f t="shared" si="10"/>
        <v>CLAS VN HOOFDNAAM</v>
      </c>
      <c r="H74" s="5" t="str">
        <f t="shared" si="11"/>
        <v>[-]</v>
      </c>
      <c r="I74" s="5" t="s">
        <v>2380</v>
      </c>
      <c r="J74" s="5" t="s">
        <v>2381</v>
      </c>
      <c r="L74" s="9"/>
      <c r="M74" s="5" t="s">
        <v>2763</v>
      </c>
      <c r="P74" s="17"/>
      <c r="Q74" s="17"/>
      <c r="R74" s="17"/>
      <c r="S74" s="18"/>
      <c r="T74" s="18"/>
      <c r="U74" s="17"/>
      <c r="V74" s="18"/>
      <c r="W74" s="17"/>
      <c r="X74" s="17"/>
      <c r="Y74" s="17"/>
      <c r="Z74" s="17"/>
      <c r="AA74" s="17"/>
      <c r="AB74" s="18"/>
      <c r="AC74" s="17"/>
      <c r="AD74" s="17"/>
    </row>
    <row r="75" spans="1:30" ht="38.25">
      <c r="A75" s="6">
        <f>ROW()</f>
        <v>75</v>
      </c>
      <c r="B75" s="7" t="s">
        <v>75</v>
      </c>
      <c r="C75" s="5" t="s">
        <v>463</v>
      </c>
      <c r="D75" s="8" t="s">
        <v>558</v>
      </c>
      <c r="E75" s="5" t="s">
        <v>896</v>
      </c>
      <c r="G75" s="5" t="str">
        <f t="shared" si="10"/>
        <v>CLAS VN BOTANISCH</v>
      </c>
      <c r="H75" s="5" t="str">
        <f t="shared" si="11"/>
        <v>[-]</v>
      </c>
      <c r="I75" s="5" t="s">
        <v>2380</v>
      </c>
      <c r="J75" s="5" t="s">
        <v>2381</v>
      </c>
      <c r="L75" s="9"/>
      <c r="M75" s="5" t="s">
        <v>2764</v>
      </c>
      <c r="P75" s="17"/>
      <c r="Q75" s="17"/>
      <c r="R75" s="17"/>
      <c r="S75" s="18"/>
      <c r="T75" s="18"/>
      <c r="U75" s="17"/>
      <c r="V75" s="18"/>
      <c r="W75" s="17"/>
      <c r="X75" s="17"/>
      <c r="Y75" s="17"/>
      <c r="Z75" s="17"/>
      <c r="AA75" s="17"/>
      <c r="AB75" s="18"/>
      <c r="AC75" s="17"/>
      <c r="AD75" s="17"/>
    </row>
    <row r="76" spans="1:30" ht="38.25">
      <c r="A76" s="6">
        <f>ROW()</f>
        <v>76</v>
      </c>
      <c r="B76" s="7" t="s">
        <v>76</v>
      </c>
      <c r="C76" s="5" t="s">
        <v>463</v>
      </c>
      <c r="D76" s="8" t="s">
        <v>559</v>
      </c>
      <c r="E76" s="5" t="s">
        <v>896</v>
      </c>
      <c r="G76" s="5" t="str">
        <f t="shared" si="10"/>
        <v>CLAS VN VERWERINGSGRAAD</v>
      </c>
      <c r="H76" s="5" t="str">
        <f t="shared" si="11"/>
        <v>[-]</v>
      </c>
      <c r="I76" s="5" t="s">
        <v>2380</v>
      </c>
      <c r="J76" s="5" t="s">
        <v>2381</v>
      </c>
      <c r="L76" s="9"/>
      <c r="M76" s="5" t="s">
        <v>2765</v>
      </c>
      <c r="P76" s="17"/>
      <c r="Q76" s="17"/>
      <c r="R76" s="17"/>
      <c r="S76" s="18"/>
      <c r="T76" s="18"/>
      <c r="U76" s="17"/>
      <c r="V76" s="18"/>
      <c r="W76" s="17"/>
      <c r="X76" s="17"/>
      <c r="Y76" s="17"/>
      <c r="Z76" s="17"/>
      <c r="AA76" s="17"/>
      <c r="AB76" s="18"/>
      <c r="AC76" s="17"/>
      <c r="AD76" s="17"/>
    </row>
    <row r="77" spans="1:30" ht="38.25">
      <c r="A77" s="6">
        <f>ROW()</f>
        <v>77</v>
      </c>
      <c r="B77" s="7" t="s">
        <v>77</v>
      </c>
      <c r="C77" s="5" t="s">
        <v>463</v>
      </c>
      <c r="D77" s="8" t="s">
        <v>560</v>
      </c>
      <c r="E77" s="5" t="s">
        <v>896</v>
      </c>
      <c r="G77" s="5" t="str">
        <f t="shared" si="10"/>
        <v>CLAS VN WATERGEHALTE</v>
      </c>
      <c r="H77" s="5" t="str">
        <f t="shared" si="11"/>
        <v>[-]</v>
      </c>
      <c r="I77" s="5" t="s">
        <v>2380</v>
      </c>
      <c r="J77" s="5" t="s">
        <v>2381</v>
      </c>
      <c r="L77" s="9"/>
      <c r="M77" s="5" t="s">
        <v>2711</v>
      </c>
      <c r="P77" s="17"/>
      <c r="Q77" s="17"/>
      <c r="R77" s="17"/>
      <c r="S77" s="18"/>
      <c r="T77" s="18"/>
      <c r="U77" s="17"/>
      <c r="V77" s="18"/>
      <c r="W77" s="17"/>
      <c r="X77" s="17"/>
      <c r="Y77" s="17"/>
      <c r="Z77" s="17"/>
      <c r="AA77" s="17"/>
      <c r="AB77" s="18"/>
      <c r="AC77" s="17"/>
      <c r="AD77" s="17"/>
    </row>
    <row r="78" spans="1:30" ht="38.25">
      <c r="A78" s="6">
        <f>ROW()</f>
        <v>78</v>
      </c>
      <c r="B78" s="7" t="s">
        <v>78</v>
      </c>
      <c r="C78" s="5" t="s">
        <v>463</v>
      </c>
      <c r="D78" s="8" t="s">
        <v>561</v>
      </c>
      <c r="E78" s="5" t="s">
        <v>896</v>
      </c>
      <c r="G78" s="5" t="str">
        <f t="shared" si="10"/>
        <v>CLAS VN FIJNEVEZELS</v>
      </c>
      <c r="H78" s="5" t="str">
        <f t="shared" si="11"/>
        <v>[-]</v>
      </c>
      <c r="I78" s="5" t="s">
        <v>2380</v>
      </c>
      <c r="J78" s="5" t="s">
        <v>2381</v>
      </c>
      <c r="L78" s="9"/>
      <c r="M78" s="5" t="s">
        <v>2766</v>
      </c>
      <c r="P78" s="17"/>
      <c r="Q78" s="17"/>
      <c r="R78" s="17"/>
      <c r="S78" s="18"/>
      <c r="T78" s="18"/>
      <c r="U78" s="17"/>
      <c r="V78" s="18"/>
      <c r="W78" s="17"/>
      <c r="X78" s="17"/>
      <c r="Y78" s="17"/>
      <c r="Z78" s="17"/>
      <c r="AA78" s="17"/>
      <c r="AB78" s="18"/>
      <c r="AC78" s="17"/>
      <c r="AD78" s="17"/>
    </row>
    <row r="79" spans="1:30" ht="38.25">
      <c r="A79" s="6">
        <f>ROW()</f>
        <v>79</v>
      </c>
      <c r="B79" s="7" t="s">
        <v>79</v>
      </c>
      <c r="C79" s="5" t="s">
        <v>463</v>
      </c>
      <c r="D79" s="8" t="s">
        <v>562</v>
      </c>
      <c r="E79" s="5" t="s">
        <v>896</v>
      </c>
      <c r="G79" s="5" t="str">
        <f t="shared" si="10"/>
        <v>CLAS VN GROVEVEZELS</v>
      </c>
      <c r="H79" s="5" t="str">
        <f t="shared" si="11"/>
        <v>[-]</v>
      </c>
      <c r="I79" s="5" t="s">
        <v>2380</v>
      </c>
      <c r="J79" s="5" t="s">
        <v>2381</v>
      </c>
      <c r="L79" s="9"/>
      <c r="M79" s="5" t="s">
        <v>2767</v>
      </c>
      <c r="P79" s="17"/>
      <c r="Q79" s="17"/>
      <c r="R79" s="17"/>
      <c r="S79" s="18"/>
      <c r="T79" s="18"/>
      <c r="U79" s="17"/>
      <c r="V79" s="18"/>
      <c r="W79" s="17"/>
      <c r="X79" s="17"/>
      <c r="Y79" s="17"/>
      <c r="Z79" s="17"/>
      <c r="AA79" s="17"/>
      <c r="AB79" s="18"/>
      <c r="AC79" s="17"/>
      <c r="AD79" s="17"/>
    </row>
    <row r="80" spans="1:30" ht="38.25">
      <c r="A80" s="6">
        <f>ROW()</f>
        <v>80</v>
      </c>
      <c r="B80" s="7" t="s">
        <v>80</v>
      </c>
      <c r="C80" s="5" t="s">
        <v>463</v>
      </c>
      <c r="D80" s="8" t="s">
        <v>563</v>
      </c>
      <c r="E80" s="5" t="s">
        <v>896</v>
      </c>
      <c r="G80" s="5" t="str">
        <f t="shared" si="10"/>
        <v>CLAS VN HOUT</v>
      </c>
      <c r="H80" s="5" t="str">
        <f t="shared" si="11"/>
        <v>[-]</v>
      </c>
      <c r="I80" s="5" t="s">
        <v>2380</v>
      </c>
      <c r="J80" s="5" t="s">
        <v>2381</v>
      </c>
      <c r="L80" s="9"/>
      <c r="M80" s="5" t="s">
        <v>2768</v>
      </c>
      <c r="P80" s="17"/>
      <c r="Q80" s="17"/>
      <c r="R80" s="17"/>
      <c r="S80" s="18"/>
      <c r="T80" s="18"/>
      <c r="U80" s="17"/>
      <c r="V80" s="18"/>
      <c r="W80" s="17"/>
      <c r="X80" s="17"/>
      <c r="Y80" s="17"/>
      <c r="Z80" s="17"/>
      <c r="AA80" s="17"/>
      <c r="AB80" s="18"/>
      <c r="AC80" s="17"/>
      <c r="AD80" s="17"/>
    </row>
    <row r="81" spans="1:30" ht="76.5">
      <c r="A81" s="6">
        <f>ROW()</f>
        <v>81</v>
      </c>
      <c r="B81" s="7" t="s">
        <v>81</v>
      </c>
      <c r="C81" s="5" t="s">
        <v>468</v>
      </c>
      <c r="D81" s="8" t="s">
        <v>564</v>
      </c>
      <c r="E81" s="5" t="s">
        <v>897</v>
      </c>
      <c r="G81" s="5" t="str">
        <f t="shared" si="10"/>
        <v>CLAS VN GLOEIVERLIES</v>
      </c>
      <c r="H81" s="5" t="str">
        <f t="shared" si="11"/>
        <v>[%]</v>
      </c>
      <c r="I81" s="5" t="s">
        <v>2380</v>
      </c>
      <c r="J81" s="5" t="s">
        <v>2381</v>
      </c>
      <c r="L81" s="9"/>
      <c r="M81" s="5" t="s">
        <v>2711</v>
      </c>
      <c r="P81" s="17"/>
      <c r="Q81" s="17"/>
      <c r="R81" s="17"/>
      <c r="S81" s="18"/>
      <c r="T81" s="18"/>
      <c r="U81" s="17"/>
      <c r="V81" s="18"/>
      <c r="W81" s="17"/>
      <c r="X81" s="17"/>
      <c r="Y81" s="17"/>
      <c r="Z81" s="17"/>
      <c r="AA81" s="17"/>
      <c r="AB81" s="18"/>
      <c r="AC81" s="17"/>
      <c r="AD81" s="17"/>
    </row>
    <row r="82" spans="1:30" ht="51">
      <c r="A82" s="6">
        <f>ROW()</f>
        <v>82</v>
      </c>
      <c r="B82" s="7" t="s">
        <v>82</v>
      </c>
      <c r="C82" s="5" t="s">
        <v>468</v>
      </c>
      <c r="D82" s="8" t="s">
        <v>565</v>
      </c>
      <c r="E82" s="5" t="s">
        <v>897</v>
      </c>
      <c r="G82" s="5" t="str">
        <f t="shared" si="10"/>
        <v>CLAS VN ASGEHALTE</v>
      </c>
      <c r="H82" s="5" t="str">
        <f t="shared" si="11"/>
        <v>[%]</v>
      </c>
      <c r="I82" s="5" t="s">
        <v>2380</v>
      </c>
      <c r="J82" s="5" t="s">
        <v>2381</v>
      </c>
      <c r="L82" s="9"/>
      <c r="M82" s="5" t="s">
        <v>2769</v>
      </c>
      <c r="P82" s="17"/>
      <c r="Q82" s="17"/>
      <c r="R82" s="17"/>
      <c r="S82" s="18"/>
      <c r="T82" s="18"/>
      <c r="U82" s="17"/>
      <c r="V82" s="18"/>
      <c r="W82" s="17"/>
      <c r="X82" s="17"/>
      <c r="Y82" s="17"/>
      <c r="Z82" s="17"/>
      <c r="AA82" s="17"/>
      <c r="AB82" s="18"/>
      <c r="AC82" s="17"/>
      <c r="AD82" s="17"/>
    </row>
    <row r="83" spans="1:30" ht="25.5">
      <c r="A83" s="6">
        <f>ROW()</f>
        <v>83</v>
      </c>
      <c r="B83" s="7" t="s">
        <v>83</v>
      </c>
      <c r="C83" s="5" t="s">
        <v>463</v>
      </c>
      <c r="D83" s="8" t="s">
        <v>566</v>
      </c>
      <c r="E83" s="5" t="s">
        <v>896</v>
      </c>
      <c r="G83" s="5" t="str">
        <f t="shared" si="10"/>
        <v>KV FILENAAM PDF</v>
      </c>
      <c r="H83" s="5" t="str">
        <f t="shared" si="11"/>
        <v>[-]</v>
      </c>
      <c r="I83" s="5" t="s">
        <v>2389</v>
      </c>
      <c r="J83" s="5" t="s">
        <v>2390</v>
      </c>
      <c r="L83" s="9"/>
      <c r="M83" s="5" t="s">
        <v>2770</v>
      </c>
      <c r="P83" s="16"/>
      <c r="Q83" s="17"/>
      <c r="R83" s="17"/>
      <c r="S83" s="18"/>
      <c r="T83" s="18"/>
      <c r="U83" s="17"/>
      <c r="V83" s="18"/>
      <c r="W83" s="17"/>
      <c r="X83" s="17"/>
      <c r="Y83" s="17"/>
      <c r="Z83" s="17"/>
      <c r="AA83" s="17"/>
      <c r="AB83" s="18"/>
      <c r="AC83" s="17"/>
      <c r="AD83" s="17"/>
    </row>
    <row r="84" spans="1:30" ht="25.5">
      <c r="A84" s="6">
        <f>ROW()</f>
        <v>84</v>
      </c>
      <c r="B84" s="5" t="s">
        <v>84</v>
      </c>
      <c r="C84" s="5" t="s">
        <v>463</v>
      </c>
      <c r="D84" s="8" t="s">
        <v>567</v>
      </c>
      <c r="E84" s="5" t="s">
        <v>896</v>
      </c>
      <c r="G84" s="5" t="str">
        <f t="shared" si="10"/>
        <v>KV FILENAAM GEF</v>
      </c>
      <c r="H84" s="5" t="str">
        <f t="shared" si="11"/>
        <v>[-]</v>
      </c>
      <c r="I84" s="5" t="s">
        <v>2389</v>
      </c>
      <c r="J84" s="5" t="s">
        <v>2390</v>
      </c>
      <c r="L84" s="9"/>
      <c r="M84" s="5" t="s">
        <v>2711</v>
      </c>
      <c r="P84" s="16"/>
      <c r="Q84" s="17"/>
      <c r="R84" s="17"/>
      <c r="S84" s="18"/>
      <c r="T84" s="18"/>
      <c r="U84" s="17"/>
      <c r="V84" s="18"/>
      <c r="W84" s="17"/>
      <c r="X84" s="17"/>
      <c r="Y84" s="17"/>
      <c r="Z84" s="17"/>
      <c r="AA84" s="17"/>
      <c r="AB84" s="18"/>
      <c r="AC84" s="17"/>
      <c r="AD84" s="17"/>
    </row>
    <row r="85" spans="1:30">
      <c r="A85" s="6">
        <f>ROW()</f>
        <v>85</v>
      </c>
      <c r="B85" s="7" t="s">
        <v>85</v>
      </c>
      <c r="C85" s="5" t="s">
        <v>463</v>
      </c>
      <c r="D85" s="8" t="s">
        <v>568</v>
      </c>
      <c r="E85" s="5" t="s">
        <v>896</v>
      </c>
      <c r="G85" s="5" t="str">
        <f t="shared" si="10"/>
        <v>KV MONSTERID</v>
      </c>
      <c r="H85" s="5" t="str">
        <f t="shared" si="11"/>
        <v>[-]</v>
      </c>
      <c r="I85" s="5" t="s">
        <v>2389</v>
      </c>
      <c r="J85" s="5" t="s">
        <v>2390</v>
      </c>
      <c r="L85" s="9"/>
      <c r="M85" s="5" t="s">
        <v>2711</v>
      </c>
      <c r="P85" s="16"/>
      <c r="Q85" s="17"/>
      <c r="R85" s="17"/>
      <c r="S85" s="18"/>
      <c r="T85" s="18"/>
      <c r="U85" s="17"/>
      <c r="V85" s="18"/>
      <c r="W85" s="17"/>
      <c r="X85" s="17"/>
      <c r="Y85" s="17"/>
      <c r="Z85" s="17"/>
      <c r="AA85" s="17"/>
      <c r="AB85" s="18"/>
      <c r="AC85" s="17"/>
      <c r="AD85" s="17"/>
    </row>
    <row r="86" spans="1:30">
      <c r="A86" s="6">
        <f>ROW()</f>
        <v>86</v>
      </c>
      <c r="B86" s="7" t="s">
        <v>86</v>
      </c>
      <c r="C86" s="5" t="s">
        <v>463</v>
      </c>
      <c r="D86" s="8" t="s">
        <v>569</v>
      </c>
      <c r="E86" s="5" t="s">
        <v>896</v>
      </c>
      <c r="G86" s="5" t="str">
        <f t="shared" si="10"/>
        <v>KV LABORATORIUM</v>
      </c>
      <c r="H86" s="5" t="str">
        <f t="shared" si="11"/>
        <v>[-]</v>
      </c>
      <c r="I86" s="5" t="s">
        <v>2389</v>
      </c>
      <c r="J86" s="5" t="s">
        <v>2390</v>
      </c>
      <c r="L86" s="9"/>
      <c r="M86" s="5" t="s">
        <v>2742</v>
      </c>
      <c r="P86" s="16"/>
      <c r="Q86" s="17"/>
      <c r="R86" s="17"/>
      <c r="S86" s="18"/>
      <c r="T86" s="18"/>
      <c r="U86" s="17"/>
      <c r="V86" s="18"/>
      <c r="W86" s="17"/>
      <c r="X86" s="17"/>
      <c r="Y86" s="17"/>
      <c r="Z86" s="17"/>
      <c r="AA86" s="17"/>
      <c r="AB86" s="18"/>
      <c r="AC86" s="17"/>
      <c r="AD86" s="17"/>
    </row>
    <row r="87" spans="1:30">
      <c r="A87" s="6">
        <f>ROW()</f>
        <v>87</v>
      </c>
      <c r="B87" s="7" t="s">
        <v>87</v>
      </c>
      <c r="C87" s="5" t="s">
        <v>463</v>
      </c>
      <c r="D87" s="8" t="s">
        <v>570</v>
      </c>
      <c r="E87" s="5" t="s">
        <v>896</v>
      </c>
      <c r="G87" s="5" t="str">
        <f t="shared" si="10"/>
        <v>KV NORMEN</v>
      </c>
      <c r="H87" s="5" t="str">
        <f t="shared" si="11"/>
        <v>[-]</v>
      </c>
      <c r="I87" s="5" t="s">
        <v>2389</v>
      </c>
      <c r="J87" s="5" t="s">
        <v>2390</v>
      </c>
      <c r="L87" s="9"/>
      <c r="M87" s="5" t="s">
        <v>2736</v>
      </c>
      <c r="P87" s="16"/>
      <c r="Q87" s="17"/>
      <c r="R87" s="17"/>
      <c r="S87" s="18"/>
      <c r="T87" s="18"/>
      <c r="U87" s="17"/>
      <c r="V87" s="18"/>
      <c r="W87" s="17"/>
      <c r="X87" s="17"/>
      <c r="Y87" s="17"/>
      <c r="Z87" s="17"/>
      <c r="AA87" s="17"/>
      <c r="AB87" s="18"/>
      <c r="AC87" s="17"/>
      <c r="AD87" s="17"/>
    </row>
    <row r="88" spans="1:30">
      <c r="A88" s="6">
        <f>ROW()</f>
        <v>88</v>
      </c>
      <c r="B88" s="7" t="s">
        <v>88</v>
      </c>
      <c r="C88" s="5" t="s">
        <v>466</v>
      </c>
      <c r="D88" s="8" t="s">
        <v>571</v>
      </c>
      <c r="E88" s="5" t="s">
        <v>898</v>
      </c>
      <c r="G88" s="5" t="str">
        <f t="shared" si="10"/>
        <v>KV DATUM</v>
      </c>
      <c r="H88" s="5" t="str">
        <f t="shared" si="11"/>
        <v>[DD-MM-JJJJ]</v>
      </c>
      <c r="I88" s="5" t="s">
        <v>2389</v>
      </c>
      <c r="J88" s="5" t="s">
        <v>2390</v>
      </c>
      <c r="L88" s="9"/>
      <c r="M88" s="5" t="s">
        <v>2743</v>
      </c>
      <c r="P88" s="16"/>
      <c r="Q88" s="17"/>
      <c r="R88" s="17"/>
      <c r="S88" s="18"/>
      <c r="T88" s="18"/>
      <c r="U88" s="17"/>
      <c r="V88" s="18"/>
      <c r="W88" s="17"/>
      <c r="X88" s="17"/>
      <c r="Y88" s="17"/>
      <c r="Z88" s="17"/>
      <c r="AA88" s="17"/>
      <c r="AB88" s="18"/>
      <c r="AC88" s="17"/>
      <c r="AD88" s="17"/>
    </row>
    <row r="89" spans="1:30">
      <c r="A89" s="6">
        <f>ROW()</f>
        <v>89</v>
      </c>
      <c r="B89" s="5" t="s">
        <v>2771</v>
      </c>
      <c r="C89" s="5" t="s">
        <v>463</v>
      </c>
      <c r="D89" s="8" t="s">
        <v>532</v>
      </c>
      <c r="E89" s="5" t="s">
        <v>896</v>
      </c>
      <c r="G89" s="5" t="str">
        <f t="shared" ref="G89:G90" si="12">SUBSTITUTE(B89,"_"," ")</f>
        <v>KV CLASSIFICATIE</v>
      </c>
      <c r="H89" s="5" t="str">
        <f t="shared" ref="H89:H90" si="13">CONCATENATE("[",C89,"]")</f>
        <v>[-]</v>
      </c>
      <c r="I89" s="5" t="s">
        <v>2389</v>
      </c>
      <c r="J89" s="5" t="s">
        <v>2390</v>
      </c>
      <c r="L89" s="9"/>
      <c r="M89" s="5" t="s">
        <v>2711</v>
      </c>
      <c r="P89" s="16"/>
      <c r="Q89" s="17"/>
      <c r="R89" s="17"/>
      <c r="S89" s="18"/>
      <c r="T89" s="18"/>
      <c r="U89" s="17"/>
      <c r="V89" s="18"/>
      <c r="W89" s="17"/>
      <c r="X89" s="17"/>
      <c r="Y89" s="17"/>
      <c r="Z89" s="17"/>
      <c r="AA89" s="17"/>
      <c r="AB89" s="18"/>
      <c r="AC89" s="17"/>
      <c r="AD89" s="17"/>
    </row>
    <row r="90" spans="1:30" ht="25.5">
      <c r="A90" s="6">
        <f>ROW()</f>
        <v>90</v>
      </c>
      <c r="B90" s="5" t="s">
        <v>2772</v>
      </c>
      <c r="C90" s="5" t="s">
        <v>463</v>
      </c>
      <c r="D90" s="8" t="s">
        <v>533</v>
      </c>
      <c r="E90" s="5" t="s">
        <v>896</v>
      </c>
      <c r="G90" s="5" t="str">
        <f t="shared" si="12"/>
        <v>KV CLASSIFICATIE BIJMENGING</v>
      </c>
      <c r="H90" s="5" t="str">
        <f t="shared" si="13"/>
        <v>[-]</v>
      </c>
      <c r="I90" s="5" t="s">
        <v>2389</v>
      </c>
      <c r="J90" s="5" t="s">
        <v>2390</v>
      </c>
      <c r="L90" s="9"/>
      <c r="M90" s="5" t="s">
        <v>2747</v>
      </c>
      <c r="P90" s="16"/>
      <c r="Q90" s="17"/>
      <c r="R90" s="17"/>
      <c r="S90" s="18"/>
      <c r="T90" s="18"/>
      <c r="U90" s="17"/>
      <c r="V90" s="18"/>
      <c r="W90" s="17"/>
      <c r="X90" s="17"/>
      <c r="Y90" s="17"/>
      <c r="Z90" s="17"/>
      <c r="AA90" s="17"/>
      <c r="AB90" s="18"/>
      <c r="AC90" s="17"/>
      <c r="AD90" s="17"/>
    </row>
    <row r="91" spans="1:30" ht="25.5">
      <c r="A91" s="6">
        <f>ROW()</f>
        <v>91</v>
      </c>
      <c r="B91" s="7" t="s">
        <v>91</v>
      </c>
      <c r="C91" s="5" t="s">
        <v>472</v>
      </c>
      <c r="D91" s="8" t="s">
        <v>572</v>
      </c>
      <c r="E91" s="5" t="s">
        <v>897</v>
      </c>
      <c r="F91" s="8" t="s">
        <v>916</v>
      </c>
      <c r="G91" s="5" t="str">
        <f t="shared" si="10"/>
        <v>KV MEDIAAN ZANDFRACTIE</v>
      </c>
      <c r="H91" s="5" t="str">
        <f t="shared" si="11"/>
        <v>[mu]</v>
      </c>
      <c r="I91" s="5" t="s">
        <v>2389</v>
      </c>
      <c r="J91" s="5" t="s">
        <v>2390</v>
      </c>
      <c r="L91" s="9"/>
      <c r="M91" s="5" t="s">
        <v>2773</v>
      </c>
      <c r="P91" s="16"/>
      <c r="Q91" s="17"/>
      <c r="R91" s="17"/>
      <c r="S91" s="18"/>
      <c r="T91" s="18"/>
      <c r="U91" s="17"/>
      <c r="V91" s="18"/>
      <c r="W91" s="17"/>
      <c r="X91" s="17"/>
      <c r="Y91" s="17"/>
      <c r="Z91" s="17"/>
      <c r="AA91" s="17"/>
      <c r="AB91" s="18"/>
      <c r="AC91" s="17"/>
      <c r="AD91" s="17"/>
    </row>
    <row r="92" spans="1:30" ht="38.25">
      <c r="A92" s="6">
        <f>ROW()</f>
        <v>92</v>
      </c>
      <c r="B92" s="7" t="s">
        <v>92</v>
      </c>
      <c r="C92" s="5" t="s">
        <v>472</v>
      </c>
      <c r="D92" s="8" t="s">
        <v>573</v>
      </c>
      <c r="E92" s="5" t="s">
        <v>897</v>
      </c>
      <c r="G92" s="5" t="str">
        <f t="shared" si="10"/>
        <v>KV MEDIAAN ALLEFRACTIES</v>
      </c>
      <c r="H92" s="5" t="str">
        <f t="shared" si="11"/>
        <v>[mu]</v>
      </c>
      <c r="I92" s="5" t="s">
        <v>2389</v>
      </c>
      <c r="J92" s="5" t="s">
        <v>2390</v>
      </c>
      <c r="L92" s="9"/>
      <c r="M92" s="5" t="s">
        <v>2711</v>
      </c>
      <c r="P92" s="16"/>
      <c r="Q92" s="17"/>
      <c r="R92" s="17"/>
      <c r="S92" s="18"/>
      <c r="T92" s="18"/>
      <c r="U92" s="17"/>
      <c r="V92" s="18"/>
      <c r="W92" s="17"/>
      <c r="X92" s="17"/>
      <c r="Y92" s="17"/>
      <c r="Z92" s="17"/>
      <c r="AA92" s="17"/>
      <c r="AB92" s="18"/>
      <c r="AC92" s="17"/>
      <c r="AD92" s="17"/>
    </row>
    <row r="93" spans="1:30">
      <c r="A93" s="6">
        <f>ROW()</f>
        <v>93</v>
      </c>
      <c r="B93" s="7" t="s">
        <v>93</v>
      </c>
      <c r="C93" s="5" t="s">
        <v>468</v>
      </c>
      <c r="D93" s="10" t="s">
        <v>574</v>
      </c>
      <c r="E93" s="5" t="s">
        <v>897</v>
      </c>
      <c r="F93" s="8" t="s">
        <v>917</v>
      </c>
      <c r="G93" s="5" t="str">
        <f t="shared" si="10"/>
        <v>KV GRIND%</v>
      </c>
      <c r="H93" s="5" t="str">
        <f t="shared" si="11"/>
        <v>[%]</v>
      </c>
      <c r="I93" s="5" t="s">
        <v>2389</v>
      </c>
      <c r="J93" s="5" t="s">
        <v>2390</v>
      </c>
      <c r="L93" s="9"/>
      <c r="M93" s="5" t="s">
        <v>2774</v>
      </c>
      <c r="P93" s="16"/>
      <c r="Q93" s="17"/>
      <c r="R93" s="17"/>
      <c r="S93" s="18"/>
      <c r="T93" s="18"/>
      <c r="U93" s="17"/>
      <c r="V93" s="18"/>
      <c r="W93" s="17"/>
      <c r="X93" s="17"/>
      <c r="Y93" s="17"/>
      <c r="Z93" s="17"/>
      <c r="AA93" s="17"/>
      <c r="AB93" s="18"/>
      <c r="AC93" s="17"/>
      <c r="AD93" s="17"/>
    </row>
    <row r="94" spans="1:30">
      <c r="A94" s="6">
        <f>ROW()</f>
        <v>94</v>
      </c>
      <c r="B94" s="7" t="s">
        <v>94</v>
      </c>
      <c r="C94" s="5" t="s">
        <v>468</v>
      </c>
      <c r="D94" s="10" t="s">
        <v>575</v>
      </c>
      <c r="E94" s="5" t="s">
        <v>897</v>
      </c>
      <c r="F94" s="8" t="s">
        <v>917</v>
      </c>
      <c r="G94" s="5" t="str">
        <f t="shared" si="10"/>
        <v>KV ZAND%</v>
      </c>
      <c r="H94" s="5" t="str">
        <f t="shared" si="11"/>
        <v>[%]</v>
      </c>
      <c r="I94" s="5" t="s">
        <v>2389</v>
      </c>
      <c r="J94" s="5" t="s">
        <v>2390</v>
      </c>
      <c r="L94" s="9"/>
      <c r="M94" s="5" t="s">
        <v>2775</v>
      </c>
      <c r="P94" s="16"/>
      <c r="Q94" s="17"/>
      <c r="R94" s="17"/>
      <c r="S94" s="18"/>
      <c r="T94" s="18"/>
      <c r="U94" s="17"/>
      <c r="V94" s="18"/>
      <c r="W94" s="17"/>
      <c r="X94" s="17"/>
      <c r="Y94" s="17"/>
      <c r="Z94" s="17"/>
      <c r="AA94" s="17"/>
      <c r="AB94" s="18"/>
      <c r="AC94" s="17"/>
      <c r="AD94" s="17"/>
    </row>
    <row r="95" spans="1:30">
      <c r="A95" s="6">
        <f>ROW()</f>
        <v>95</v>
      </c>
      <c r="B95" s="7" t="s">
        <v>95</v>
      </c>
      <c r="C95" s="5" t="s">
        <v>468</v>
      </c>
      <c r="D95" s="10" t="s">
        <v>576</v>
      </c>
      <c r="E95" s="5" t="s">
        <v>897</v>
      </c>
      <c r="F95" s="8" t="s">
        <v>917</v>
      </c>
      <c r="G95" s="5" t="str">
        <f t="shared" si="10"/>
        <v>KV SILT%</v>
      </c>
      <c r="H95" s="5" t="str">
        <f t="shared" si="11"/>
        <v>[%]</v>
      </c>
      <c r="I95" s="5" t="s">
        <v>2389</v>
      </c>
      <c r="J95" s="5" t="s">
        <v>2390</v>
      </c>
      <c r="L95" s="9"/>
      <c r="M95" s="5" t="s">
        <v>2711</v>
      </c>
      <c r="P95" s="16"/>
      <c r="Q95" s="17"/>
      <c r="R95" s="17"/>
      <c r="S95" s="18"/>
      <c r="T95" s="18"/>
      <c r="U95" s="17"/>
      <c r="V95" s="18"/>
      <c r="W95" s="17"/>
      <c r="X95" s="17"/>
      <c r="Y95" s="17"/>
      <c r="Z95" s="17"/>
      <c r="AA95" s="17"/>
      <c r="AB95" s="18"/>
      <c r="AC95" s="17"/>
      <c r="AD95" s="17"/>
    </row>
    <row r="96" spans="1:30" ht="25.5">
      <c r="A96" s="6">
        <f>ROW()</f>
        <v>96</v>
      </c>
      <c r="B96" s="7" t="s">
        <v>96</v>
      </c>
      <c r="C96" s="5" t="s">
        <v>468</v>
      </c>
      <c r="D96" s="8" t="s">
        <v>577</v>
      </c>
      <c r="E96" s="5" t="s">
        <v>897</v>
      </c>
      <c r="F96" s="8" t="s">
        <v>917</v>
      </c>
      <c r="G96" s="5" t="str">
        <f t="shared" si="10"/>
        <v>KV DOOR 63MM</v>
      </c>
      <c r="H96" s="5" t="str">
        <f t="shared" si="11"/>
        <v>[%]</v>
      </c>
      <c r="I96" s="5" t="s">
        <v>2389</v>
      </c>
      <c r="J96" s="5" t="s">
        <v>2390</v>
      </c>
      <c r="L96" s="9"/>
      <c r="M96" s="5" t="s">
        <v>2711</v>
      </c>
      <c r="P96" s="16"/>
      <c r="Q96" s="17"/>
      <c r="R96" s="17"/>
      <c r="S96" s="18"/>
      <c r="T96" s="18"/>
      <c r="U96" s="17"/>
      <c r="V96" s="18"/>
      <c r="W96" s="17"/>
      <c r="X96" s="17"/>
      <c r="Y96" s="17"/>
      <c r="Z96" s="17"/>
      <c r="AA96" s="17"/>
      <c r="AB96" s="18"/>
      <c r="AC96" s="17"/>
      <c r="AD96" s="17"/>
    </row>
    <row r="97" spans="1:30" ht="25.5">
      <c r="A97" s="6">
        <f>ROW()</f>
        <v>97</v>
      </c>
      <c r="B97" s="7" t="s">
        <v>97</v>
      </c>
      <c r="C97" s="5" t="s">
        <v>468</v>
      </c>
      <c r="D97" s="8" t="s">
        <v>578</v>
      </c>
      <c r="E97" s="5" t="s">
        <v>897</v>
      </c>
      <c r="F97" s="8" t="s">
        <v>917</v>
      </c>
      <c r="G97" s="5" t="str">
        <f t="shared" si="10"/>
        <v>KV DOOR 31.5MM</v>
      </c>
      <c r="H97" s="5" t="str">
        <f t="shared" si="11"/>
        <v>[%]</v>
      </c>
      <c r="I97" s="5" t="s">
        <v>2389</v>
      </c>
      <c r="J97" s="5" t="s">
        <v>2390</v>
      </c>
      <c r="L97" s="9"/>
      <c r="M97" s="5" t="s">
        <v>2711</v>
      </c>
      <c r="P97" s="16"/>
      <c r="Q97" s="17"/>
      <c r="R97" s="17"/>
      <c r="S97" s="18"/>
      <c r="T97" s="18"/>
      <c r="U97" s="17"/>
      <c r="V97" s="18"/>
      <c r="W97" s="17"/>
      <c r="X97" s="17"/>
      <c r="Y97" s="17"/>
      <c r="Z97" s="17"/>
      <c r="AA97" s="17"/>
      <c r="AB97" s="18"/>
      <c r="AC97" s="17"/>
      <c r="AD97" s="17"/>
    </row>
    <row r="98" spans="1:30" ht="25.5">
      <c r="A98" s="6">
        <f>ROW()</f>
        <v>98</v>
      </c>
      <c r="B98" s="7" t="s">
        <v>98</v>
      </c>
      <c r="C98" s="5" t="s">
        <v>468</v>
      </c>
      <c r="D98" s="8" t="s">
        <v>579</v>
      </c>
      <c r="E98" s="5" t="s">
        <v>897</v>
      </c>
      <c r="F98" s="8" t="s">
        <v>917</v>
      </c>
      <c r="G98" s="5" t="str">
        <f t="shared" si="10"/>
        <v>KV DOOR 16MM</v>
      </c>
      <c r="H98" s="5" t="str">
        <f t="shared" si="11"/>
        <v>[%]</v>
      </c>
      <c r="I98" s="5" t="s">
        <v>2389</v>
      </c>
      <c r="J98" s="5" t="s">
        <v>2390</v>
      </c>
      <c r="L98" s="9"/>
      <c r="M98" s="5" t="s">
        <v>2711</v>
      </c>
      <c r="P98" s="16"/>
      <c r="Q98" s="17"/>
      <c r="R98" s="17"/>
      <c r="S98" s="18"/>
      <c r="T98" s="18"/>
      <c r="U98" s="17"/>
      <c r="V98" s="18"/>
      <c r="W98" s="17"/>
      <c r="X98" s="17"/>
      <c r="Y98" s="17"/>
      <c r="Z98" s="17"/>
      <c r="AA98" s="17"/>
      <c r="AB98" s="18"/>
      <c r="AC98" s="17"/>
      <c r="AD98" s="17"/>
    </row>
    <row r="99" spans="1:30" ht="25.5">
      <c r="A99" s="6">
        <f>ROW()</f>
        <v>99</v>
      </c>
      <c r="B99" s="7" t="s">
        <v>99</v>
      </c>
      <c r="C99" s="5" t="s">
        <v>468</v>
      </c>
      <c r="D99" s="8" t="s">
        <v>580</v>
      </c>
      <c r="E99" s="5" t="s">
        <v>897</v>
      </c>
      <c r="F99" s="8" t="s">
        <v>917</v>
      </c>
      <c r="G99" s="5" t="str">
        <f t="shared" si="10"/>
        <v>KV DOOR 8MM</v>
      </c>
      <c r="H99" s="5" t="str">
        <f t="shared" si="11"/>
        <v>[%]</v>
      </c>
      <c r="I99" s="5" t="s">
        <v>2389</v>
      </c>
      <c r="J99" s="5" t="s">
        <v>2390</v>
      </c>
      <c r="L99" s="9"/>
      <c r="M99" s="5" t="s">
        <v>2776</v>
      </c>
      <c r="P99" s="16"/>
      <c r="Q99" s="17"/>
      <c r="R99" s="17"/>
      <c r="S99" s="18"/>
      <c r="T99" s="18"/>
      <c r="U99" s="17"/>
      <c r="V99" s="18"/>
      <c r="W99" s="17"/>
      <c r="X99" s="17"/>
      <c r="Y99" s="17"/>
      <c r="Z99" s="17"/>
      <c r="AA99" s="17"/>
      <c r="AB99" s="18"/>
      <c r="AC99" s="17"/>
      <c r="AD99" s="17"/>
    </row>
    <row r="100" spans="1:30" ht="25.5">
      <c r="A100" s="6">
        <f>ROW()</f>
        <v>100</v>
      </c>
      <c r="B100" s="7" t="s">
        <v>100</v>
      </c>
      <c r="C100" s="5" t="s">
        <v>468</v>
      </c>
      <c r="D100" s="8" t="s">
        <v>581</v>
      </c>
      <c r="E100" s="5" t="s">
        <v>897</v>
      </c>
      <c r="F100" s="8" t="s">
        <v>917</v>
      </c>
      <c r="G100" s="5" t="str">
        <f t="shared" si="10"/>
        <v>KV DOOR 4MM</v>
      </c>
      <c r="H100" s="5" t="str">
        <f t="shared" si="11"/>
        <v>[%]</v>
      </c>
      <c r="I100" s="5" t="s">
        <v>2389</v>
      </c>
      <c r="J100" s="5" t="s">
        <v>2390</v>
      </c>
      <c r="L100" s="9"/>
      <c r="M100" s="5" t="s">
        <v>2777</v>
      </c>
      <c r="P100" s="16"/>
      <c r="Q100" s="17"/>
      <c r="R100" s="17"/>
      <c r="S100" s="18"/>
      <c r="T100" s="18"/>
      <c r="U100" s="17"/>
      <c r="V100" s="18"/>
      <c r="W100" s="17"/>
      <c r="X100" s="17"/>
      <c r="Y100" s="17"/>
      <c r="Z100" s="17"/>
      <c r="AA100" s="17"/>
      <c r="AB100" s="18"/>
      <c r="AC100" s="17"/>
      <c r="AD100" s="17"/>
    </row>
    <row r="101" spans="1:30" ht="25.5">
      <c r="A101" s="6">
        <f>ROW()</f>
        <v>101</v>
      </c>
      <c r="B101" s="7" t="s">
        <v>101</v>
      </c>
      <c r="C101" s="5" t="s">
        <v>468</v>
      </c>
      <c r="D101" s="8" t="s">
        <v>582</v>
      </c>
      <c r="E101" s="5" t="s">
        <v>897</v>
      </c>
      <c r="F101" s="8" t="s">
        <v>917</v>
      </c>
      <c r="G101" s="5" t="str">
        <f t="shared" si="10"/>
        <v>KV DOOR 2MM</v>
      </c>
      <c r="H101" s="5" t="str">
        <f t="shared" si="11"/>
        <v>[%]</v>
      </c>
      <c r="I101" s="5" t="s">
        <v>2389</v>
      </c>
      <c r="J101" s="5" t="s">
        <v>2390</v>
      </c>
      <c r="L101" s="9"/>
      <c r="M101" s="5" t="s">
        <v>2778</v>
      </c>
      <c r="P101" s="16"/>
      <c r="Q101" s="17"/>
      <c r="R101" s="17"/>
      <c r="S101" s="18"/>
      <c r="T101" s="18"/>
      <c r="U101" s="17"/>
      <c r="V101" s="18"/>
      <c r="W101" s="17"/>
      <c r="X101" s="17"/>
      <c r="Y101" s="17"/>
      <c r="Z101" s="17"/>
      <c r="AA101" s="17"/>
      <c r="AB101" s="18"/>
      <c r="AC101" s="17"/>
      <c r="AD101" s="17"/>
    </row>
    <row r="102" spans="1:30" ht="25.5">
      <c r="A102" s="6">
        <f>ROW()</f>
        <v>102</v>
      </c>
      <c r="B102" s="7" t="s">
        <v>102</v>
      </c>
      <c r="C102" s="5" t="s">
        <v>468</v>
      </c>
      <c r="D102" s="8" t="s">
        <v>583</v>
      </c>
      <c r="E102" s="5" t="s">
        <v>897</v>
      </c>
      <c r="F102" s="8" t="s">
        <v>917</v>
      </c>
      <c r="G102" s="5" t="str">
        <f t="shared" si="10"/>
        <v>KV DOOR 1MM</v>
      </c>
      <c r="H102" s="5" t="str">
        <f t="shared" si="11"/>
        <v>[%]</v>
      </c>
      <c r="I102" s="5" t="s">
        <v>2389</v>
      </c>
      <c r="J102" s="5" t="s">
        <v>2390</v>
      </c>
      <c r="L102" s="9"/>
      <c r="M102" s="5" t="s">
        <v>2779</v>
      </c>
      <c r="P102" s="16"/>
      <c r="Q102" s="17"/>
      <c r="R102" s="17"/>
      <c r="S102" s="18"/>
      <c r="T102" s="18"/>
      <c r="U102" s="17"/>
      <c r="V102" s="18"/>
      <c r="W102" s="17"/>
      <c r="X102" s="17"/>
      <c r="Y102" s="17"/>
      <c r="Z102" s="17"/>
      <c r="AA102" s="17"/>
      <c r="AB102" s="18"/>
      <c r="AC102" s="17"/>
      <c r="AD102" s="17"/>
    </row>
    <row r="103" spans="1:30" ht="25.5">
      <c r="A103" s="6">
        <f>ROW()</f>
        <v>103</v>
      </c>
      <c r="B103" s="7" t="s">
        <v>103</v>
      </c>
      <c r="C103" s="5" t="s">
        <v>468</v>
      </c>
      <c r="D103" s="8" t="s">
        <v>584</v>
      </c>
      <c r="E103" s="5" t="s">
        <v>897</v>
      </c>
      <c r="F103" s="8" t="s">
        <v>917</v>
      </c>
      <c r="G103" s="5" t="str">
        <f t="shared" si="10"/>
        <v>KV DOOR 500MU</v>
      </c>
      <c r="H103" s="5" t="str">
        <f t="shared" si="11"/>
        <v>[%]</v>
      </c>
      <c r="I103" s="5" t="s">
        <v>2389</v>
      </c>
      <c r="J103" s="5" t="s">
        <v>2390</v>
      </c>
      <c r="L103" s="9"/>
      <c r="M103" s="5" t="s">
        <v>2780</v>
      </c>
      <c r="P103" s="16"/>
      <c r="Q103" s="17"/>
      <c r="R103" s="17"/>
      <c r="S103" s="18"/>
      <c r="T103" s="18"/>
      <c r="U103" s="17"/>
      <c r="V103" s="18"/>
      <c r="W103" s="17"/>
      <c r="X103" s="17"/>
      <c r="Y103" s="17"/>
      <c r="Z103" s="17"/>
      <c r="AA103" s="17"/>
      <c r="AB103" s="18"/>
      <c r="AC103" s="17"/>
      <c r="AD103" s="17"/>
    </row>
    <row r="104" spans="1:30" ht="25.5">
      <c r="A104" s="6">
        <f>ROW()</f>
        <v>104</v>
      </c>
      <c r="B104" s="7" t="s">
        <v>104</v>
      </c>
      <c r="C104" s="5" t="s">
        <v>468</v>
      </c>
      <c r="D104" s="8" t="s">
        <v>585</v>
      </c>
      <c r="E104" s="5" t="s">
        <v>897</v>
      </c>
      <c r="F104" s="8" t="s">
        <v>917</v>
      </c>
      <c r="G104" s="5" t="str">
        <f t="shared" si="10"/>
        <v>KV DOOR 250MU</v>
      </c>
      <c r="H104" s="5" t="str">
        <f t="shared" si="11"/>
        <v>[%]</v>
      </c>
      <c r="I104" s="5" t="s">
        <v>2389</v>
      </c>
      <c r="J104" s="5" t="s">
        <v>2390</v>
      </c>
      <c r="L104" s="9"/>
      <c r="M104" s="5" t="s">
        <v>2781</v>
      </c>
      <c r="P104" s="16"/>
      <c r="Q104" s="17"/>
      <c r="R104" s="17"/>
      <c r="S104" s="18"/>
      <c r="T104" s="18"/>
      <c r="U104" s="17"/>
      <c r="V104" s="18"/>
      <c r="W104" s="17"/>
      <c r="X104" s="17"/>
      <c r="Y104" s="17"/>
      <c r="Z104" s="17"/>
      <c r="AA104" s="17"/>
      <c r="AB104" s="18"/>
      <c r="AC104" s="17"/>
      <c r="AD104" s="17"/>
    </row>
    <row r="105" spans="1:30" ht="25.5">
      <c r="A105" s="6">
        <f>ROW()</f>
        <v>105</v>
      </c>
      <c r="B105" s="7" t="s">
        <v>105</v>
      </c>
      <c r="C105" s="5" t="s">
        <v>468</v>
      </c>
      <c r="D105" s="8" t="s">
        <v>586</v>
      </c>
      <c r="E105" s="5" t="s">
        <v>897</v>
      </c>
      <c r="F105" s="8" t="s">
        <v>917</v>
      </c>
      <c r="G105" s="5" t="str">
        <f t="shared" si="10"/>
        <v>KV DOOR 180MU</v>
      </c>
      <c r="H105" s="5" t="str">
        <f t="shared" si="11"/>
        <v>[%]</v>
      </c>
      <c r="I105" s="5" t="s">
        <v>2389</v>
      </c>
      <c r="J105" s="5" t="s">
        <v>2390</v>
      </c>
      <c r="L105" s="9"/>
      <c r="M105" s="5" t="s">
        <v>2782</v>
      </c>
      <c r="P105" s="16"/>
      <c r="Q105" s="17"/>
      <c r="R105" s="17"/>
      <c r="S105" s="18"/>
      <c r="T105" s="18"/>
      <c r="U105" s="17"/>
      <c r="V105" s="18"/>
      <c r="W105" s="17"/>
      <c r="X105" s="17"/>
      <c r="Y105" s="17"/>
      <c r="Z105" s="17"/>
      <c r="AA105" s="17"/>
      <c r="AB105" s="18"/>
      <c r="AC105" s="17"/>
      <c r="AD105" s="17"/>
    </row>
    <row r="106" spans="1:30" ht="25.5">
      <c r="A106" s="6">
        <f>ROW()</f>
        <v>106</v>
      </c>
      <c r="B106" s="7" t="s">
        <v>106</v>
      </c>
      <c r="C106" s="5" t="s">
        <v>468</v>
      </c>
      <c r="D106" s="8" t="s">
        <v>587</v>
      </c>
      <c r="E106" s="5" t="s">
        <v>897</v>
      </c>
      <c r="F106" s="8" t="s">
        <v>917</v>
      </c>
      <c r="G106" s="5" t="str">
        <f t="shared" si="10"/>
        <v>KV DOOR 125MU</v>
      </c>
      <c r="H106" s="5" t="str">
        <f t="shared" si="11"/>
        <v>[%]</v>
      </c>
      <c r="I106" s="5" t="s">
        <v>2389</v>
      </c>
      <c r="J106" s="5" t="s">
        <v>2390</v>
      </c>
      <c r="L106" s="9"/>
      <c r="M106" s="5" t="s">
        <v>2783</v>
      </c>
      <c r="P106" s="16"/>
      <c r="Q106" s="17"/>
      <c r="R106" s="17"/>
      <c r="S106" s="18"/>
      <c r="T106" s="18"/>
      <c r="U106" s="17"/>
      <c r="V106" s="18"/>
      <c r="W106" s="17"/>
      <c r="X106" s="17"/>
      <c r="Y106" s="17"/>
      <c r="Z106" s="17"/>
      <c r="AA106" s="17"/>
      <c r="AB106" s="18"/>
      <c r="AC106" s="17"/>
      <c r="AD106" s="17"/>
    </row>
    <row r="107" spans="1:30" ht="25.5">
      <c r="A107" s="6">
        <f>ROW()</f>
        <v>107</v>
      </c>
      <c r="B107" s="7" t="s">
        <v>107</v>
      </c>
      <c r="C107" s="5" t="s">
        <v>468</v>
      </c>
      <c r="D107" s="8" t="s">
        <v>588</v>
      </c>
      <c r="E107" s="5" t="s">
        <v>897</v>
      </c>
      <c r="F107" s="8" t="s">
        <v>917</v>
      </c>
      <c r="G107" s="5" t="str">
        <f t="shared" si="10"/>
        <v>KV DOOR 63MU</v>
      </c>
      <c r="H107" s="5" t="str">
        <f t="shared" si="11"/>
        <v>[%]</v>
      </c>
      <c r="I107" s="5" t="s">
        <v>2389</v>
      </c>
      <c r="J107" s="5" t="s">
        <v>2390</v>
      </c>
      <c r="L107" s="9"/>
      <c r="M107" s="5" t="s">
        <v>2784</v>
      </c>
      <c r="P107" s="16"/>
      <c r="Q107" s="17"/>
      <c r="R107" s="17"/>
      <c r="S107" s="18"/>
      <c r="T107" s="18"/>
      <c r="U107" s="17"/>
      <c r="V107" s="18"/>
      <c r="W107" s="17"/>
      <c r="X107" s="17"/>
      <c r="Y107" s="17"/>
      <c r="Z107" s="17"/>
      <c r="AA107" s="17"/>
      <c r="AB107" s="18"/>
      <c r="AC107" s="17"/>
      <c r="AD107" s="17"/>
    </row>
    <row r="108" spans="1:30" ht="25.5">
      <c r="A108" s="6">
        <f>ROW()</f>
        <v>108</v>
      </c>
      <c r="B108" s="7" t="s">
        <v>108</v>
      </c>
      <c r="C108" s="5" t="s">
        <v>468</v>
      </c>
      <c r="D108" s="8" t="s">
        <v>589</v>
      </c>
      <c r="E108" s="5" t="s">
        <v>897</v>
      </c>
      <c r="F108" s="8" t="s">
        <v>917</v>
      </c>
      <c r="G108" s="5" t="str">
        <f t="shared" si="10"/>
        <v>KV DOOR 32MU</v>
      </c>
      <c r="H108" s="5" t="str">
        <f t="shared" si="11"/>
        <v>[%]</v>
      </c>
      <c r="I108" s="5" t="s">
        <v>2389</v>
      </c>
      <c r="J108" s="5" t="s">
        <v>2390</v>
      </c>
      <c r="L108" s="9"/>
      <c r="P108" s="16"/>
      <c r="Q108" s="17"/>
      <c r="R108" s="17"/>
      <c r="S108" s="18"/>
      <c r="T108" s="18"/>
      <c r="U108" s="17"/>
      <c r="V108" s="18"/>
      <c r="W108" s="17"/>
      <c r="X108" s="17"/>
      <c r="Y108" s="17"/>
      <c r="Z108" s="17"/>
      <c r="AA108" s="17"/>
      <c r="AB108" s="18"/>
      <c r="AC108" s="17"/>
      <c r="AD108" s="17"/>
    </row>
    <row r="109" spans="1:30" ht="25.5">
      <c r="A109" s="6">
        <f>ROW()</f>
        <v>109</v>
      </c>
      <c r="B109" s="7" t="s">
        <v>109</v>
      </c>
      <c r="C109" s="5" t="s">
        <v>468</v>
      </c>
      <c r="D109" s="8" t="s">
        <v>590</v>
      </c>
      <c r="E109" s="5" t="s">
        <v>897</v>
      </c>
      <c r="F109" s="8" t="s">
        <v>917</v>
      </c>
      <c r="G109" s="5" t="str">
        <f t="shared" si="10"/>
        <v>KV DOOR 20MU</v>
      </c>
      <c r="H109" s="5" t="str">
        <f t="shared" si="11"/>
        <v>[%]</v>
      </c>
      <c r="I109" s="5" t="s">
        <v>2389</v>
      </c>
      <c r="J109" s="5" t="s">
        <v>2390</v>
      </c>
      <c r="L109" s="9"/>
      <c r="M109" s="5" t="s">
        <v>2711</v>
      </c>
      <c r="P109" s="16"/>
      <c r="Q109" s="17"/>
      <c r="R109" s="17"/>
      <c r="S109" s="18"/>
      <c r="T109" s="18"/>
      <c r="U109" s="17"/>
      <c r="V109" s="18"/>
      <c r="W109" s="17"/>
      <c r="X109" s="17"/>
      <c r="Y109" s="17"/>
      <c r="Z109" s="17"/>
      <c r="AA109" s="17"/>
      <c r="AB109" s="18"/>
      <c r="AC109" s="17"/>
      <c r="AD109" s="17"/>
    </row>
    <row r="110" spans="1:30" ht="25.5">
      <c r="A110" s="6">
        <f>ROW()</f>
        <v>110</v>
      </c>
      <c r="B110" s="7" t="s">
        <v>110</v>
      </c>
      <c r="C110" s="5" t="s">
        <v>468</v>
      </c>
      <c r="D110" s="8" t="s">
        <v>591</v>
      </c>
      <c r="E110" s="5" t="s">
        <v>897</v>
      </c>
      <c r="F110" s="8" t="s">
        <v>917</v>
      </c>
      <c r="G110" s="5" t="str">
        <f t="shared" si="10"/>
        <v>KV DOOR 16MU</v>
      </c>
      <c r="H110" s="5" t="str">
        <f t="shared" si="11"/>
        <v>[%]</v>
      </c>
      <c r="I110" s="5" t="s">
        <v>2389</v>
      </c>
      <c r="J110" s="5" t="s">
        <v>2390</v>
      </c>
      <c r="L110" s="9"/>
      <c r="M110" s="5" t="s">
        <v>2785</v>
      </c>
      <c r="P110" s="16"/>
      <c r="Q110" s="17"/>
      <c r="R110" s="17"/>
      <c r="S110" s="18"/>
      <c r="T110" s="18"/>
      <c r="U110" s="17"/>
      <c r="V110" s="18"/>
      <c r="W110" s="17"/>
      <c r="X110" s="17"/>
      <c r="Y110" s="17"/>
      <c r="Z110" s="17"/>
      <c r="AA110" s="17"/>
      <c r="AB110" s="18"/>
      <c r="AC110" s="17"/>
      <c r="AD110" s="17"/>
    </row>
    <row r="111" spans="1:30" ht="25.5">
      <c r="A111" s="6">
        <f>ROW()</f>
        <v>111</v>
      </c>
      <c r="B111" s="7" t="s">
        <v>111</v>
      </c>
      <c r="C111" s="5" t="s">
        <v>468</v>
      </c>
      <c r="D111" s="8" t="s">
        <v>592</v>
      </c>
      <c r="E111" s="5" t="s">
        <v>897</v>
      </c>
      <c r="F111" s="8" t="s">
        <v>917</v>
      </c>
      <c r="G111" s="5" t="str">
        <f t="shared" si="10"/>
        <v>KV DOOR 2MU</v>
      </c>
      <c r="H111" s="5" t="str">
        <f t="shared" si="11"/>
        <v>[%]</v>
      </c>
      <c r="I111" s="5" t="s">
        <v>2389</v>
      </c>
      <c r="J111" s="5" t="s">
        <v>2390</v>
      </c>
      <c r="L111" s="9"/>
      <c r="M111" s="5" t="s">
        <v>2786</v>
      </c>
      <c r="P111" s="16"/>
      <c r="Q111" s="17"/>
      <c r="R111" s="17"/>
      <c r="S111" s="18"/>
      <c r="T111" s="18"/>
      <c r="U111" s="17"/>
      <c r="V111" s="18"/>
      <c r="W111" s="17"/>
      <c r="X111" s="17"/>
      <c r="Y111" s="17"/>
      <c r="Z111" s="17"/>
      <c r="AA111" s="17"/>
      <c r="AB111" s="18"/>
      <c r="AC111" s="17"/>
      <c r="AD111" s="17"/>
    </row>
    <row r="112" spans="1:30" ht="25.5">
      <c r="A112" s="6">
        <f>ROW()</f>
        <v>112</v>
      </c>
      <c r="B112" s="7" t="s">
        <v>112</v>
      </c>
      <c r="C112" s="5" t="s">
        <v>472</v>
      </c>
      <c r="D112" s="8" t="s">
        <v>593</v>
      </c>
      <c r="E112" s="5" t="s">
        <v>897</v>
      </c>
      <c r="F112" s="8" t="s">
        <v>916</v>
      </c>
      <c r="G112" s="5" t="str">
        <f t="shared" si="10"/>
        <v>KV D70</v>
      </c>
      <c r="H112" s="5" t="str">
        <f t="shared" si="11"/>
        <v>[mu]</v>
      </c>
      <c r="I112" s="5" t="s">
        <v>2389</v>
      </c>
      <c r="J112" s="5" t="s">
        <v>2390</v>
      </c>
      <c r="L112" s="9"/>
      <c r="M112" s="5" t="s">
        <v>2787</v>
      </c>
      <c r="P112" s="16"/>
      <c r="Q112" s="17"/>
      <c r="R112" s="17"/>
      <c r="S112" s="18"/>
      <c r="T112" s="18"/>
      <c r="U112" s="17"/>
      <c r="V112" s="18"/>
      <c r="W112" s="17"/>
      <c r="X112" s="17"/>
      <c r="Y112" s="17"/>
      <c r="Z112" s="17"/>
      <c r="AA112" s="17"/>
      <c r="AB112" s="18"/>
      <c r="AC112" s="17"/>
      <c r="AD112" s="17"/>
    </row>
    <row r="113" spans="1:30" ht="25.5">
      <c r="A113" s="6">
        <f>ROW()</f>
        <v>113</v>
      </c>
      <c r="B113" s="7" t="s">
        <v>113</v>
      </c>
      <c r="C113" s="5" t="s">
        <v>472</v>
      </c>
      <c r="D113" s="8" t="s">
        <v>594</v>
      </c>
      <c r="E113" s="5" t="s">
        <v>897</v>
      </c>
      <c r="F113" s="8" t="s">
        <v>916</v>
      </c>
      <c r="G113" s="5" t="str">
        <f t="shared" si="10"/>
        <v>KV D60</v>
      </c>
      <c r="H113" s="5" t="str">
        <f t="shared" si="11"/>
        <v>[mu]</v>
      </c>
      <c r="I113" s="5" t="s">
        <v>2389</v>
      </c>
      <c r="J113" s="5" t="s">
        <v>2390</v>
      </c>
      <c r="L113" s="9"/>
      <c r="M113" s="5" t="s">
        <v>2711</v>
      </c>
      <c r="P113" s="16"/>
      <c r="Q113" s="17"/>
      <c r="R113" s="17"/>
      <c r="S113" s="18"/>
      <c r="T113" s="18"/>
      <c r="U113" s="17"/>
      <c r="V113" s="18"/>
      <c r="W113" s="17"/>
      <c r="X113" s="17"/>
      <c r="Y113" s="17"/>
      <c r="Z113" s="17"/>
      <c r="AA113" s="17"/>
      <c r="AB113" s="18"/>
      <c r="AC113" s="17"/>
      <c r="AD113" s="17"/>
    </row>
    <row r="114" spans="1:30" ht="25.5">
      <c r="A114" s="6">
        <f>ROW()</f>
        <v>114</v>
      </c>
      <c r="B114" s="7" t="s">
        <v>114</v>
      </c>
      <c r="C114" s="5" t="s">
        <v>472</v>
      </c>
      <c r="D114" s="8" t="s">
        <v>595</v>
      </c>
      <c r="E114" s="5" t="s">
        <v>897</v>
      </c>
      <c r="F114" s="8" t="s">
        <v>916</v>
      </c>
      <c r="G114" s="5" t="str">
        <f t="shared" si="10"/>
        <v>KV D50</v>
      </c>
      <c r="H114" s="5" t="str">
        <f t="shared" si="11"/>
        <v>[mu]</v>
      </c>
      <c r="I114" s="5" t="s">
        <v>2389</v>
      </c>
      <c r="J114" s="5" t="s">
        <v>2390</v>
      </c>
      <c r="L114" s="9"/>
      <c r="M114" s="5" t="s">
        <v>2788</v>
      </c>
      <c r="P114" s="16"/>
      <c r="Q114" s="17"/>
      <c r="R114" s="17"/>
      <c r="S114" s="18"/>
      <c r="T114" s="18"/>
      <c r="U114" s="17"/>
      <c r="V114" s="18"/>
      <c r="W114" s="17"/>
      <c r="X114" s="17"/>
      <c r="Y114" s="17"/>
      <c r="Z114" s="17"/>
      <c r="AA114" s="17"/>
      <c r="AB114" s="18"/>
      <c r="AC114" s="17"/>
      <c r="AD114" s="17"/>
    </row>
    <row r="115" spans="1:30" ht="25.5">
      <c r="A115" s="6">
        <f>ROW()</f>
        <v>115</v>
      </c>
      <c r="B115" s="7" t="s">
        <v>115</v>
      </c>
      <c r="C115" s="5" t="s">
        <v>472</v>
      </c>
      <c r="D115" s="8" t="s">
        <v>596</v>
      </c>
      <c r="E115" s="5" t="s">
        <v>897</v>
      </c>
      <c r="F115" s="8" t="s">
        <v>916</v>
      </c>
      <c r="G115" s="5" t="str">
        <f t="shared" si="10"/>
        <v>KV D10</v>
      </c>
      <c r="H115" s="5" t="str">
        <f t="shared" si="11"/>
        <v>[mu]</v>
      </c>
      <c r="I115" s="5" t="s">
        <v>2389</v>
      </c>
      <c r="J115" s="5" t="s">
        <v>2390</v>
      </c>
      <c r="L115" s="9"/>
      <c r="M115" s="5" t="s">
        <v>2789</v>
      </c>
      <c r="P115" s="16"/>
      <c r="Q115" s="17"/>
      <c r="R115" s="17"/>
      <c r="S115" s="18"/>
      <c r="T115" s="18"/>
      <c r="U115" s="17"/>
      <c r="V115" s="18"/>
      <c r="W115" s="17"/>
      <c r="X115" s="17"/>
      <c r="Y115" s="17"/>
      <c r="Z115" s="17"/>
      <c r="AA115" s="17"/>
      <c r="AB115" s="18"/>
      <c r="AC115" s="17"/>
      <c r="AD115" s="17"/>
    </row>
    <row r="116" spans="1:30" ht="25.5">
      <c r="A116" s="6">
        <f>ROW()</f>
        <v>116</v>
      </c>
      <c r="B116" s="7" t="s">
        <v>116</v>
      </c>
      <c r="C116" s="5" t="s">
        <v>463</v>
      </c>
      <c r="D116" s="8" t="s">
        <v>597</v>
      </c>
      <c r="E116" s="5" t="s">
        <v>897</v>
      </c>
      <c r="F116" s="12" t="s">
        <v>918</v>
      </c>
      <c r="G116" s="5" t="str">
        <f t="shared" si="10"/>
        <v>KV CU ZAND</v>
      </c>
      <c r="H116" s="5" t="str">
        <f t="shared" si="11"/>
        <v>[-]</v>
      </c>
      <c r="I116" s="5" t="s">
        <v>2389</v>
      </c>
      <c r="J116" s="5" t="s">
        <v>2390</v>
      </c>
      <c r="L116" s="9"/>
      <c r="M116" s="5" t="s">
        <v>2790</v>
      </c>
      <c r="P116" s="16"/>
      <c r="Q116" s="17"/>
      <c r="R116" s="17"/>
      <c r="S116" s="18"/>
      <c r="T116" s="18"/>
      <c r="U116" s="17"/>
      <c r="V116" s="20"/>
      <c r="W116" s="17"/>
      <c r="X116" s="17"/>
      <c r="Y116" s="17"/>
      <c r="Z116" s="17"/>
      <c r="AA116" s="17"/>
      <c r="AB116" s="18"/>
      <c r="AC116" s="17"/>
      <c r="AD116" s="17"/>
    </row>
    <row r="117" spans="1:30" ht="38.25">
      <c r="A117" s="6">
        <f>ROW()</f>
        <v>117</v>
      </c>
      <c r="B117" s="7" t="s">
        <v>117</v>
      </c>
      <c r="C117" s="5" t="s">
        <v>463</v>
      </c>
      <c r="D117" s="8" t="s">
        <v>598</v>
      </c>
      <c r="E117" s="5" t="s">
        <v>896</v>
      </c>
      <c r="G117" s="5" t="str">
        <f t="shared" si="10"/>
        <v>CPT FILENAAM PDF</v>
      </c>
      <c r="H117" s="5" t="str">
        <f t="shared" si="11"/>
        <v>[-]</v>
      </c>
      <c r="I117" s="5" t="s">
        <v>2421</v>
      </c>
      <c r="J117" s="5" t="s">
        <v>2422</v>
      </c>
      <c r="L117" s="9"/>
      <c r="M117" s="5" t="s">
        <v>2711</v>
      </c>
      <c r="P117" s="16"/>
      <c r="Q117" s="17"/>
      <c r="R117" s="17"/>
      <c r="S117" s="18"/>
      <c r="T117" s="18"/>
      <c r="U117" s="17"/>
      <c r="V117" s="18"/>
      <c r="W117" s="17"/>
      <c r="X117" s="17"/>
      <c r="Y117" s="17"/>
      <c r="Z117" s="17"/>
      <c r="AA117" s="17"/>
      <c r="AB117" s="18"/>
      <c r="AC117" s="17"/>
      <c r="AD117" s="17"/>
    </row>
    <row r="118" spans="1:30" ht="38.25">
      <c r="A118" s="6">
        <f>ROW()</f>
        <v>118</v>
      </c>
      <c r="B118" s="7" t="s">
        <v>118</v>
      </c>
      <c r="C118" s="5" t="s">
        <v>463</v>
      </c>
      <c r="D118" s="8" t="s">
        <v>598</v>
      </c>
      <c r="E118" s="5" t="s">
        <v>896</v>
      </c>
      <c r="G118" s="5" t="str">
        <f t="shared" si="10"/>
        <v>CPT FILENAAM GEF</v>
      </c>
      <c r="H118" s="5" t="str">
        <f t="shared" si="11"/>
        <v>[-]</v>
      </c>
      <c r="I118" s="5" t="s">
        <v>2421</v>
      </c>
      <c r="J118" s="5" t="s">
        <v>2422</v>
      </c>
      <c r="L118" s="9"/>
      <c r="M118" s="5" t="s">
        <v>2711</v>
      </c>
      <c r="P118" s="16"/>
      <c r="Q118" s="17"/>
      <c r="R118" s="17"/>
      <c r="S118" s="18"/>
      <c r="T118" s="18"/>
      <c r="U118" s="17"/>
      <c r="V118" s="18"/>
      <c r="W118" s="17"/>
      <c r="X118" s="17"/>
      <c r="Y118" s="17"/>
      <c r="Z118" s="17"/>
      <c r="AA118" s="17"/>
      <c r="AB118" s="18"/>
      <c r="AC118" s="17"/>
      <c r="AD118" s="17"/>
    </row>
    <row r="119" spans="1:30" ht="63.75">
      <c r="A119" s="6">
        <f>ROW()</f>
        <v>119</v>
      </c>
      <c r="B119" s="7" t="s">
        <v>119</v>
      </c>
      <c r="C119" s="5" t="s">
        <v>465</v>
      </c>
      <c r="D119" s="8" t="s">
        <v>599</v>
      </c>
      <c r="E119" s="5" t="s">
        <v>897</v>
      </c>
      <c r="F119" s="11" t="s">
        <v>907</v>
      </c>
      <c r="G119" s="5" t="str">
        <f t="shared" si="10"/>
        <v>CPT NIVEAU</v>
      </c>
      <c r="H119" s="5" t="str">
        <f t="shared" si="11"/>
        <v>[m NAP]</v>
      </c>
      <c r="I119" s="5" t="s">
        <v>2421</v>
      </c>
      <c r="J119" s="5" t="s">
        <v>2422</v>
      </c>
      <c r="L119" s="9"/>
      <c r="M119" s="5" t="s">
        <v>2711</v>
      </c>
      <c r="P119" s="16"/>
      <c r="Q119" s="17"/>
      <c r="R119" s="17"/>
      <c r="S119" s="18"/>
      <c r="T119" s="18"/>
      <c r="U119" s="17"/>
      <c r="V119" s="19"/>
      <c r="W119" s="17"/>
      <c r="X119" s="17"/>
      <c r="Y119" s="17"/>
      <c r="Z119" s="17"/>
      <c r="AA119" s="17"/>
      <c r="AB119" s="18"/>
      <c r="AC119" s="17"/>
      <c r="AD119" s="17"/>
    </row>
    <row r="120" spans="1:30">
      <c r="A120" s="6">
        <f>ROW()</f>
        <v>120</v>
      </c>
      <c r="B120" s="7" t="s">
        <v>120</v>
      </c>
      <c r="C120" s="5" t="s">
        <v>473</v>
      </c>
      <c r="D120" s="8" t="s">
        <v>600</v>
      </c>
      <c r="E120" s="5" t="s">
        <v>897</v>
      </c>
      <c r="G120" s="5" t="str">
        <f t="shared" si="10"/>
        <v>CPT TRAJECTLENGTE GEM</v>
      </c>
      <c r="H120" s="5" t="str">
        <f t="shared" si="11"/>
        <v>[cm]</v>
      </c>
      <c r="I120" s="5" t="s">
        <v>2421</v>
      </c>
      <c r="J120" s="5" t="s">
        <v>2422</v>
      </c>
      <c r="L120" s="9"/>
      <c r="M120" s="5" t="s">
        <v>2711</v>
      </c>
      <c r="P120" s="16"/>
      <c r="Q120" s="17"/>
      <c r="R120" s="17"/>
      <c r="S120" s="18"/>
      <c r="T120" s="18"/>
      <c r="U120" s="17"/>
      <c r="V120" s="18"/>
      <c r="W120" s="17"/>
      <c r="X120" s="17"/>
      <c r="Y120" s="17"/>
      <c r="Z120" s="17"/>
      <c r="AA120" s="17"/>
      <c r="AB120" s="18"/>
      <c r="AC120" s="17"/>
      <c r="AD120" s="17"/>
    </row>
    <row r="121" spans="1:30" ht="38.25">
      <c r="A121" s="6">
        <f>ROW()</f>
        <v>121</v>
      </c>
      <c r="B121" s="7" t="s">
        <v>121</v>
      </c>
      <c r="C121" s="5" t="s">
        <v>470</v>
      </c>
      <c r="D121" s="8" t="s">
        <v>601</v>
      </c>
      <c r="E121" s="5" t="s">
        <v>897</v>
      </c>
      <c r="F121" s="11" t="s">
        <v>919</v>
      </c>
      <c r="G121" s="5" t="str">
        <f t="shared" si="10"/>
        <v>CPT CONUSWEERSTAND GEM</v>
      </c>
      <c r="H121" s="5" t="str">
        <f t="shared" si="11"/>
        <v>[kPa]</v>
      </c>
      <c r="I121" s="5" t="s">
        <v>2421</v>
      </c>
      <c r="J121" s="5" t="s">
        <v>2422</v>
      </c>
      <c r="L121" s="9"/>
      <c r="M121" s="5" t="s">
        <v>2791</v>
      </c>
      <c r="P121" s="16"/>
      <c r="Q121" s="17"/>
      <c r="R121" s="17"/>
      <c r="S121" s="18"/>
      <c r="T121" s="18"/>
      <c r="U121" s="17"/>
      <c r="V121" s="19"/>
      <c r="W121" s="17"/>
      <c r="X121" s="17"/>
      <c r="Y121" s="17"/>
      <c r="Z121" s="17"/>
      <c r="AA121" s="17"/>
      <c r="AB121" s="18"/>
      <c r="AC121" s="17"/>
      <c r="AD121" s="17"/>
    </row>
    <row r="122" spans="1:30" ht="38.25">
      <c r="A122" s="6">
        <f>ROW()</f>
        <v>122</v>
      </c>
      <c r="B122" s="7" t="s">
        <v>122</v>
      </c>
      <c r="C122" s="5" t="s">
        <v>470</v>
      </c>
      <c r="D122" s="8" t="s">
        <v>602</v>
      </c>
      <c r="E122" s="5" t="s">
        <v>897</v>
      </c>
      <c r="F122" s="8" t="s">
        <v>920</v>
      </c>
      <c r="G122" s="5" t="str">
        <f t="shared" si="10"/>
        <v>CPT WRIJVINGSWEERSTAND GEM</v>
      </c>
      <c r="H122" s="5" t="str">
        <f t="shared" si="11"/>
        <v>[kPa]</v>
      </c>
      <c r="I122" s="5" t="s">
        <v>2421</v>
      </c>
      <c r="J122" s="5" t="s">
        <v>2422</v>
      </c>
      <c r="L122" s="9"/>
      <c r="M122" s="5" t="s">
        <v>2711</v>
      </c>
      <c r="P122" s="16"/>
      <c r="Q122" s="17"/>
      <c r="R122" s="17"/>
      <c r="S122" s="18"/>
      <c r="T122" s="18"/>
      <c r="U122" s="17"/>
      <c r="V122" s="18"/>
      <c r="W122" s="17"/>
      <c r="X122" s="17"/>
      <c r="Y122" s="17"/>
      <c r="Z122" s="17"/>
      <c r="AA122" s="17"/>
      <c r="AB122" s="18"/>
      <c r="AC122" s="17"/>
      <c r="AD122" s="17"/>
    </row>
    <row r="123" spans="1:30" ht="51">
      <c r="A123" s="6">
        <f>ROW()</f>
        <v>123</v>
      </c>
      <c r="B123" s="7" t="s">
        <v>123</v>
      </c>
      <c r="C123" s="5" t="s">
        <v>463</v>
      </c>
      <c r="D123" s="8" t="s">
        <v>603</v>
      </c>
      <c r="E123" s="5" t="s">
        <v>897</v>
      </c>
      <c r="F123" s="8" t="s">
        <v>921</v>
      </c>
      <c r="G123" s="5" t="str">
        <f t="shared" si="10"/>
        <v>CPT WRIJVINGSGETAL GEM</v>
      </c>
      <c r="H123" s="5" t="str">
        <f t="shared" si="11"/>
        <v>[-]</v>
      </c>
      <c r="I123" s="5" t="s">
        <v>2421</v>
      </c>
      <c r="J123" s="5" t="s">
        <v>2422</v>
      </c>
      <c r="L123" s="9"/>
      <c r="M123" s="5" t="s">
        <v>2711</v>
      </c>
      <c r="P123" s="16"/>
      <c r="Q123" s="17"/>
      <c r="R123" s="17"/>
      <c r="S123" s="18"/>
      <c r="T123" s="18"/>
      <c r="U123" s="17"/>
      <c r="V123" s="18"/>
      <c r="W123" s="17"/>
      <c r="X123" s="17"/>
      <c r="Y123" s="17"/>
      <c r="Z123" s="17"/>
      <c r="AA123" s="17"/>
      <c r="AB123" s="18"/>
      <c r="AC123" s="17"/>
      <c r="AD123" s="17"/>
    </row>
    <row r="124" spans="1:30" ht="38.25">
      <c r="A124" s="6">
        <f>ROW()</f>
        <v>124</v>
      </c>
      <c r="B124" s="7" t="s">
        <v>124</v>
      </c>
      <c r="C124" s="5" t="s">
        <v>470</v>
      </c>
      <c r="D124" s="8" t="s">
        <v>604</v>
      </c>
      <c r="E124" s="5" t="s">
        <v>897</v>
      </c>
      <c r="F124" s="8" t="s">
        <v>922</v>
      </c>
      <c r="G124" s="5" t="str">
        <f t="shared" si="10"/>
        <v>CPT WATERSPANNING GEM</v>
      </c>
      <c r="H124" s="5" t="str">
        <f t="shared" si="11"/>
        <v>[kPa]</v>
      </c>
      <c r="I124" s="5" t="s">
        <v>2421</v>
      </c>
      <c r="J124" s="5" t="s">
        <v>2422</v>
      </c>
      <c r="L124" s="9"/>
      <c r="M124" s="5" t="s">
        <v>2711</v>
      </c>
      <c r="P124" s="16"/>
      <c r="Q124" s="17"/>
      <c r="R124" s="17"/>
      <c r="S124" s="18"/>
      <c r="T124" s="18"/>
      <c r="U124" s="17"/>
      <c r="V124" s="18"/>
      <c r="W124" s="17"/>
      <c r="X124" s="17"/>
      <c r="Y124" s="17"/>
      <c r="Z124" s="17"/>
      <c r="AA124" s="17"/>
      <c r="AB124" s="18"/>
      <c r="AC124" s="17"/>
      <c r="AD124" s="17"/>
    </row>
    <row r="125" spans="1:30">
      <c r="A125" s="6">
        <f>ROW()</f>
        <v>125</v>
      </c>
      <c r="B125" s="7" t="s">
        <v>125</v>
      </c>
      <c r="C125" s="5" t="s">
        <v>470</v>
      </c>
      <c r="D125" s="10" t="s">
        <v>605</v>
      </c>
      <c r="E125" s="5" t="s">
        <v>897</v>
      </c>
      <c r="G125" s="5" t="str">
        <f t="shared" si="10"/>
        <v>CPT QNET</v>
      </c>
      <c r="H125" s="5" t="str">
        <f t="shared" si="11"/>
        <v>[kPa]</v>
      </c>
      <c r="I125" s="5" t="s">
        <v>2421</v>
      </c>
      <c r="J125" s="5" t="s">
        <v>2422</v>
      </c>
      <c r="L125" s="9"/>
      <c r="M125" s="5" t="s">
        <v>2792</v>
      </c>
      <c r="P125" s="16"/>
      <c r="Q125" s="17"/>
      <c r="R125" s="17"/>
      <c r="S125" s="18"/>
      <c r="T125" s="18"/>
      <c r="U125" s="17"/>
      <c r="V125" s="18"/>
      <c r="W125" s="17"/>
      <c r="X125" s="17"/>
      <c r="Y125" s="17"/>
      <c r="Z125" s="17"/>
      <c r="AA125" s="17"/>
      <c r="AB125" s="18"/>
      <c r="AC125" s="17"/>
      <c r="AD125" s="17"/>
    </row>
    <row r="126" spans="1:30" ht="25.5">
      <c r="A126" s="6">
        <f>ROW()</f>
        <v>126</v>
      </c>
      <c r="B126" s="7" t="s">
        <v>126</v>
      </c>
      <c r="C126" s="5" t="s">
        <v>470</v>
      </c>
      <c r="D126" s="10" t="s">
        <v>606</v>
      </c>
      <c r="E126" s="5" t="s">
        <v>897</v>
      </c>
      <c r="G126" s="5" t="str">
        <f t="shared" si="10"/>
        <v>CPT QT</v>
      </c>
      <c r="H126" s="5" t="str">
        <f t="shared" si="11"/>
        <v>[kPa]</v>
      </c>
      <c r="I126" s="5" t="s">
        <v>2421</v>
      </c>
      <c r="J126" s="5" t="s">
        <v>2422</v>
      </c>
      <c r="L126" s="9"/>
      <c r="M126" s="5" t="s">
        <v>2793</v>
      </c>
      <c r="P126" s="16"/>
      <c r="Q126" s="17"/>
      <c r="R126" s="17"/>
      <c r="S126" s="18"/>
      <c r="T126" s="18"/>
      <c r="U126" s="17"/>
      <c r="V126" s="18"/>
      <c r="W126" s="17"/>
      <c r="X126" s="17"/>
      <c r="Y126" s="17"/>
      <c r="Z126" s="17"/>
      <c r="AA126" s="17"/>
      <c r="AB126" s="18"/>
      <c r="AC126" s="17"/>
      <c r="AD126" s="17"/>
    </row>
    <row r="127" spans="1:30">
      <c r="A127" s="6">
        <f>ROW()</f>
        <v>127</v>
      </c>
      <c r="B127" s="7" t="s">
        <v>127</v>
      </c>
      <c r="C127" s="5" t="s">
        <v>470</v>
      </c>
      <c r="D127" s="10" t="s">
        <v>607</v>
      </c>
      <c r="E127" s="5" t="s">
        <v>897</v>
      </c>
      <c r="G127" s="5" t="str">
        <f t="shared" si="10"/>
        <v>CPT VO</v>
      </c>
      <c r="H127" s="5" t="str">
        <f t="shared" si="11"/>
        <v>[kPa]</v>
      </c>
      <c r="I127" s="5" t="s">
        <v>2421</v>
      </c>
      <c r="J127" s="5" t="s">
        <v>2422</v>
      </c>
      <c r="L127" s="9"/>
      <c r="M127" s="5" t="s">
        <v>2794</v>
      </c>
      <c r="P127" s="16"/>
      <c r="Q127" s="17"/>
      <c r="R127" s="17"/>
      <c r="S127" s="18"/>
      <c r="T127" s="18"/>
      <c r="U127" s="17"/>
      <c r="V127" s="18"/>
      <c r="W127" s="17"/>
      <c r="X127" s="17"/>
      <c r="Y127" s="17"/>
      <c r="Z127" s="17"/>
      <c r="AA127" s="17"/>
      <c r="AB127" s="18"/>
      <c r="AC127" s="17"/>
      <c r="AD127" s="17"/>
    </row>
    <row r="128" spans="1:30">
      <c r="A128" s="6">
        <f>ROW()</f>
        <v>128</v>
      </c>
      <c r="B128" s="7" t="s">
        <v>128</v>
      </c>
      <c r="C128" s="5" t="s">
        <v>463</v>
      </c>
      <c r="D128" s="10" t="s">
        <v>608</v>
      </c>
      <c r="E128" s="5" t="s">
        <v>897</v>
      </c>
      <c r="G128" s="5" t="str">
        <f t="shared" si="10"/>
        <v>CPT KLASSE</v>
      </c>
      <c r="H128" s="5" t="str">
        <f t="shared" si="11"/>
        <v>[-]</v>
      </c>
      <c r="I128" s="5" t="s">
        <v>2421</v>
      </c>
      <c r="J128" s="5" t="s">
        <v>2422</v>
      </c>
      <c r="L128" s="9"/>
      <c r="M128" s="5" t="s">
        <v>2795</v>
      </c>
      <c r="P128" s="16"/>
      <c r="Q128" s="17"/>
      <c r="R128" s="17"/>
      <c r="S128" s="18"/>
      <c r="T128" s="18"/>
      <c r="U128" s="17"/>
      <c r="V128" s="18"/>
      <c r="W128" s="18"/>
      <c r="X128" s="17"/>
      <c r="Y128" s="17"/>
      <c r="Z128" s="17"/>
      <c r="AA128" s="17"/>
      <c r="AB128" s="18"/>
      <c r="AC128" s="17"/>
      <c r="AD128" s="17"/>
    </row>
    <row r="129" spans="1:30">
      <c r="A129" s="6">
        <f>ROW()</f>
        <v>129</v>
      </c>
      <c r="B129" s="7" t="s">
        <v>129</v>
      </c>
      <c r="C129" s="5" t="s">
        <v>463</v>
      </c>
      <c r="D129" s="10" t="s">
        <v>609</v>
      </c>
      <c r="E129" s="5" t="s">
        <v>897</v>
      </c>
      <c r="G129" s="5" t="str">
        <f t="shared" si="10"/>
        <v>CPT A FACTOR</v>
      </c>
      <c r="H129" s="5" t="str">
        <f t="shared" si="11"/>
        <v>[-]</v>
      </c>
      <c r="I129" s="5" t="s">
        <v>2421</v>
      </c>
      <c r="J129" s="5" t="s">
        <v>2422</v>
      </c>
      <c r="L129" s="9"/>
      <c r="M129" s="5" t="s">
        <v>2796</v>
      </c>
      <c r="P129" s="16"/>
      <c r="Q129" s="17"/>
      <c r="R129" s="17"/>
      <c r="S129" s="18"/>
      <c r="T129" s="18"/>
      <c r="U129" s="17"/>
      <c r="V129" s="18"/>
      <c r="W129" s="18"/>
      <c r="X129" s="17"/>
      <c r="Y129" s="17"/>
      <c r="Z129" s="17"/>
      <c r="AA129" s="17"/>
      <c r="AB129" s="18"/>
      <c r="AC129" s="17"/>
      <c r="AD129" s="17"/>
    </row>
    <row r="130" spans="1:30">
      <c r="A130" s="6">
        <f>ROW()</f>
        <v>130</v>
      </c>
      <c r="B130" s="7" t="s">
        <v>130</v>
      </c>
      <c r="C130" s="5" t="s">
        <v>470</v>
      </c>
      <c r="D130" s="10" t="s">
        <v>610</v>
      </c>
      <c r="E130" s="5" t="s">
        <v>897</v>
      </c>
      <c r="G130" s="5" t="str">
        <f t="shared" si="10"/>
        <v>CPT QBALL</v>
      </c>
      <c r="H130" s="5" t="str">
        <f t="shared" si="11"/>
        <v>[kPa]</v>
      </c>
      <c r="I130" s="5" t="s">
        <v>2421</v>
      </c>
      <c r="J130" s="5" t="s">
        <v>2422</v>
      </c>
      <c r="L130" s="9"/>
      <c r="M130" s="5" t="s">
        <v>2797</v>
      </c>
      <c r="P130" s="16"/>
      <c r="Q130" s="17"/>
      <c r="R130" s="17"/>
      <c r="S130" s="18"/>
      <c r="T130" s="18"/>
      <c r="U130" s="17"/>
      <c r="V130" s="18"/>
      <c r="W130" s="18"/>
      <c r="X130" s="17"/>
      <c r="Y130" s="17"/>
      <c r="Z130" s="17"/>
      <c r="AA130" s="17"/>
      <c r="AB130" s="18"/>
      <c r="AC130" s="17"/>
      <c r="AD130" s="17"/>
    </row>
    <row r="131" spans="1:30">
      <c r="A131" s="6">
        <f>ROW()</f>
        <v>131</v>
      </c>
      <c r="B131" s="7" t="s">
        <v>131</v>
      </c>
      <c r="C131" s="5" t="s">
        <v>463</v>
      </c>
      <c r="D131" s="8" t="s">
        <v>611</v>
      </c>
      <c r="E131" s="5" t="s">
        <v>896</v>
      </c>
      <c r="G131" s="5" t="str">
        <f t="shared" si="10"/>
        <v>CRS FILENAAM PDF</v>
      </c>
      <c r="H131" s="5" t="str">
        <f t="shared" si="11"/>
        <v>[-]</v>
      </c>
      <c r="I131" s="5" t="s">
        <v>2432</v>
      </c>
      <c r="J131" s="5" t="s">
        <v>2433</v>
      </c>
      <c r="L131" s="9"/>
      <c r="M131" s="5" t="s">
        <v>2798</v>
      </c>
      <c r="P131" s="16"/>
      <c r="Q131" s="17"/>
      <c r="R131" s="17"/>
      <c r="S131" s="18"/>
      <c r="T131" s="18"/>
      <c r="U131" s="17"/>
      <c r="V131" s="18"/>
      <c r="W131" s="17"/>
      <c r="X131" s="17"/>
      <c r="Y131" s="17"/>
      <c r="Z131" s="17"/>
      <c r="AA131" s="17"/>
      <c r="AB131" s="18"/>
      <c r="AC131" s="17"/>
      <c r="AD131" s="17"/>
    </row>
    <row r="132" spans="1:30" ht="25.5">
      <c r="A132" s="6">
        <f>ROW()</f>
        <v>132</v>
      </c>
      <c r="B132" s="5" t="s">
        <v>132</v>
      </c>
      <c r="C132" s="5" t="s">
        <v>463</v>
      </c>
      <c r="D132" s="8" t="s">
        <v>612</v>
      </c>
      <c r="E132" s="5" t="s">
        <v>896</v>
      </c>
      <c r="G132" s="5" t="str">
        <f t="shared" si="10"/>
        <v>CRS FILENAAM SPANNINGSPAD</v>
      </c>
      <c r="H132" s="5" t="str">
        <f t="shared" si="11"/>
        <v>[-]</v>
      </c>
      <c r="I132" s="5" t="s">
        <v>2432</v>
      </c>
      <c r="J132" s="5" t="s">
        <v>2433</v>
      </c>
      <c r="L132" s="9"/>
      <c r="M132" s="5" t="s">
        <v>2711</v>
      </c>
      <c r="P132" s="16"/>
      <c r="Q132" s="17"/>
      <c r="R132" s="17"/>
      <c r="S132" s="18"/>
      <c r="T132" s="18"/>
      <c r="U132" s="17"/>
      <c r="V132" s="18"/>
      <c r="W132" s="17"/>
      <c r="X132" s="17"/>
      <c r="Y132" s="17"/>
      <c r="Z132" s="17"/>
      <c r="AA132" s="17"/>
      <c r="AB132" s="18"/>
      <c r="AC132" s="17"/>
      <c r="AD132" s="17"/>
    </row>
    <row r="133" spans="1:30">
      <c r="A133" s="6">
        <f>ROW()</f>
        <v>133</v>
      </c>
      <c r="B133" s="7" t="s">
        <v>133</v>
      </c>
      <c r="C133" s="5" t="s">
        <v>463</v>
      </c>
      <c r="D133" s="8" t="s">
        <v>613</v>
      </c>
      <c r="E133" s="5" t="s">
        <v>896</v>
      </c>
      <c r="G133" s="5" t="str">
        <f t="shared" si="10"/>
        <v>CRS MONSTERID</v>
      </c>
      <c r="H133" s="5" t="str">
        <f t="shared" si="11"/>
        <v>[-]</v>
      </c>
      <c r="I133" s="5" t="s">
        <v>2432</v>
      </c>
      <c r="J133" s="5" t="s">
        <v>2433</v>
      </c>
      <c r="L133" s="9"/>
      <c r="M133" s="5" t="s">
        <v>2799</v>
      </c>
      <c r="P133" s="16"/>
      <c r="Q133" s="17"/>
      <c r="R133" s="17"/>
      <c r="S133" s="18"/>
      <c r="T133" s="18"/>
      <c r="U133" s="17"/>
      <c r="V133" s="18"/>
      <c r="W133" s="17"/>
      <c r="X133" s="17"/>
      <c r="Y133" s="17"/>
      <c r="Z133" s="17"/>
      <c r="AA133" s="17"/>
      <c r="AB133" s="18"/>
      <c r="AC133" s="17"/>
      <c r="AD133" s="17"/>
    </row>
    <row r="134" spans="1:30">
      <c r="A134" s="6">
        <f>ROW()</f>
        <v>134</v>
      </c>
      <c r="B134" s="7" t="s">
        <v>134</v>
      </c>
      <c r="C134" s="5" t="s">
        <v>463</v>
      </c>
      <c r="D134" s="8" t="s">
        <v>614</v>
      </c>
      <c r="E134" s="5" t="s">
        <v>896</v>
      </c>
      <c r="G134" s="5" t="str">
        <f t="shared" ref="G134:G136" si="14">SUBSTITUTE(B134,"_"," ")</f>
        <v>CRS LABORATORIUM</v>
      </c>
      <c r="H134" s="5" t="str">
        <f t="shared" ref="H134:H136" si="15">CONCATENATE("[",C134,"]")</f>
        <v>[-]</v>
      </c>
      <c r="I134" s="5" t="s">
        <v>2432</v>
      </c>
      <c r="J134" s="5" t="s">
        <v>2433</v>
      </c>
      <c r="L134" s="9"/>
      <c r="M134" s="5" t="s">
        <v>2800</v>
      </c>
      <c r="P134" s="16"/>
      <c r="Q134" s="17"/>
      <c r="R134" s="17"/>
      <c r="S134" s="18"/>
      <c r="T134" s="18"/>
      <c r="U134" s="17"/>
      <c r="V134" s="18"/>
      <c r="W134" s="17"/>
      <c r="X134" s="17"/>
      <c r="Y134" s="17"/>
      <c r="Z134" s="17"/>
      <c r="AA134" s="17"/>
      <c r="AB134" s="18"/>
      <c r="AC134" s="17"/>
      <c r="AD134" s="17"/>
    </row>
    <row r="135" spans="1:30">
      <c r="A135" s="6">
        <f>ROW()</f>
        <v>135</v>
      </c>
      <c r="B135" s="7" t="s">
        <v>135</v>
      </c>
      <c r="C135" s="5" t="s">
        <v>463</v>
      </c>
      <c r="D135" s="8" t="s">
        <v>615</v>
      </c>
      <c r="E135" s="5" t="s">
        <v>896</v>
      </c>
      <c r="G135" s="5" t="str">
        <f t="shared" si="14"/>
        <v>CRS NORM</v>
      </c>
      <c r="H135" s="5" t="str">
        <f t="shared" si="15"/>
        <v>[-]</v>
      </c>
      <c r="I135" s="5" t="s">
        <v>2432</v>
      </c>
      <c r="J135" s="5" t="s">
        <v>2433</v>
      </c>
      <c r="L135" s="9"/>
      <c r="M135" s="5" t="s">
        <v>2801</v>
      </c>
      <c r="P135" s="16"/>
      <c r="Q135" s="17"/>
      <c r="R135" s="17"/>
      <c r="S135" s="18"/>
      <c r="T135" s="18"/>
      <c r="U135" s="17"/>
      <c r="V135" s="18"/>
      <c r="W135" s="17"/>
      <c r="X135" s="17"/>
      <c r="Y135" s="17"/>
      <c r="Z135" s="17"/>
      <c r="AA135" s="17"/>
      <c r="AB135" s="18"/>
      <c r="AC135" s="17"/>
      <c r="AD135" s="17"/>
    </row>
    <row r="136" spans="1:30">
      <c r="A136" s="6">
        <f>ROW()</f>
        <v>136</v>
      </c>
      <c r="B136" s="7" t="s">
        <v>136</v>
      </c>
      <c r="C136" s="5" t="s">
        <v>466</v>
      </c>
      <c r="D136" s="8" t="s">
        <v>616</v>
      </c>
      <c r="E136" s="5" t="s">
        <v>898</v>
      </c>
      <c r="G136" s="5" t="str">
        <f t="shared" si="14"/>
        <v>CRS DATUM</v>
      </c>
      <c r="H136" s="5" t="str">
        <f t="shared" si="15"/>
        <v>[DD-MM-JJJJ]</v>
      </c>
      <c r="I136" s="5" t="s">
        <v>2432</v>
      </c>
      <c r="J136" s="5" t="s">
        <v>2433</v>
      </c>
      <c r="L136" s="9"/>
      <c r="M136" s="5" t="s">
        <v>2802</v>
      </c>
      <c r="P136" s="16"/>
      <c r="Q136" s="17"/>
      <c r="R136" s="17"/>
      <c r="S136" s="18"/>
      <c r="T136" s="18"/>
      <c r="U136" s="17"/>
      <c r="V136" s="18"/>
      <c r="W136" s="17"/>
      <c r="X136" s="17"/>
      <c r="Y136" s="17"/>
      <c r="Z136" s="17"/>
      <c r="AA136" s="17"/>
      <c r="AB136" s="18"/>
      <c r="AC136" s="17"/>
      <c r="AD136" s="17"/>
    </row>
    <row r="137" spans="1:30">
      <c r="A137" s="6">
        <f>ROW()</f>
        <v>137</v>
      </c>
      <c r="B137" s="7" t="s">
        <v>2803</v>
      </c>
      <c r="C137" s="5" t="s">
        <v>463</v>
      </c>
      <c r="D137" s="8" t="s">
        <v>532</v>
      </c>
      <c r="E137" s="5" t="s">
        <v>896</v>
      </c>
      <c r="G137" s="5" t="str">
        <f t="shared" si="10"/>
        <v>CRS CLASSIFICATIE</v>
      </c>
      <c r="H137" s="5" t="str">
        <f t="shared" si="11"/>
        <v>[-]</v>
      </c>
      <c r="I137" s="5" t="s">
        <v>2432</v>
      </c>
      <c r="J137" s="5" t="s">
        <v>2433</v>
      </c>
      <c r="L137" s="9"/>
      <c r="M137" s="5" t="s">
        <v>2804</v>
      </c>
      <c r="P137" s="16"/>
      <c r="Q137" s="17"/>
      <c r="R137" s="17"/>
      <c r="S137" s="18"/>
      <c r="T137" s="18"/>
      <c r="U137" s="17"/>
      <c r="V137" s="18"/>
      <c r="W137" s="17"/>
      <c r="X137" s="17"/>
      <c r="Y137" s="17"/>
      <c r="Z137" s="17"/>
      <c r="AA137" s="17"/>
      <c r="AB137" s="18"/>
      <c r="AC137" s="17"/>
      <c r="AD137" s="17"/>
    </row>
    <row r="138" spans="1:30" ht="25.5">
      <c r="A138" s="6">
        <f>ROW()</f>
        <v>138</v>
      </c>
      <c r="B138" s="5" t="s">
        <v>2805</v>
      </c>
      <c r="C138" s="5" t="s">
        <v>463</v>
      </c>
      <c r="D138" s="8" t="s">
        <v>533</v>
      </c>
      <c r="E138" s="5" t="s">
        <v>896</v>
      </c>
      <c r="G138" s="5" t="str">
        <f t="shared" si="10"/>
        <v>CRS CLASSIFICATIE BIJMENGING</v>
      </c>
      <c r="H138" s="5" t="str">
        <f t="shared" si="11"/>
        <v>[-]</v>
      </c>
      <c r="I138" s="5" t="s">
        <v>2432</v>
      </c>
      <c r="J138" s="5" t="s">
        <v>2433</v>
      </c>
      <c r="L138" s="9"/>
      <c r="M138" s="5" t="s">
        <v>2711</v>
      </c>
      <c r="P138" s="16"/>
      <c r="Q138" s="17"/>
      <c r="R138" s="17"/>
      <c r="S138" s="18"/>
      <c r="T138" s="18"/>
      <c r="U138" s="17"/>
      <c r="V138" s="18"/>
      <c r="W138" s="17"/>
      <c r="X138" s="17"/>
      <c r="Y138" s="17"/>
      <c r="Z138" s="17"/>
      <c r="AA138" s="17"/>
      <c r="AB138" s="18"/>
      <c r="AC138" s="17"/>
      <c r="AD138" s="17"/>
    </row>
    <row r="139" spans="1:30">
      <c r="A139" s="6">
        <f>ROW()</f>
        <v>139</v>
      </c>
      <c r="B139" s="7" t="s">
        <v>139</v>
      </c>
      <c r="C139" s="5" t="s">
        <v>465</v>
      </c>
      <c r="D139" s="8" t="s">
        <v>617</v>
      </c>
      <c r="E139" s="5" t="s">
        <v>897</v>
      </c>
      <c r="F139" s="11" t="s">
        <v>907</v>
      </c>
      <c r="G139" s="5" t="str">
        <f t="shared" ref="G139:G200" si="16">SUBSTITUTE(B139,"_"," ")</f>
        <v>CRS MONSTERNIVEAU</v>
      </c>
      <c r="H139" s="5" t="str">
        <f t="shared" ref="H139:H200" si="17">CONCATENATE("[",C139,"]")</f>
        <v>[m NAP]</v>
      </c>
      <c r="I139" s="5" t="s">
        <v>2432</v>
      </c>
      <c r="J139" s="5" t="s">
        <v>2433</v>
      </c>
      <c r="L139" s="9"/>
      <c r="M139" s="5" t="s">
        <v>2806</v>
      </c>
      <c r="P139" s="16"/>
      <c r="Q139" s="17"/>
      <c r="R139" s="17"/>
      <c r="S139" s="18"/>
      <c r="T139" s="18"/>
      <c r="U139" s="17"/>
      <c r="V139" s="19"/>
      <c r="W139" s="17"/>
      <c r="X139" s="17"/>
      <c r="Y139" s="17"/>
      <c r="Z139" s="17"/>
      <c r="AA139" s="17"/>
      <c r="AB139" s="18"/>
      <c r="AC139" s="17"/>
      <c r="AD139" s="17"/>
    </row>
    <row r="140" spans="1:30" ht="25.5">
      <c r="A140" s="6">
        <f>ROW()</f>
        <v>140</v>
      </c>
      <c r="B140" s="7" t="s">
        <v>140</v>
      </c>
      <c r="C140" s="5" t="s">
        <v>470</v>
      </c>
      <c r="D140" s="8" t="s">
        <v>618</v>
      </c>
      <c r="E140" s="5" t="s">
        <v>897</v>
      </c>
      <c r="G140" s="5" t="str">
        <f t="shared" si="16"/>
        <v>CRS TERREINSPANNING</v>
      </c>
      <c r="H140" s="5" t="str">
        <f t="shared" si="17"/>
        <v>[kPa]</v>
      </c>
      <c r="I140" s="5" t="s">
        <v>2432</v>
      </c>
      <c r="J140" s="5" t="s">
        <v>2433</v>
      </c>
      <c r="L140" s="9"/>
      <c r="M140" s="5" t="s">
        <v>2807</v>
      </c>
      <c r="P140" s="16"/>
      <c r="Q140" s="17"/>
      <c r="R140" s="17"/>
      <c r="S140" s="18"/>
      <c r="T140" s="18"/>
      <c r="U140" s="17"/>
      <c r="V140" s="18"/>
      <c r="W140" s="17"/>
      <c r="X140" s="17"/>
      <c r="Y140" s="17"/>
      <c r="Z140" s="17"/>
      <c r="AA140" s="17"/>
      <c r="AB140" s="18"/>
      <c r="AC140" s="17"/>
      <c r="AD140" s="17"/>
    </row>
    <row r="141" spans="1:30" ht="25.5">
      <c r="A141" s="6">
        <f>ROW()</f>
        <v>141</v>
      </c>
      <c r="B141" s="7" t="s">
        <v>141</v>
      </c>
      <c r="C141" s="5" t="s">
        <v>467</v>
      </c>
      <c r="D141" s="8" t="s">
        <v>619</v>
      </c>
      <c r="E141" s="5" t="s">
        <v>897</v>
      </c>
      <c r="F141" s="11" t="s">
        <v>908</v>
      </c>
      <c r="G141" s="5" t="str">
        <f t="shared" si="16"/>
        <v>CRS VOLUMEGEWICHT NAT</v>
      </c>
      <c r="H141" s="5" t="str">
        <f t="shared" si="17"/>
        <v>[kN/m3]</v>
      </c>
      <c r="I141" s="5" t="s">
        <v>2432</v>
      </c>
      <c r="J141" s="5" t="s">
        <v>2433</v>
      </c>
      <c r="L141" s="9"/>
      <c r="M141" s="5" t="s">
        <v>2808</v>
      </c>
      <c r="P141" s="16"/>
      <c r="Q141" s="17"/>
      <c r="R141" s="17"/>
      <c r="S141" s="18"/>
      <c r="T141" s="18"/>
      <c r="U141" s="17"/>
      <c r="V141" s="19"/>
      <c r="W141" s="17"/>
      <c r="X141" s="17"/>
      <c r="Y141" s="17"/>
      <c r="Z141" s="17"/>
      <c r="AA141" s="17"/>
      <c r="AB141" s="18"/>
      <c r="AC141" s="17"/>
      <c r="AD141" s="17"/>
    </row>
    <row r="142" spans="1:30" ht="25.5">
      <c r="A142" s="6">
        <f>ROW()</f>
        <v>142</v>
      </c>
      <c r="B142" s="7" t="s">
        <v>142</v>
      </c>
      <c r="C142" s="5" t="s">
        <v>467</v>
      </c>
      <c r="D142" s="8" t="s">
        <v>620</v>
      </c>
      <c r="E142" s="5" t="s">
        <v>897</v>
      </c>
      <c r="F142" s="11" t="s">
        <v>909</v>
      </c>
      <c r="G142" s="5" t="str">
        <f t="shared" si="16"/>
        <v>CRS VOLUMEGEWICHT DRG</v>
      </c>
      <c r="H142" s="5" t="str">
        <f t="shared" si="17"/>
        <v>[kN/m3]</v>
      </c>
      <c r="I142" s="5" t="s">
        <v>2432</v>
      </c>
      <c r="J142" s="5" t="s">
        <v>2433</v>
      </c>
      <c r="L142" s="9"/>
      <c r="M142" s="5" t="s">
        <v>2809</v>
      </c>
      <c r="P142" s="16"/>
      <c r="Q142" s="17"/>
      <c r="R142" s="17"/>
      <c r="S142" s="18"/>
      <c r="T142" s="18"/>
      <c r="U142" s="17"/>
      <c r="V142" s="19"/>
      <c r="W142" s="17"/>
      <c r="X142" s="17"/>
      <c r="Y142" s="17"/>
      <c r="Z142" s="17"/>
      <c r="AA142" s="17"/>
      <c r="AB142" s="18"/>
      <c r="AC142" s="17"/>
      <c r="AD142" s="17"/>
    </row>
    <row r="143" spans="1:30" ht="25.5">
      <c r="A143" s="6">
        <f>ROW()</f>
        <v>143</v>
      </c>
      <c r="B143" s="7" t="s">
        <v>143</v>
      </c>
      <c r="C143" s="5" t="s">
        <v>468</v>
      </c>
      <c r="D143" s="8" t="s">
        <v>621</v>
      </c>
      <c r="E143" s="5" t="s">
        <v>897</v>
      </c>
      <c r="F143" s="11" t="s">
        <v>910</v>
      </c>
      <c r="G143" s="5" t="str">
        <f t="shared" si="16"/>
        <v>CRS WATERGEHALTE VOOR</v>
      </c>
      <c r="H143" s="5" t="str">
        <f t="shared" si="17"/>
        <v>[%]</v>
      </c>
      <c r="I143" s="5" t="s">
        <v>2432</v>
      </c>
      <c r="J143" s="5" t="s">
        <v>2433</v>
      </c>
      <c r="L143" s="9"/>
      <c r="M143" s="5" t="s">
        <v>2810</v>
      </c>
      <c r="P143" s="16"/>
      <c r="Q143" s="17"/>
      <c r="R143" s="17"/>
      <c r="S143" s="18"/>
      <c r="T143" s="18"/>
      <c r="U143" s="17"/>
      <c r="V143" s="19"/>
      <c r="W143" s="17"/>
      <c r="X143" s="17"/>
      <c r="Y143" s="17"/>
      <c r="Z143" s="17"/>
      <c r="AA143" s="17"/>
      <c r="AB143" s="18"/>
      <c r="AC143" s="17"/>
      <c r="AD143" s="17"/>
    </row>
    <row r="144" spans="1:30" ht="25.5">
      <c r="A144" s="6">
        <f>ROW()</f>
        <v>144</v>
      </c>
      <c r="B144" s="7" t="s">
        <v>144</v>
      </c>
      <c r="C144" s="5" t="s">
        <v>468</v>
      </c>
      <c r="D144" s="8" t="s">
        <v>622</v>
      </c>
      <c r="E144" s="5" t="s">
        <v>897</v>
      </c>
      <c r="F144" s="11" t="s">
        <v>910</v>
      </c>
      <c r="G144" s="5" t="str">
        <f t="shared" si="16"/>
        <v>CRS WATERGEHALTE NA PROEF</v>
      </c>
      <c r="H144" s="5" t="str">
        <f t="shared" si="17"/>
        <v>[%]</v>
      </c>
      <c r="I144" s="5" t="s">
        <v>2432</v>
      </c>
      <c r="J144" s="5" t="s">
        <v>2433</v>
      </c>
      <c r="L144" s="9"/>
      <c r="M144" s="5" t="s">
        <v>2811</v>
      </c>
      <c r="P144" s="16"/>
      <c r="Q144" s="17"/>
      <c r="R144" s="17"/>
      <c r="S144" s="18"/>
      <c r="T144" s="18"/>
      <c r="U144" s="17"/>
      <c r="V144" s="19"/>
      <c r="W144" s="17"/>
      <c r="X144" s="17"/>
      <c r="Y144" s="17"/>
      <c r="Z144" s="17"/>
      <c r="AA144" s="17"/>
      <c r="AB144" s="18"/>
      <c r="AC144" s="17"/>
      <c r="AD144" s="17"/>
    </row>
    <row r="145" spans="1:30">
      <c r="A145" s="6">
        <f>ROW()</f>
        <v>145</v>
      </c>
      <c r="B145" s="7" t="s">
        <v>145</v>
      </c>
      <c r="C145" s="5" t="s">
        <v>470</v>
      </c>
      <c r="D145" s="8" t="s">
        <v>623</v>
      </c>
      <c r="E145" s="5" t="s">
        <v>897</v>
      </c>
      <c r="F145" s="8" t="s">
        <v>911</v>
      </c>
      <c r="G145" s="5" t="str">
        <f t="shared" si="16"/>
        <v>CRS VERZADIGING</v>
      </c>
      <c r="H145" s="5" t="str">
        <f t="shared" si="17"/>
        <v>[kPa]</v>
      </c>
      <c r="I145" s="5" t="s">
        <v>2432</v>
      </c>
      <c r="J145" s="5" t="s">
        <v>2433</v>
      </c>
      <c r="L145" s="9"/>
      <c r="M145" s="5" t="s">
        <v>2812</v>
      </c>
      <c r="P145" s="16"/>
      <c r="Q145" s="17"/>
      <c r="R145" s="17"/>
      <c r="S145" s="18"/>
      <c r="T145" s="18"/>
      <c r="U145" s="17"/>
      <c r="V145" s="18"/>
      <c r="W145" s="17"/>
      <c r="X145" s="17"/>
      <c r="Y145" s="17"/>
      <c r="Z145" s="17"/>
      <c r="AA145" s="17"/>
      <c r="AB145" s="18"/>
      <c r="AC145" s="17"/>
      <c r="AD145" s="17"/>
    </row>
    <row r="146" spans="1:30" ht="25.5">
      <c r="A146" s="6">
        <f>ROW()</f>
        <v>146</v>
      </c>
      <c r="B146" s="7" t="s">
        <v>146</v>
      </c>
      <c r="C146" s="5" t="s">
        <v>474</v>
      </c>
      <c r="D146" s="8" t="s">
        <v>624</v>
      </c>
      <c r="E146" s="5" t="s">
        <v>897</v>
      </c>
      <c r="F146" s="8" t="s">
        <v>923</v>
      </c>
      <c r="G146" s="5" t="str">
        <f t="shared" si="16"/>
        <v>CRS TEMPERATUUR PROEF MAX</v>
      </c>
      <c r="H146" s="5" t="str">
        <f t="shared" si="17"/>
        <v>[°C]</v>
      </c>
      <c r="I146" s="5" t="s">
        <v>2432</v>
      </c>
      <c r="J146" s="5" t="s">
        <v>2433</v>
      </c>
      <c r="L146" s="9"/>
      <c r="M146" s="5" t="s">
        <v>2813</v>
      </c>
      <c r="P146" s="16"/>
      <c r="Q146" s="17"/>
      <c r="R146" s="17"/>
      <c r="S146" s="18"/>
      <c r="T146" s="18"/>
      <c r="U146" s="17"/>
      <c r="V146" s="18"/>
      <c r="W146" s="17"/>
      <c r="X146" s="17"/>
      <c r="Y146" s="17"/>
      <c r="Z146" s="17"/>
      <c r="AA146" s="17"/>
      <c r="AB146" s="18"/>
      <c r="AC146" s="17"/>
      <c r="AD146" s="17"/>
    </row>
    <row r="147" spans="1:30" ht="25.5">
      <c r="A147" s="6">
        <f>ROW()</f>
        <v>147</v>
      </c>
      <c r="B147" s="7" t="s">
        <v>147</v>
      </c>
      <c r="C147" s="5" t="s">
        <v>474</v>
      </c>
      <c r="D147" s="8" t="s">
        <v>625</v>
      </c>
      <c r="E147" s="5" t="s">
        <v>897</v>
      </c>
      <c r="F147" s="8" t="s">
        <v>923</v>
      </c>
      <c r="G147" s="5" t="str">
        <f t="shared" si="16"/>
        <v>CRS TEMPERATUUR PROEF MIN</v>
      </c>
      <c r="H147" s="5" t="str">
        <f t="shared" si="17"/>
        <v>[°C]</v>
      </c>
      <c r="I147" s="5" t="s">
        <v>2432</v>
      </c>
      <c r="J147" s="5" t="s">
        <v>2433</v>
      </c>
      <c r="L147" s="9"/>
      <c r="M147" s="5" t="s">
        <v>2814</v>
      </c>
      <c r="P147" s="16"/>
      <c r="Q147" s="17"/>
      <c r="R147" s="17"/>
      <c r="S147" s="18"/>
      <c r="T147" s="18"/>
      <c r="U147" s="17"/>
      <c r="V147" s="18"/>
      <c r="W147" s="17"/>
      <c r="X147" s="17"/>
      <c r="Y147" s="17"/>
      <c r="Z147" s="17"/>
      <c r="AA147" s="17"/>
      <c r="AB147" s="18"/>
      <c r="AC147" s="17"/>
      <c r="AD147" s="17"/>
    </row>
    <row r="148" spans="1:30" ht="25.5">
      <c r="A148" s="6">
        <f>ROW()</f>
        <v>148</v>
      </c>
      <c r="B148" s="7" t="s">
        <v>148</v>
      </c>
      <c r="C148" s="5" t="s">
        <v>475</v>
      </c>
      <c r="D148" s="8" t="s">
        <v>626</v>
      </c>
      <c r="E148" s="5" t="s">
        <v>897</v>
      </c>
      <c r="F148" s="8" t="s">
        <v>915</v>
      </c>
      <c r="G148" s="5" t="str">
        <f t="shared" si="16"/>
        <v>CRS PROEFSTUKDIAMETER VOOR</v>
      </c>
      <c r="H148" s="5" t="str">
        <f t="shared" si="17"/>
        <v>[mm]</v>
      </c>
      <c r="I148" s="5" t="s">
        <v>2432</v>
      </c>
      <c r="J148" s="5" t="s">
        <v>2433</v>
      </c>
      <c r="L148" s="9"/>
      <c r="M148" s="5" t="s">
        <v>2815</v>
      </c>
      <c r="P148" s="16"/>
      <c r="Q148" s="17"/>
      <c r="R148" s="17"/>
      <c r="S148" s="18"/>
      <c r="T148" s="18"/>
      <c r="U148" s="17"/>
      <c r="V148" s="18"/>
      <c r="W148" s="17"/>
      <c r="X148" s="17"/>
      <c r="Y148" s="17"/>
      <c r="Z148" s="17"/>
      <c r="AA148" s="17"/>
      <c r="AB148" s="18"/>
      <c r="AC148" s="17"/>
      <c r="AD148" s="17"/>
    </row>
    <row r="149" spans="1:30" ht="25.5">
      <c r="A149" s="6">
        <f>ROW()</f>
        <v>149</v>
      </c>
      <c r="B149" s="7" t="s">
        <v>149</v>
      </c>
      <c r="C149" s="5" t="s">
        <v>475</v>
      </c>
      <c r="D149" s="8" t="s">
        <v>627</v>
      </c>
      <c r="E149" s="5" t="s">
        <v>897</v>
      </c>
      <c r="F149" s="8" t="s">
        <v>915</v>
      </c>
      <c r="G149" s="5" t="str">
        <f t="shared" si="16"/>
        <v>CRS PROEFSTUKHOOGTE VOOR</v>
      </c>
      <c r="H149" s="5" t="str">
        <f t="shared" si="17"/>
        <v>[mm]</v>
      </c>
      <c r="I149" s="5" t="s">
        <v>2432</v>
      </c>
      <c r="J149" s="5" t="s">
        <v>2433</v>
      </c>
      <c r="L149" s="9"/>
      <c r="M149" s="5" t="s">
        <v>2816</v>
      </c>
      <c r="P149" s="16"/>
      <c r="Q149" s="17"/>
      <c r="R149" s="17"/>
      <c r="S149" s="18"/>
      <c r="T149" s="18"/>
      <c r="U149" s="17"/>
      <c r="V149" s="18"/>
      <c r="W149" s="17"/>
      <c r="X149" s="17"/>
      <c r="Y149" s="17"/>
      <c r="Z149" s="17"/>
      <c r="AA149" s="17"/>
      <c r="AB149" s="18"/>
      <c r="AC149" s="17"/>
      <c r="AD149" s="17"/>
    </row>
    <row r="150" spans="1:30" ht="25.5">
      <c r="A150" s="6">
        <f>ROW()</f>
        <v>150</v>
      </c>
      <c r="B150" s="7" t="s">
        <v>150</v>
      </c>
      <c r="C150" s="5" t="s">
        <v>475</v>
      </c>
      <c r="D150" s="8" t="s">
        <v>628</v>
      </c>
      <c r="E150" s="5" t="s">
        <v>897</v>
      </c>
      <c r="F150" s="8" t="s">
        <v>915</v>
      </c>
      <c r="G150" s="5" t="str">
        <f t="shared" si="16"/>
        <v>CRS PROEFSTUKHOOGTE NA VERZADIGING</v>
      </c>
      <c r="H150" s="5" t="str">
        <f t="shared" si="17"/>
        <v>[mm]</v>
      </c>
      <c r="I150" s="5" t="s">
        <v>2432</v>
      </c>
      <c r="J150" s="5" t="s">
        <v>2433</v>
      </c>
      <c r="L150" s="9"/>
      <c r="M150" s="5" t="s">
        <v>2817</v>
      </c>
      <c r="P150" s="16"/>
      <c r="Q150" s="17"/>
      <c r="R150" s="17"/>
      <c r="S150" s="18"/>
      <c r="T150" s="18"/>
      <c r="U150" s="17"/>
      <c r="V150" s="18"/>
      <c r="W150" s="17"/>
      <c r="X150" s="17"/>
      <c r="Y150" s="17"/>
      <c r="Z150" s="17"/>
      <c r="AA150" s="17"/>
      <c r="AB150" s="18"/>
      <c r="AC150" s="17"/>
      <c r="AD150" s="17"/>
    </row>
    <row r="151" spans="1:30" ht="25.5">
      <c r="A151" s="6">
        <f>ROW()</f>
        <v>151</v>
      </c>
      <c r="B151" s="7" t="s">
        <v>151</v>
      </c>
      <c r="C151" s="5" t="s">
        <v>475</v>
      </c>
      <c r="D151" s="8" t="s">
        <v>629</v>
      </c>
      <c r="E151" s="5" t="s">
        <v>897</v>
      </c>
      <c r="F151" s="8" t="s">
        <v>915</v>
      </c>
      <c r="G151" s="5" t="str">
        <f t="shared" si="16"/>
        <v>CRS PROEFSTUKHOOGTE NA PROEF</v>
      </c>
      <c r="H151" s="5" t="str">
        <f t="shared" si="17"/>
        <v>[mm]</v>
      </c>
      <c r="I151" s="5" t="s">
        <v>2432</v>
      </c>
      <c r="J151" s="5" t="s">
        <v>2433</v>
      </c>
      <c r="L151" s="9"/>
      <c r="M151" s="5" t="s">
        <v>2818</v>
      </c>
      <c r="P151" s="16"/>
      <c r="Q151" s="17"/>
      <c r="R151" s="17"/>
      <c r="S151" s="18"/>
      <c r="T151" s="18"/>
      <c r="U151" s="17"/>
      <c r="V151" s="18"/>
      <c r="W151" s="17"/>
      <c r="X151" s="17"/>
      <c r="Y151" s="17"/>
      <c r="Z151" s="17"/>
      <c r="AA151" s="17"/>
      <c r="AB151" s="18"/>
      <c r="AC151" s="17"/>
      <c r="AD151" s="17"/>
    </row>
    <row r="152" spans="1:30">
      <c r="A152" s="6">
        <f>ROW()</f>
        <v>152</v>
      </c>
      <c r="B152" s="7" t="s">
        <v>152</v>
      </c>
      <c r="C152" s="5" t="s">
        <v>476</v>
      </c>
      <c r="D152" s="8" t="s">
        <v>630</v>
      </c>
      <c r="E152" s="5" t="s">
        <v>897</v>
      </c>
      <c r="G152" s="5" t="str">
        <f t="shared" si="16"/>
        <v>CRS REKSNELHEID BELASTEN</v>
      </c>
      <c r="H152" s="5" t="str">
        <f t="shared" si="17"/>
        <v>[%/uur]</v>
      </c>
      <c r="I152" s="5" t="s">
        <v>2432</v>
      </c>
      <c r="J152" s="5" t="s">
        <v>2433</v>
      </c>
      <c r="L152" s="9"/>
      <c r="M152" s="5" t="s">
        <v>2819</v>
      </c>
      <c r="P152" s="16"/>
      <c r="Q152" s="17"/>
      <c r="R152" s="17"/>
      <c r="S152" s="18"/>
      <c r="T152" s="18"/>
      <c r="U152" s="17"/>
      <c r="V152" s="18"/>
      <c r="W152" s="17"/>
      <c r="X152" s="17"/>
      <c r="Y152" s="17"/>
      <c r="Z152" s="17"/>
      <c r="AA152" s="17"/>
      <c r="AB152" s="18"/>
      <c r="AC152" s="17"/>
      <c r="AD152" s="17"/>
    </row>
    <row r="153" spans="1:30">
      <c r="A153" s="6">
        <f>ROW()</f>
        <v>153</v>
      </c>
      <c r="B153" s="7" t="s">
        <v>153</v>
      </c>
      <c r="C153" s="5" t="s">
        <v>476</v>
      </c>
      <c r="D153" s="8" t="s">
        <v>631</v>
      </c>
      <c r="E153" s="5" t="s">
        <v>897</v>
      </c>
      <c r="G153" s="5" t="str">
        <f t="shared" si="16"/>
        <v>CRS REKSNELHEID ONTLASTEN</v>
      </c>
      <c r="H153" s="5" t="str">
        <f t="shared" si="17"/>
        <v>[%/uur]</v>
      </c>
      <c r="I153" s="5" t="s">
        <v>2432</v>
      </c>
      <c r="J153" s="5" t="s">
        <v>2433</v>
      </c>
      <c r="L153" s="9"/>
      <c r="M153" s="5" t="s">
        <v>2820</v>
      </c>
      <c r="P153" s="16"/>
      <c r="Q153" s="17"/>
      <c r="R153" s="17"/>
      <c r="S153" s="18"/>
      <c r="T153" s="18"/>
      <c r="U153" s="17"/>
      <c r="V153" s="18"/>
      <c r="W153" s="17"/>
      <c r="X153" s="17"/>
      <c r="Y153" s="17"/>
      <c r="Z153" s="17"/>
      <c r="AA153" s="17"/>
      <c r="AB153" s="18"/>
      <c r="AC153" s="17"/>
      <c r="AD153" s="17"/>
    </row>
    <row r="154" spans="1:30">
      <c r="A154" s="6">
        <f>ROW()</f>
        <v>154</v>
      </c>
      <c r="B154" s="7" t="s">
        <v>154</v>
      </c>
      <c r="C154" s="5" t="s">
        <v>477</v>
      </c>
      <c r="D154" s="8" t="s">
        <v>632</v>
      </c>
      <c r="E154" s="5" t="s">
        <v>897</v>
      </c>
      <c r="G154" s="5" t="str">
        <f t="shared" si="16"/>
        <v>CRS RELAXATIEDUUR</v>
      </c>
      <c r="H154" s="5" t="str">
        <f t="shared" si="17"/>
        <v>[uur]</v>
      </c>
      <c r="I154" s="5" t="s">
        <v>2432</v>
      </c>
      <c r="J154" s="5" t="s">
        <v>2433</v>
      </c>
      <c r="L154" s="9"/>
      <c r="M154" s="5" t="s">
        <v>2821</v>
      </c>
      <c r="P154" s="16"/>
      <c r="Q154" s="17"/>
      <c r="R154" s="17"/>
      <c r="S154" s="18"/>
      <c r="T154" s="18"/>
      <c r="U154" s="17"/>
      <c r="V154" s="18"/>
      <c r="W154" s="17"/>
      <c r="X154" s="17"/>
      <c r="Y154" s="17"/>
      <c r="Z154" s="17"/>
      <c r="AA154" s="17"/>
      <c r="AB154" s="18"/>
      <c r="AC154" s="17"/>
      <c r="AD154" s="17"/>
    </row>
    <row r="155" spans="1:30">
      <c r="A155" s="6">
        <f>ROW()</f>
        <v>155</v>
      </c>
      <c r="B155" s="7" t="s">
        <v>155</v>
      </c>
      <c r="C155" s="5" t="s">
        <v>470</v>
      </c>
      <c r="D155" s="8" t="s">
        <v>633</v>
      </c>
      <c r="E155" s="5" t="s">
        <v>897</v>
      </c>
      <c r="G155" s="5" t="str">
        <f t="shared" si="16"/>
        <v>CRS EFF SPANNING START RELAXATIE</v>
      </c>
      <c r="H155" s="5" t="str">
        <f t="shared" si="17"/>
        <v>[kPa]</v>
      </c>
      <c r="I155" s="5" t="s">
        <v>2432</v>
      </c>
      <c r="J155" s="5" t="s">
        <v>2433</v>
      </c>
      <c r="L155" s="9"/>
      <c r="M155" s="5" t="s">
        <v>2822</v>
      </c>
      <c r="P155" s="16"/>
      <c r="Q155" s="17"/>
      <c r="R155" s="17"/>
      <c r="S155" s="18"/>
      <c r="T155" s="18"/>
      <c r="U155" s="17"/>
      <c r="V155" s="18"/>
      <c r="W155" s="17"/>
      <c r="X155" s="17"/>
      <c r="Y155" s="17"/>
      <c r="Z155" s="17"/>
      <c r="AA155" s="17"/>
      <c r="AB155" s="18"/>
      <c r="AC155" s="17"/>
      <c r="AD155" s="17"/>
    </row>
    <row r="156" spans="1:30">
      <c r="A156" s="6">
        <f>ROW()</f>
        <v>156</v>
      </c>
      <c r="B156" s="7" t="s">
        <v>156</v>
      </c>
      <c r="C156" s="5" t="s">
        <v>470</v>
      </c>
      <c r="D156" s="8" t="s">
        <v>634</v>
      </c>
      <c r="E156" s="5" t="s">
        <v>897</v>
      </c>
      <c r="G156" s="5" t="str">
        <f t="shared" si="16"/>
        <v>CRS EFF SPANNING EIND RELAXATIE</v>
      </c>
      <c r="H156" s="5" t="str">
        <f t="shared" si="17"/>
        <v>[kPa]</v>
      </c>
      <c r="I156" s="5" t="s">
        <v>2432</v>
      </c>
      <c r="J156" s="5" t="s">
        <v>2433</v>
      </c>
      <c r="L156" s="9"/>
      <c r="M156" s="5" t="s">
        <v>2823</v>
      </c>
      <c r="P156" s="16"/>
      <c r="Q156" s="17"/>
      <c r="R156" s="17"/>
      <c r="S156" s="18"/>
      <c r="T156" s="18"/>
      <c r="U156" s="17"/>
      <c r="V156" s="18"/>
      <c r="W156" s="17"/>
      <c r="X156" s="17"/>
      <c r="Y156" s="17"/>
      <c r="Z156" s="17"/>
      <c r="AA156" s="17"/>
      <c r="AB156" s="18"/>
      <c r="AC156" s="17"/>
      <c r="AD156" s="17"/>
    </row>
    <row r="157" spans="1:30">
      <c r="A157" s="6">
        <f>ROW()</f>
        <v>157</v>
      </c>
      <c r="B157" s="7" t="s">
        <v>157</v>
      </c>
      <c r="C157" s="5" t="s">
        <v>470</v>
      </c>
      <c r="D157" s="8" t="s">
        <v>635</v>
      </c>
      <c r="E157" s="5" t="s">
        <v>897</v>
      </c>
      <c r="G157" s="5" t="str">
        <f t="shared" si="16"/>
        <v>CRS EFF VERT SPANNING START ONTLASTEN</v>
      </c>
      <c r="H157" s="5" t="str">
        <f t="shared" si="17"/>
        <v>[kPa]</v>
      </c>
      <c r="I157" s="5" t="s">
        <v>2432</v>
      </c>
      <c r="J157" s="5" t="s">
        <v>2433</v>
      </c>
      <c r="L157" s="9"/>
      <c r="M157" s="5" t="s">
        <v>2824</v>
      </c>
      <c r="P157" s="16"/>
      <c r="Q157" s="17"/>
      <c r="R157" s="17"/>
      <c r="S157" s="18"/>
      <c r="T157" s="18"/>
      <c r="U157" s="17"/>
      <c r="V157" s="18"/>
      <c r="W157" s="17"/>
      <c r="X157" s="17"/>
      <c r="Y157" s="17"/>
      <c r="Z157" s="17"/>
      <c r="AA157" s="17"/>
      <c r="AB157" s="18"/>
      <c r="AC157" s="17"/>
      <c r="AD157" s="17"/>
    </row>
    <row r="158" spans="1:30">
      <c r="A158" s="6">
        <f>ROW()</f>
        <v>158</v>
      </c>
      <c r="B158" s="7" t="s">
        <v>158</v>
      </c>
      <c r="C158" s="5" t="s">
        <v>470</v>
      </c>
      <c r="D158" s="8" t="s">
        <v>636</v>
      </c>
      <c r="E158" s="5" t="s">
        <v>897</v>
      </c>
      <c r="G158" s="5" t="str">
        <f t="shared" si="16"/>
        <v>CRS EFF VERT SPANNING EIND ONTLASTEN</v>
      </c>
      <c r="H158" s="5" t="str">
        <f t="shared" si="17"/>
        <v>[kPa]</v>
      </c>
      <c r="I158" s="5" t="s">
        <v>2432</v>
      </c>
      <c r="J158" s="5" t="s">
        <v>2433</v>
      </c>
      <c r="L158" s="9"/>
      <c r="M158" s="5" t="s">
        <v>2825</v>
      </c>
      <c r="P158" s="16"/>
      <c r="Q158" s="17"/>
      <c r="R158" s="17"/>
      <c r="S158" s="18"/>
      <c r="T158" s="18"/>
      <c r="U158" s="17"/>
      <c r="V158" s="18"/>
      <c r="W158" s="17"/>
      <c r="X158" s="17"/>
      <c r="Y158" s="17"/>
      <c r="Z158" s="17"/>
      <c r="AA158" s="17"/>
      <c r="AB158" s="18"/>
      <c r="AC158" s="17"/>
      <c r="AD158" s="17"/>
    </row>
    <row r="159" spans="1:30">
      <c r="A159" s="6">
        <f>ROW()</f>
        <v>159</v>
      </c>
      <c r="B159" s="7" t="s">
        <v>159</v>
      </c>
      <c r="C159" s="5" t="s">
        <v>470</v>
      </c>
      <c r="D159" s="8" t="s">
        <v>637</v>
      </c>
      <c r="E159" s="5" t="s">
        <v>897</v>
      </c>
      <c r="G159" s="5" t="str">
        <f t="shared" si="16"/>
        <v>CRS EFF VERT SPANNING EIND PROEF</v>
      </c>
      <c r="H159" s="5" t="str">
        <f t="shared" si="17"/>
        <v>[kPa]</v>
      </c>
      <c r="I159" s="5" t="s">
        <v>2432</v>
      </c>
      <c r="J159" s="5" t="s">
        <v>2433</v>
      </c>
      <c r="L159" s="9"/>
      <c r="M159" s="5" t="s">
        <v>2826</v>
      </c>
      <c r="P159" s="16"/>
      <c r="Q159" s="17"/>
      <c r="R159" s="17"/>
      <c r="S159" s="18"/>
      <c r="T159" s="18"/>
      <c r="U159" s="17"/>
      <c r="V159" s="18"/>
      <c r="W159" s="17"/>
      <c r="X159" s="17"/>
      <c r="Y159" s="17"/>
      <c r="Z159" s="17"/>
      <c r="AA159" s="17"/>
      <c r="AB159" s="18"/>
      <c r="AC159" s="17"/>
      <c r="AD159" s="17"/>
    </row>
    <row r="160" spans="1:30">
      <c r="A160" s="6">
        <f>ROW()</f>
        <v>160</v>
      </c>
      <c r="B160" s="7" t="s">
        <v>160</v>
      </c>
      <c r="C160" s="5" t="s">
        <v>463</v>
      </c>
      <c r="D160" s="8" t="s">
        <v>638</v>
      </c>
      <c r="E160" s="5" t="s">
        <v>897</v>
      </c>
      <c r="G160" s="5" t="str">
        <f t="shared" si="16"/>
        <v>CRS MAX REL WATEROVERSPANNING PROEF</v>
      </c>
      <c r="H160" s="5" t="str">
        <f t="shared" si="17"/>
        <v>[-]</v>
      </c>
      <c r="I160" s="5" t="s">
        <v>2432</v>
      </c>
      <c r="J160" s="5" t="s">
        <v>2433</v>
      </c>
      <c r="L160" s="9"/>
      <c r="M160" s="5" t="s">
        <v>2827</v>
      </c>
      <c r="P160" s="16"/>
      <c r="Q160" s="17"/>
      <c r="R160" s="17"/>
      <c r="S160" s="18"/>
      <c r="T160" s="18"/>
      <c r="U160" s="17"/>
      <c r="V160" s="18"/>
      <c r="W160" s="17"/>
      <c r="X160" s="17"/>
      <c r="Y160" s="17"/>
      <c r="Z160" s="17"/>
      <c r="AA160" s="17"/>
      <c r="AB160" s="18"/>
      <c r="AC160" s="17"/>
      <c r="AD160" s="17"/>
    </row>
    <row r="161" spans="1:30">
      <c r="A161" s="6">
        <f>ROW()</f>
        <v>161</v>
      </c>
      <c r="B161" s="7" t="s">
        <v>161</v>
      </c>
      <c r="C161" s="5" t="s">
        <v>470</v>
      </c>
      <c r="D161" s="8" t="s">
        <v>639</v>
      </c>
      <c r="E161" s="5" t="s">
        <v>897</v>
      </c>
      <c r="G161" s="5" t="str">
        <f t="shared" si="16"/>
        <v>CRS GRENSSPANNING A</v>
      </c>
      <c r="H161" s="5" t="str">
        <f t="shared" si="17"/>
        <v>[kPa]</v>
      </c>
      <c r="I161" s="5" t="s">
        <v>2432</v>
      </c>
      <c r="J161" s="5" t="s">
        <v>2433</v>
      </c>
      <c r="L161" s="9"/>
      <c r="M161" s="5" t="s">
        <v>2828</v>
      </c>
      <c r="P161" s="16"/>
      <c r="Q161" s="17"/>
      <c r="R161" s="17"/>
      <c r="S161" s="18"/>
      <c r="T161" s="18"/>
      <c r="U161" s="17"/>
      <c r="V161" s="18"/>
      <c r="W161" s="17"/>
      <c r="X161" s="17"/>
      <c r="Y161" s="17"/>
      <c r="Z161" s="17"/>
      <c r="AA161" s="17"/>
      <c r="AB161" s="18"/>
      <c r="AC161" s="17"/>
      <c r="AD161" s="17"/>
    </row>
    <row r="162" spans="1:30">
      <c r="A162" s="6">
        <f>ROW()</f>
        <v>162</v>
      </c>
      <c r="B162" s="7" t="s">
        <v>162</v>
      </c>
      <c r="C162" s="5" t="s">
        <v>468</v>
      </c>
      <c r="D162" s="8" t="s">
        <v>640</v>
      </c>
      <c r="E162" s="5" t="s">
        <v>897</v>
      </c>
      <c r="G162" s="5" t="str">
        <f t="shared" si="16"/>
        <v>CRS REK BIJ GRENSSPANNING A</v>
      </c>
      <c r="H162" s="5" t="str">
        <f t="shared" si="17"/>
        <v>[%]</v>
      </c>
      <c r="I162" s="5" t="s">
        <v>2432</v>
      </c>
      <c r="J162" s="5" t="s">
        <v>2433</v>
      </c>
      <c r="L162" s="9"/>
      <c r="M162" s="5" t="s">
        <v>2829</v>
      </c>
      <c r="P162" s="16"/>
      <c r="Q162" s="17"/>
      <c r="R162" s="17"/>
      <c r="S162" s="18"/>
      <c r="T162" s="18"/>
      <c r="U162" s="17"/>
      <c r="V162" s="18"/>
      <c r="W162" s="17"/>
      <c r="X162" s="17"/>
      <c r="Y162" s="17"/>
      <c r="Z162" s="17"/>
      <c r="AA162" s="17"/>
      <c r="AB162" s="18"/>
      <c r="AC162" s="17"/>
      <c r="AD162" s="17"/>
    </row>
    <row r="163" spans="1:30">
      <c r="A163" s="6">
        <f>ROW()</f>
        <v>163</v>
      </c>
      <c r="B163" s="7" t="s">
        <v>163</v>
      </c>
      <c r="C163" s="5" t="s">
        <v>470</v>
      </c>
      <c r="D163" s="8" t="s">
        <v>641</v>
      </c>
      <c r="E163" s="5" t="s">
        <v>897</v>
      </c>
      <c r="G163" s="5" t="str">
        <f t="shared" si="16"/>
        <v>CRS BOVENGRENS GRENSSPANNING B</v>
      </c>
      <c r="H163" s="5" t="str">
        <f t="shared" si="17"/>
        <v>[kPa]</v>
      </c>
      <c r="I163" s="5" t="s">
        <v>2432</v>
      </c>
      <c r="J163" s="5" t="s">
        <v>2433</v>
      </c>
      <c r="L163" s="9"/>
      <c r="M163" s="5" t="s">
        <v>2830</v>
      </c>
      <c r="P163" s="16"/>
      <c r="Q163" s="17"/>
      <c r="R163" s="17"/>
      <c r="S163" s="18"/>
      <c r="T163" s="18"/>
      <c r="U163" s="17"/>
      <c r="V163" s="18"/>
      <c r="W163" s="17"/>
      <c r="X163" s="17"/>
      <c r="Y163" s="17"/>
      <c r="Z163" s="17"/>
      <c r="AA163" s="17"/>
      <c r="AB163" s="18"/>
      <c r="AC163" s="17"/>
      <c r="AD163" s="17"/>
    </row>
    <row r="164" spans="1:30">
      <c r="A164" s="6">
        <f>ROW()</f>
        <v>164</v>
      </c>
      <c r="B164" s="7" t="s">
        <v>164</v>
      </c>
      <c r="C164" s="5" t="s">
        <v>463</v>
      </c>
      <c r="D164" s="8" t="s">
        <v>642</v>
      </c>
      <c r="E164" s="5" t="s">
        <v>897</v>
      </c>
      <c r="F164" s="8" t="s">
        <v>924</v>
      </c>
      <c r="G164" s="5" t="str">
        <f t="shared" si="16"/>
        <v>CRS ISOTACHE A</v>
      </c>
      <c r="H164" s="5" t="str">
        <f t="shared" si="17"/>
        <v>[-]</v>
      </c>
      <c r="I164" s="5" t="s">
        <v>2432</v>
      </c>
      <c r="J164" s="5" t="s">
        <v>2433</v>
      </c>
      <c r="L164" s="9"/>
      <c r="M164" s="5" t="s">
        <v>2831</v>
      </c>
      <c r="P164" s="16"/>
      <c r="Q164" s="17"/>
      <c r="R164" s="17"/>
      <c r="S164" s="18"/>
      <c r="T164" s="18"/>
      <c r="U164" s="17"/>
      <c r="V164" s="18"/>
      <c r="W164" s="17"/>
      <c r="X164" s="17"/>
      <c r="Y164" s="17"/>
      <c r="Z164" s="17"/>
      <c r="AA164" s="17"/>
      <c r="AB164" s="18"/>
      <c r="AC164" s="17"/>
      <c r="AD164" s="17"/>
    </row>
    <row r="165" spans="1:30">
      <c r="A165" s="6">
        <f>ROW()</f>
        <v>165</v>
      </c>
      <c r="B165" s="7" t="s">
        <v>165</v>
      </c>
      <c r="C165" s="5" t="s">
        <v>463</v>
      </c>
      <c r="D165" s="8" t="s">
        <v>643</v>
      </c>
      <c r="E165" s="5" t="s">
        <v>897</v>
      </c>
      <c r="F165" s="8" t="s">
        <v>924</v>
      </c>
      <c r="G165" s="5" t="str">
        <f t="shared" si="16"/>
        <v>CRS ISOTACHE B</v>
      </c>
      <c r="H165" s="5" t="str">
        <f t="shared" si="17"/>
        <v>[-]</v>
      </c>
      <c r="I165" s="5" t="s">
        <v>2432</v>
      </c>
      <c r="J165" s="5" t="s">
        <v>2433</v>
      </c>
      <c r="L165" s="9"/>
      <c r="M165" s="5" t="s">
        <v>2832</v>
      </c>
      <c r="P165" s="16"/>
      <c r="Q165" s="17"/>
      <c r="R165" s="17"/>
      <c r="S165" s="18"/>
      <c r="T165" s="18"/>
      <c r="U165" s="17"/>
      <c r="V165" s="18"/>
      <c r="W165" s="17"/>
      <c r="X165" s="17"/>
      <c r="Y165" s="17"/>
      <c r="Z165" s="17"/>
      <c r="AA165" s="17"/>
      <c r="AB165" s="18"/>
      <c r="AC165" s="17"/>
      <c r="AD165" s="17"/>
    </row>
    <row r="166" spans="1:30">
      <c r="A166" s="6">
        <f>ROW()</f>
        <v>166</v>
      </c>
      <c r="B166" s="7" t="s">
        <v>166</v>
      </c>
      <c r="C166" s="5" t="s">
        <v>463</v>
      </c>
      <c r="D166" s="8" t="s">
        <v>644</v>
      </c>
      <c r="E166" s="5" t="s">
        <v>897</v>
      </c>
      <c r="F166" s="8" t="s">
        <v>924</v>
      </c>
      <c r="G166" s="5" t="str">
        <f t="shared" si="16"/>
        <v>CRS ISOTACHE C</v>
      </c>
      <c r="H166" s="5" t="str">
        <f t="shared" si="17"/>
        <v>[-]</v>
      </c>
      <c r="I166" s="5" t="s">
        <v>2432</v>
      </c>
      <c r="J166" s="5" t="s">
        <v>2433</v>
      </c>
      <c r="L166" s="9"/>
      <c r="M166" s="5" t="s">
        <v>2833</v>
      </c>
      <c r="P166" s="16"/>
      <c r="Q166" s="17"/>
      <c r="R166" s="17"/>
      <c r="S166" s="18"/>
      <c r="T166" s="18"/>
      <c r="U166" s="17"/>
      <c r="V166" s="18"/>
      <c r="W166" s="17"/>
      <c r="X166" s="17"/>
      <c r="Y166" s="17"/>
      <c r="Z166" s="17"/>
      <c r="AA166" s="17"/>
      <c r="AB166" s="18"/>
      <c r="AC166" s="17"/>
      <c r="AD166" s="17"/>
    </row>
    <row r="167" spans="1:30" ht="25.5">
      <c r="A167" s="6">
        <f>ROW()</f>
        <v>167</v>
      </c>
      <c r="B167" s="7" t="s">
        <v>167</v>
      </c>
      <c r="C167" s="5" t="s">
        <v>463</v>
      </c>
      <c r="D167" s="8" t="s">
        <v>645</v>
      </c>
      <c r="E167" s="5" t="s">
        <v>896</v>
      </c>
      <c r="G167" s="5" t="str">
        <f t="shared" si="16"/>
        <v>SD FILENAAM PDF</v>
      </c>
      <c r="H167" s="5" t="str">
        <f t="shared" si="17"/>
        <v>[-]</v>
      </c>
      <c r="I167" s="5" t="s">
        <v>2462</v>
      </c>
      <c r="J167" s="5" t="s">
        <v>2463</v>
      </c>
      <c r="L167" s="9"/>
      <c r="M167" s="5" t="s">
        <v>2834</v>
      </c>
      <c r="P167" s="16"/>
      <c r="Q167" s="17"/>
      <c r="R167" s="17"/>
      <c r="S167" s="18"/>
      <c r="T167" s="18"/>
      <c r="U167" s="17"/>
      <c r="V167" s="18"/>
      <c r="W167" s="17"/>
      <c r="X167" s="17"/>
      <c r="Y167" s="17"/>
      <c r="Z167" s="17"/>
      <c r="AA167" s="17"/>
      <c r="AB167" s="18"/>
      <c r="AC167" s="17"/>
      <c r="AD167" s="17"/>
    </row>
    <row r="168" spans="1:30" ht="25.5">
      <c r="A168" s="6">
        <f>ROW()</f>
        <v>168</v>
      </c>
      <c r="B168" s="5" t="s">
        <v>168</v>
      </c>
      <c r="C168" s="5" t="s">
        <v>463</v>
      </c>
      <c r="D168" s="8" t="s">
        <v>612</v>
      </c>
      <c r="E168" s="5" t="s">
        <v>896</v>
      </c>
      <c r="G168" s="5" t="str">
        <f t="shared" si="16"/>
        <v>SD FILENAAM SPANNINGSPAD</v>
      </c>
      <c r="H168" s="5" t="str">
        <f t="shared" si="17"/>
        <v>[-]</v>
      </c>
      <c r="I168" s="5" t="s">
        <v>2462</v>
      </c>
      <c r="J168" s="5" t="s">
        <v>2463</v>
      </c>
      <c r="L168" s="9"/>
      <c r="M168" s="5" t="s">
        <v>2711</v>
      </c>
      <c r="P168" s="16"/>
      <c r="Q168" s="17"/>
      <c r="R168" s="17"/>
      <c r="S168" s="18"/>
      <c r="T168" s="18"/>
      <c r="U168" s="17"/>
      <c r="V168" s="18"/>
      <c r="W168" s="17"/>
      <c r="X168" s="17"/>
      <c r="Y168" s="17"/>
      <c r="Z168" s="17"/>
      <c r="AA168" s="17"/>
      <c r="AB168" s="18"/>
      <c r="AC168" s="17"/>
      <c r="AD168" s="17"/>
    </row>
    <row r="169" spans="1:30">
      <c r="A169" s="6">
        <f>ROW()</f>
        <v>169</v>
      </c>
      <c r="B169" s="7" t="s">
        <v>169</v>
      </c>
      <c r="C169" s="5" t="s">
        <v>463</v>
      </c>
      <c r="D169" s="8" t="s">
        <v>646</v>
      </c>
      <c r="E169" s="5" t="s">
        <v>896</v>
      </c>
      <c r="G169" s="5" t="str">
        <f t="shared" si="16"/>
        <v>SD MONSTERID</v>
      </c>
      <c r="H169" s="5" t="str">
        <f t="shared" si="17"/>
        <v>[-]</v>
      </c>
      <c r="I169" s="5" t="s">
        <v>2462</v>
      </c>
      <c r="J169" s="5" t="s">
        <v>2463</v>
      </c>
      <c r="L169" s="9"/>
      <c r="M169" s="5" t="s">
        <v>2835</v>
      </c>
      <c r="P169" s="16"/>
      <c r="Q169" s="17"/>
      <c r="R169" s="17"/>
      <c r="S169" s="18"/>
      <c r="T169" s="18"/>
      <c r="U169" s="17"/>
      <c r="V169" s="18"/>
      <c r="W169" s="17"/>
      <c r="X169" s="17"/>
      <c r="Y169" s="17"/>
      <c r="Z169" s="17"/>
      <c r="AA169" s="17"/>
      <c r="AB169" s="18"/>
      <c r="AC169" s="17"/>
      <c r="AD169" s="17"/>
    </row>
    <row r="170" spans="1:30">
      <c r="A170" s="6">
        <f>ROW()</f>
        <v>170</v>
      </c>
      <c r="B170" s="7" t="s">
        <v>170</v>
      </c>
      <c r="C170" s="5" t="s">
        <v>463</v>
      </c>
      <c r="D170" s="8" t="s">
        <v>647</v>
      </c>
      <c r="E170" s="5" t="s">
        <v>896</v>
      </c>
      <c r="G170" s="5" t="str">
        <f t="shared" ref="G170:G172" si="18">SUBSTITUTE(B170,"_"," ")</f>
        <v>SD LABORATORIUM</v>
      </c>
      <c r="H170" s="5" t="str">
        <f t="shared" ref="H170:H172" si="19">CONCATENATE("[",C170,"]")</f>
        <v>[-]</v>
      </c>
      <c r="I170" s="5" t="s">
        <v>2462</v>
      </c>
      <c r="J170" s="5" t="s">
        <v>2463</v>
      </c>
      <c r="L170" s="9"/>
      <c r="M170" s="5" t="s">
        <v>2836</v>
      </c>
      <c r="P170" s="16"/>
      <c r="Q170" s="17"/>
      <c r="R170" s="17"/>
      <c r="S170" s="18"/>
      <c r="T170" s="18"/>
      <c r="U170" s="17"/>
      <c r="V170" s="18"/>
      <c r="W170" s="17"/>
      <c r="X170" s="17"/>
      <c r="Y170" s="17"/>
      <c r="Z170" s="17"/>
      <c r="AA170" s="17"/>
      <c r="AB170" s="18"/>
      <c r="AC170" s="17"/>
      <c r="AD170" s="17"/>
    </row>
    <row r="171" spans="1:30" ht="25.5">
      <c r="A171" s="6">
        <f>ROW()</f>
        <v>171</v>
      </c>
      <c r="B171" s="7" t="s">
        <v>171</v>
      </c>
      <c r="C171" s="5" t="s">
        <v>463</v>
      </c>
      <c r="D171" s="8" t="s">
        <v>648</v>
      </c>
      <c r="E171" s="5" t="s">
        <v>896</v>
      </c>
      <c r="G171" s="5" t="str">
        <f t="shared" si="18"/>
        <v>SD NORM</v>
      </c>
      <c r="H171" s="5" t="str">
        <f t="shared" si="19"/>
        <v>[-]</v>
      </c>
      <c r="I171" s="5" t="s">
        <v>2462</v>
      </c>
      <c r="J171" s="5" t="s">
        <v>2463</v>
      </c>
      <c r="L171" s="9"/>
      <c r="M171" s="5" t="s">
        <v>2837</v>
      </c>
      <c r="P171" s="16"/>
      <c r="Q171" s="17"/>
      <c r="R171" s="17"/>
      <c r="S171" s="18"/>
      <c r="T171" s="18"/>
      <c r="U171" s="17"/>
      <c r="V171" s="18"/>
      <c r="W171" s="17"/>
      <c r="X171" s="17"/>
      <c r="Y171" s="17"/>
      <c r="Z171" s="17"/>
      <c r="AA171" s="17"/>
      <c r="AB171" s="18"/>
      <c r="AC171" s="17"/>
      <c r="AD171" s="17"/>
    </row>
    <row r="172" spans="1:30">
      <c r="A172" s="6">
        <f>ROW()</f>
        <v>172</v>
      </c>
      <c r="B172" s="7" t="s">
        <v>172</v>
      </c>
      <c r="C172" s="5" t="s">
        <v>466</v>
      </c>
      <c r="D172" s="8" t="s">
        <v>649</v>
      </c>
      <c r="E172" s="5" t="s">
        <v>898</v>
      </c>
      <c r="G172" s="5" t="str">
        <f t="shared" si="18"/>
        <v>SD DATUM</v>
      </c>
      <c r="H172" s="5" t="str">
        <f t="shared" si="19"/>
        <v>[DD-MM-JJJJ]</v>
      </c>
      <c r="I172" s="5" t="s">
        <v>2462</v>
      </c>
      <c r="J172" s="5" t="s">
        <v>2463</v>
      </c>
      <c r="L172" s="9"/>
      <c r="M172" s="5" t="s">
        <v>2838</v>
      </c>
      <c r="P172" s="16"/>
      <c r="Q172" s="17"/>
      <c r="R172" s="17"/>
      <c r="S172" s="18"/>
      <c r="T172" s="18"/>
      <c r="U172" s="17"/>
      <c r="V172" s="18"/>
      <c r="W172" s="17"/>
      <c r="X172" s="17"/>
      <c r="Y172" s="17"/>
      <c r="Z172" s="17"/>
      <c r="AA172" s="17"/>
      <c r="AB172" s="18"/>
      <c r="AC172" s="17"/>
      <c r="AD172" s="17"/>
    </row>
    <row r="173" spans="1:30">
      <c r="A173" s="6">
        <f>ROW()</f>
        <v>173</v>
      </c>
      <c r="B173" s="7" t="s">
        <v>2839</v>
      </c>
      <c r="C173" s="5" t="s">
        <v>463</v>
      </c>
      <c r="D173" s="8" t="s">
        <v>532</v>
      </c>
      <c r="E173" s="5" t="s">
        <v>896</v>
      </c>
      <c r="G173" s="5" t="str">
        <f t="shared" si="16"/>
        <v>SD CLASSIFICATIE</v>
      </c>
      <c r="H173" s="5" t="str">
        <f t="shared" si="17"/>
        <v>[-]</v>
      </c>
      <c r="I173" s="5" t="s">
        <v>2462</v>
      </c>
      <c r="J173" s="5" t="s">
        <v>2463</v>
      </c>
      <c r="L173" s="9"/>
      <c r="M173" s="5" t="s">
        <v>2840</v>
      </c>
      <c r="P173" s="16"/>
      <c r="Q173" s="17"/>
      <c r="R173" s="17"/>
      <c r="S173" s="18"/>
      <c r="T173" s="18"/>
      <c r="U173" s="17"/>
      <c r="V173" s="18"/>
      <c r="W173" s="17"/>
      <c r="X173" s="17"/>
      <c r="Y173" s="17"/>
      <c r="Z173" s="17"/>
      <c r="AA173" s="17"/>
      <c r="AB173" s="18"/>
      <c r="AC173" s="17"/>
      <c r="AD173" s="17"/>
    </row>
    <row r="174" spans="1:30" ht="25.5">
      <c r="A174" s="6">
        <f>ROW()</f>
        <v>174</v>
      </c>
      <c r="B174" s="5" t="s">
        <v>2841</v>
      </c>
      <c r="C174" s="5" t="s">
        <v>463</v>
      </c>
      <c r="D174" s="8" t="s">
        <v>533</v>
      </c>
      <c r="E174" s="5" t="s">
        <v>896</v>
      </c>
      <c r="G174" s="5" t="str">
        <f t="shared" si="16"/>
        <v>SD CLASSIFICATIE BIJMENGING</v>
      </c>
      <c r="H174" s="5" t="str">
        <f t="shared" si="17"/>
        <v>[-]</v>
      </c>
      <c r="I174" s="5" t="s">
        <v>2462</v>
      </c>
      <c r="J174" s="5" t="s">
        <v>2463</v>
      </c>
      <c r="L174" s="9"/>
      <c r="M174" s="5" t="s">
        <v>2711</v>
      </c>
      <c r="P174" s="16"/>
      <c r="Q174" s="17"/>
      <c r="R174" s="17"/>
      <c r="S174" s="18"/>
      <c r="T174" s="18"/>
      <c r="U174" s="17"/>
      <c r="V174" s="18"/>
      <c r="W174" s="17"/>
      <c r="X174" s="17"/>
      <c r="Y174" s="17"/>
      <c r="Z174" s="17"/>
      <c r="AA174" s="17"/>
      <c r="AB174" s="18"/>
      <c r="AC174" s="17"/>
      <c r="AD174" s="17"/>
    </row>
    <row r="175" spans="1:30">
      <c r="A175" s="6">
        <f>ROW()</f>
        <v>175</v>
      </c>
      <c r="B175" s="7" t="s">
        <v>175</v>
      </c>
      <c r="C175" s="5" t="s">
        <v>465</v>
      </c>
      <c r="D175" s="8" t="s">
        <v>650</v>
      </c>
      <c r="E175" s="5" t="s">
        <v>897</v>
      </c>
      <c r="F175" s="11" t="s">
        <v>907</v>
      </c>
      <c r="G175" s="5" t="str">
        <f t="shared" si="16"/>
        <v>SD MONSTERNIVEAU</v>
      </c>
      <c r="H175" s="5" t="str">
        <f t="shared" si="17"/>
        <v>[m NAP]</v>
      </c>
      <c r="I175" s="5" t="s">
        <v>2462</v>
      </c>
      <c r="J175" s="5" t="s">
        <v>2463</v>
      </c>
      <c r="L175" s="9"/>
      <c r="M175" s="5" t="s">
        <v>2842</v>
      </c>
      <c r="P175" s="16"/>
      <c r="Q175" s="17"/>
      <c r="R175" s="17"/>
      <c r="S175" s="18"/>
      <c r="T175" s="18"/>
      <c r="U175" s="17"/>
      <c r="V175" s="19"/>
      <c r="W175" s="17"/>
      <c r="X175" s="17"/>
      <c r="Y175" s="17"/>
      <c r="Z175" s="17"/>
      <c r="AA175" s="17"/>
      <c r="AB175" s="18"/>
      <c r="AC175" s="17"/>
      <c r="AD175" s="17"/>
    </row>
    <row r="176" spans="1:30" ht="25.5">
      <c r="A176" s="6">
        <f>ROW()</f>
        <v>176</v>
      </c>
      <c r="B176" s="7" t="s">
        <v>176</v>
      </c>
      <c r="C176" s="5" t="s">
        <v>470</v>
      </c>
      <c r="D176" s="8" t="s">
        <v>618</v>
      </c>
      <c r="E176" s="5" t="s">
        <v>897</v>
      </c>
      <c r="G176" s="5" t="str">
        <f t="shared" si="16"/>
        <v>SD TERREINSPANNING</v>
      </c>
      <c r="H176" s="5" t="str">
        <f t="shared" si="17"/>
        <v>[kPa]</v>
      </c>
      <c r="I176" s="5" t="s">
        <v>2462</v>
      </c>
      <c r="J176" s="5" t="s">
        <v>2463</v>
      </c>
      <c r="L176" s="9"/>
      <c r="M176" s="5" t="s">
        <v>2843</v>
      </c>
      <c r="P176" s="16"/>
      <c r="Q176" s="17"/>
      <c r="R176" s="17"/>
      <c r="S176" s="18"/>
      <c r="T176" s="18"/>
      <c r="U176" s="17"/>
      <c r="V176" s="18"/>
      <c r="W176" s="17"/>
      <c r="X176" s="17"/>
      <c r="Y176" s="17"/>
      <c r="Z176" s="17"/>
      <c r="AA176" s="17"/>
      <c r="AB176" s="18"/>
      <c r="AC176" s="17"/>
      <c r="AD176" s="17"/>
    </row>
    <row r="177" spans="1:30" ht="25.5">
      <c r="A177" s="6">
        <f>ROW()</f>
        <v>177</v>
      </c>
      <c r="B177" s="7" t="s">
        <v>177</v>
      </c>
      <c r="C177" s="5" t="s">
        <v>467</v>
      </c>
      <c r="D177" s="8" t="s">
        <v>619</v>
      </c>
      <c r="E177" s="5" t="s">
        <v>897</v>
      </c>
      <c r="F177" s="11" t="s">
        <v>908</v>
      </c>
      <c r="G177" s="5" t="str">
        <f t="shared" si="16"/>
        <v>SD VOLUMEGEWICHT NAT</v>
      </c>
      <c r="H177" s="5" t="str">
        <f t="shared" si="17"/>
        <v>[kN/m3]</v>
      </c>
      <c r="I177" s="5" t="s">
        <v>2462</v>
      </c>
      <c r="J177" s="5" t="s">
        <v>2463</v>
      </c>
      <c r="L177" s="9"/>
      <c r="M177" s="5" t="s">
        <v>2844</v>
      </c>
      <c r="P177" s="16"/>
      <c r="Q177" s="17"/>
      <c r="R177" s="17"/>
      <c r="S177" s="18"/>
      <c r="T177" s="18"/>
      <c r="U177" s="17"/>
      <c r="V177" s="19"/>
      <c r="W177" s="17"/>
      <c r="X177" s="17"/>
      <c r="Y177" s="17"/>
      <c r="Z177" s="17"/>
      <c r="AA177" s="17"/>
      <c r="AB177" s="18"/>
      <c r="AC177" s="17"/>
      <c r="AD177" s="17"/>
    </row>
    <row r="178" spans="1:30" ht="25.5">
      <c r="A178" s="6">
        <f>ROW()</f>
        <v>178</v>
      </c>
      <c r="B178" s="7" t="s">
        <v>178</v>
      </c>
      <c r="C178" s="5" t="s">
        <v>467</v>
      </c>
      <c r="D178" s="8" t="s">
        <v>620</v>
      </c>
      <c r="E178" s="5" t="s">
        <v>897</v>
      </c>
      <c r="F178" s="11" t="s">
        <v>909</v>
      </c>
      <c r="G178" s="5" t="str">
        <f t="shared" si="16"/>
        <v>SD VOLUMEGEWICHT DR</v>
      </c>
      <c r="H178" s="5" t="str">
        <f t="shared" si="17"/>
        <v>[kN/m3]</v>
      </c>
      <c r="I178" s="5" t="s">
        <v>2462</v>
      </c>
      <c r="J178" s="5" t="s">
        <v>2463</v>
      </c>
      <c r="L178" s="9"/>
      <c r="M178" s="5" t="s">
        <v>2845</v>
      </c>
      <c r="P178" s="16"/>
      <c r="Q178" s="17"/>
      <c r="R178" s="17"/>
      <c r="S178" s="18"/>
      <c r="T178" s="18"/>
      <c r="U178" s="17"/>
      <c r="V178" s="19"/>
      <c r="W178" s="17"/>
      <c r="X178" s="17"/>
      <c r="Y178" s="17"/>
      <c r="Z178" s="17"/>
      <c r="AA178" s="17"/>
      <c r="AB178" s="18"/>
      <c r="AC178" s="17"/>
      <c r="AD178" s="17"/>
    </row>
    <row r="179" spans="1:30" ht="25.5">
      <c r="A179" s="6">
        <f>ROW()</f>
        <v>179</v>
      </c>
      <c r="B179" s="7" t="s">
        <v>179</v>
      </c>
      <c r="C179" s="5" t="s">
        <v>468</v>
      </c>
      <c r="D179" s="8" t="s">
        <v>621</v>
      </c>
      <c r="E179" s="5" t="s">
        <v>897</v>
      </c>
      <c r="F179" s="11" t="s">
        <v>910</v>
      </c>
      <c r="G179" s="5" t="str">
        <f t="shared" si="16"/>
        <v>SD WATERGEHALTE INI</v>
      </c>
      <c r="H179" s="5" t="str">
        <f t="shared" si="17"/>
        <v>[%]</v>
      </c>
      <c r="I179" s="5" t="s">
        <v>2462</v>
      </c>
      <c r="J179" s="5" t="s">
        <v>2463</v>
      </c>
      <c r="L179" s="9"/>
      <c r="M179" s="5" t="s">
        <v>2846</v>
      </c>
      <c r="P179" s="16"/>
      <c r="Q179" s="17"/>
      <c r="R179" s="17"/>
      <c r="S179" s="18"/>
      <c r="T179" s="18"/>
      <c r="U179" s="17"/>
      <c r="V179" s="19"/>
      <c r="W179" s="17"/>
      <c r="X179" s="17"/>
      <c r="Y179" s="17"/>
      <c r="Z179" s="17"/>
      <c r="AA179" s="17"/>
      <c r="AB179" s="18"/>
      <c r="AC179" s="17"/>
      <c r="AD179" s="17"/>
    </row>
    <row r="180" spans="1:30" ht="25.5">
      <c r="A180" s="6">
        <f>ROW()</f>
        <v>180</v>
      </c>
      <c r="B180" s="7" t="s">
        <v>180</v>
      </c>
      <c r="C180" s="5" t="s">
        <v>468</v>
      </c>
      <c r="D180" s="8" t="s">
        <v>622</v>
      </c>
      <c r="E180" s="5" t="s">
        <v>897</v>
      </c>
      <c r="F180" s="11" t="s">
        <v>910</v>
      </c>
      <c r="G180" s="5" t="str">
        <f t="shared" si="16"/>
        <v>SD WATERGEHALTE NA PROEF</v>
      </c>
      <c r="H180" s="5" t="str">
        <f t="shared" si="17"/>
        <v>[%]</v>
      </c>
      <c r="I180" s="5" t="s">
        <v>2462</v>
      </c>
      <c r="J180" s="5" t="s">
        <v>2463</v>
      </c>
      <c r="L180" s="9"/>
      <c r="M180" s="5" t="s">
        <v>2847</v>
      </c>
      <c r="P180" s="16"/>
      <c r="Q180" s="17"/>
      <c r="R180" s="17"/>
      <c r="S180" s="18"/>
      <c r="T180" s="18"/>
      <c r="U180" s="17"/>
      <c r="V180" s="19"/>
      <c r="W180" s="17"/>
      <c r="X180" s="17"/>
      <c r="Y180" s="17"/>
      <c r="Z180" s="17"/>
      <c r="AA180" s="17"/>
      <c r="AB180" s="18"/>
      <c r="AC180" s="17"/>
      <c r="AD180" s="17"/>
    </row>
    <row r="181" spans="1:30">
      <c r="A181" s="6">
        <f>ROW()</f>
        <v>181</v>
      </c>
      <c r="B181" s="7" t="s">
        <v>181</v>
      </c>
      <c r="C181" s="5" t="s">
        <v>463</v>
      </c>
      <c r="D181" s="8" t="s">
        <v>539</v>
      </c>
      <c r="E181" s="5" t="s">
        <v>897</v>
      </c>
      <c r="F181" s="8" t="s">
        <v>912</v>
      </c>
      <c r="G181" s="5" t="str">
        <f t="shared" si="16"/>
        <v>SD PORIENGETAL</v>
      </c>
      <c r="H181" s="5" t="str">
        <f t="shared" si="17"/>
        <v>[-]</v>
      </c>
      <c r="I181" s="5" t="s">
        <v>2462</v>
      </c>
      <c r="J181" s="5" t="s">
        <v>2463</v>
      </c>
      <c r="L181" s="9"/>
      <c r="M181" s="5" t="s">
        <v>2848</v>
      </c>
      <c r="P181" s="16"/>
      <c r="Q181" s="17"/>
      <c r="R181" s="17"/>
      <c r="S181" s="18"/>
      <c r="T181" s="18"/>
      <c r="U181" s="17"/>
      <c r="V181" s="18"/>
      <c r="W181" s="17"/>
      <c r="X181" s="17"/>
      <c r="Y181" s="17"/>
      <c r="Z181" s="17"/>
      <c r="AA181" s="17"/>
      <c r="AB181" s="18"/>
      <c r="AC181" s="17"/>
      <c r="AD181" s="17"/>
    </row>
    <row r="182" spans="1:30" ht="25.5">
      <c r="A182" s="6">
        <f>ROW()</f>
        <v>182</v>
      </c>
      <c r="B182" s="7" t="s">
        <v>182</v>
      </c>
      <c r="C182" s="5" t="s">
        <v>474</v>
      </c>
      <c r="D182" s="8" t="s">
        <v>624</v>
      </c>
      <c r="E182" s="5" t="s">
        <v>897</v>
      </c>
      <c r="F182" s="8" t="s">
        <v>923</v>
      </c>
      <c r="G182" s="5" t="str">
        <f t="shared" si="16"/>
        <v>SD MAX TEMPERATUUR PROEF</v>
      </c>
      <c r="H182" s="5" t="str">
        <f t="shared" si="17"/>
        <v>[°C]</v>
      </c>
      <c r="I182" s="5" t="s">
        <v>2462</v>
      </c>
      <c r="J182" s="5" t="s">
        <v>2463</v>
      </c>
      <c r="L182" s="9"/>
      <c r="M182" s="5" t="s">
        <v>2849</v>
      </c>
      <c r="P182" s="16"/>
      <c r="Q182" s="17"/>
      <c r="R182" s="17"/>
      <c r="S182" s="18"/>
      <c r="T182" s="18"/>
      <c r="U182" s="17"/>
      <c r="V182" s="18"/>
      <c r="W182" s="17"/>
      <c r="X182" s="17"/>
      <c r="Y182" s="17"/>
      <c r="Z182" s="17"/>
      <c r="AA182" s="17"/>
      <c r="AB182" s="18"/>
      <c r="AC182" s="17"/>
      <c r="AD182" s="17"/>
    </row>
    <row r="183" spans="1:30" ht="25.5">
      <c r="A183" s="6">
        <f>ROW()</f>
        <v>183</v>
      </c>
      <c r="B183" s="7" t="s">
        <v>183</v>
      </c>
      <c r="C183" s="5" t="s">
        <v>474</v>
      </c>
      <c r="D183" s="8" t="s">
        <v>625</v>
      </c>
      <c r="E183" s="5" t="s">
        <v>897</v>
      </c>
      <c r="F183" s="8" t="s">
        <v>923</v>
      </c>
      <c r="G183" s="5" t="str">
        <f t="shared" si="16"/>
        <v>SD MIN TEMPERATUUR PROEF</v>
      </c>
      <c r="H183" s="5" t="str">
        <f t="shared" si="17"/>
        <v>[°C]</v>
      </c>
      <c r="I183" s="5" t="s">
        <v>2462</v>
      </c>
      <c r="J183" s="5" t="s">
        <v>2463</v>
      </c>
      <c r="L183" s="9"/>
      <c r="M183" s="5" t="s">
        <v>2850</v>
      </c>
      <c r="P183" s="16"/>
      <c r="Q183" s="17"/>
      <c r="R183" s="17"/>
      <c r="S183" s="18"/>
      <c r="T183" s="18"/>
      <c r="U183" s="17"/>
      <c r="V183" s="18"/>
      <c r="W183" s="17"/>
      <c r="X183" s="17"/>
      <c r="Y183" s="17"/>
      <c r="Z183" s="17"/>
      <c r="AA183" s="17"/>
      <c r="AB183" s="18"/>
      <c r="AC183" s="17"/>
      <c r="AD183" s="17"/>
    </row>
    <row r="184" spans="1:30">
      <c r="A184" s="6">
        <f>ROW()</f>
        <v>184</v>
      </c>
      <c r="B184" s="7" t="s">
        <v>184</v>
      </c>
      <c r="C184" s="5" t="s">
        <v>463</v>
      </c>
      <c r="D184" s="8" t="s">
        <v>651</v>
      </c>
      <c r="E184" s="5" t="s">
        <v>896</v>
      </c>
      <c r="G184" s="5" t="str">
        <f t="shared" si="16"/>
        <v>SD BELAST ONTLASTSTAPPEN</v>
      </c>
      <c r="H184" s="5" t="str">
        <f t="shared" si="17"/>
        <v>[-]</v>
      </c>
      <c r="I184" s="5" t="s">
        <v>2462</v>
      </c>
      <c r="J184" s="5" t="s">
        <v>2463</v>
      </c>
      <c r="L184" s="9"/>
      <c r="M184" s="5" t="s">
        <v>2851</v>
      </c>
      <c r="P184" s="16"/>
      <c r="Q184" s="17"/>
      <c r="R184" s="17"/>
      <c r="S184" s="18"/>
      <c r="T184" s="18"/>
      <c r="U184" s="17"/>
      <c r="V184" s="18"/>
      <c r="W184" s="17"/>
      <c r="X184" s="17"/>
      <c r="Y184" s="17"/>
      <c r="Z184" s="17"/>
      <c r="AA184" s="17"/>
      <c r="AB184" s="18"/>
      <c r="AC184" s="17"/>
      <c r="AD184" s="17"/>
    </row>
    <row r="185" spans="1:30">
      <c r="A185" s="6">
        <f>ROW()</f>
        <v>185</v>
      </c>
      <c r="B185" s="7" t="s">
        <v>185</v>
      </c>
      <c r="C185" s="5" t="s">
        <v>463</v>
      </c>
      <c r="D185" s="8" t="s">
        <v>652</v>
      </c>
      <c r="E185" s="5" t="s">
        <v>896</v>
      </c>
      <c r="G185" s="5" t="str">
        <f t="shared" si="16"/>
        <v>SD TYPEPROEF</v>
      </c>
      <c r="H185" s="5" t="str">
        <f t="shared" si="17"/>
        <v>[-]</v>
      </c>
      <c r="I185" s="5" t="s">
        <v>2462</v>
      </c>
      <c r="J185" s="5" t="s">
        <v>2463</v>
      </c>
      <c r="L185" s="9"/>
      <c r="M185" s="5" t="s">
        <v>2852</v>
      </c>
      <c r="P185" s="16"/>
      <c r="Q185" s="17"/>
      <c r="R185" s="17"/>
      <c r="S185" s="18"/>
      <c r="T185" s="18"/>
      <c r="U185" s="17"/>
      <c r="V185" s="18"/>
      <c r="W185" s="17"/>
      <c r="X185" s="17"/>
      <c r="Y185" s="17"/>
      <c r="Z185" s="17"/>
      <c r="AA185" s="17"/>
      <c r="AB185" s="18"/>
      <c r="AC185" s="17"/>
      <c r="AD185" s="17"/>
    </row>
    <row r="186" spans="1:30">
      <c r="A186" s="6">
        <f>ROW()</f>
        <v>186</v>
      </c>
      <c r="B186" s="7" t="s">
        <v>186</v>
      </c>
      <c r="C186" s="5" t="s">
        <v>470</v>
      </c>
      <c r="D186" s="8" t="s">
        <v>653</v>
      </c>
      <c r="E186" s="5" t="s">
        <v>897</v>
      </c>
      <c r="G186" s="5" t="str">
        <f t="shared" si="16"/>
        <v>SD BJERRUM GRENSSPANNING</v>
      </c>
      <c r="H186" s="5" t="str">
        <f t="shared" si="17"/>
        <v>[kPa]</v>
      </c>
      <c r="I186" s="5" t="s">
        <v>2462</v>
      </c>
      <c r="J186" s="5" t="s">
        <v>2463</v>
      </c>
      <c r="L186" s="9"/>
      <c r="M186" s="5" t="s">
        <v>2853</v>
      </c>
      <c r="P186" s="16"/>
      <c r="Q186" s="17"/>
      <c r="R186" s="17"/>
      <c r="S186" s="18"/>
      <c r="T186" s="18"/>
      <c r="U186" s="17"/>
      <c r="V186" s="18"/>
      <c r="W186" s="17"/>
      <c r="X186" s="17"/>
      <c r="Y186" s="17"/>
      <c r="Z186" s="17"/>
      <c r="AA186" s="17"/>
      <c r="AB186" s="18"/>
      <c r="AC186" s="17"/>
      <c r="AD186" s="17"/>
    </row>
    <row r="187" spans="1:30" ht="25.5">
      <c r="A187" s="6">
        <f>ROW()</f>
        <v>187</v>
      </c>
      <c r="B187" s="7" t="s">
        <v>187</v>
      </c>
      <c r="C187" s="5" t="s">
        <v>468</v>
      </c>
      <c r="D187" s="8" t="s">
        <v>654</v>
      </c>
      <c r="E187" s="5" t="s">
        <v>897</v>
      </c>
      <c r="F187" s="8" t="s">
        <v>911</v>
      </c>
      <c r="G187" s="5" t="str">
        <f t="shared" si="16"/>
        <v>SD BJERRUM REK BIJ GRENSSPANNING</v>
      </c>
      <c r="H187" s="5" t="str">
        <f t="shared" si="17"/>
        <v>[%]</v>
      </c>
      <c r="I187" s="5" t="s">
        <v>2462</v>
      </c>
      <c r="J187" s="5" t="s">
        <v>2463</v>
      </c>
      <c r="L187" s="9"/>
      <c r="M187" s="5" t="s">
        <v>2854</v>
      </c>
      <c r="P187" s="16"/>
      <c r="Q187" s="17"/>
      <c r="R187" s="17"/>
      <c r="S187" s="18"/>
      <c r="T187" s="18"/>
      <c r="U187" s="17"/>
      <c r="V187" s="18"/>
      <c r="W187" s="17"/>
      <c r="X187" s="17"/>
      <c r="Y187" s="17"/>
      <c r="Z187" s="17"/>
      <c r="AA187" s="17"/>
      <c r="AB187" s="18"/>
      <c r="AC187" s="17"/>
      <c r="AD187" s="17"/>
    </row>
    <row r="188" spans="1:30">
      <c r="A188" s="6">
        <f>ROW()</f>
        <v>188</v>
      </c>
      <c r="B188" s="7" t="s">
        <v>188</v>
      </c>
      <c r="C188" s="5" t="s">
        <v>463</v>
      </c>
      <c r="D188" s="10" t="s">
        <v>655</v>
      </c>
      <c r="E188" s="5" t="s">
        <v>897</v>
      </c>
      <c r="G188" s="5" t="str">
        <f t="shared" si="16"/>
        <v>SD BJERRUM CC</v>
      </c>
      <c r="H188" s="5" t="str">
        <f t="shared" si="17"/>
        <v>[-]</v>
      </c>
      <c r="I188" s="5" t="s">
        <v>2462</v>
      </c>
      <c r="J188" s="5" t="s">
        <v>2463</v>
      </c>
      <c r="L188" s="9"/>
      <c r="M188" s="5" t="s">
        <v>2855</v>
      </c>
      <c r="P188" s="16"/>
      <c r="Q188" s="17"/>
      <c r="R188" s="17"/>
      <c r="S188" s="18"/>
      <c r="T188" s="18"/>
      <c r="U188" s="17"/>
      <c r="V188" s="18"/>
      <c r="W188" s="17"/>
      <c r="X188" s="17"/>
      <c r="Y188" s="17"/>
      <c r="Z188" s="17"/>
      <c r="AA188" s="17"/>
      <c r="AB188" s="18"/>
      <c r="AC188" s="17"/>
      <c r="AD188" s="17"/>
    </row>
    <row r="189" spans="1:30" ht="25.5">
      <c r="A189" s="6">
        <f>ROW()</f>
        <v>189</v>
      </c>
      <c r="B189" s="7" t="s">
        <v>189</v>
      </c>
      <c r="C189" s="5" t="s">
        <v>463</v>
      </c>
      <c r="D189" s="8" t="s">
        <v>656</v>
      </c>
      <c r="E189" s="5" t="s">
        <v>897</v>
      </c>
      <c r="G189" s="5" t="str">
        <f t="shared" si="16"/>
        <v>SD BJERRUM CC TRAP1 2</v>
      </c>
      <c r="H189" s="5" t="str">
        <f t="shared" si="17"/>
        <v>[-]</v>
      </c>
      <c r="I189" s="5" t="s">
        <v>2462</v>
      </c>
      <c r="J189" s="5" t="s">
        <v>2463</v>
      </c>
      <c r="L189" s="9"/>
      <c r="M189" s="5" t="s">
        <v>2856</v>
      </c>
      <c r="P189" s="16"/>
      <c r="Q189" s="17"/>
      <c r="R189" s="17"/>
      <c r="S189" s="18"/>
      <c r="T189" s="18"/>
      <c r="U189" s="17"/>
      <c r="V189" s="18"/>
      <c r="W189" s="17"/>
      <c r="X189" s="17"/>
      <c r="Y189" s="17"/>
      <c r="Z189" s="17"/>
      <c r="AA189" s="17"/>
      <c r="AB189" s="18"/>
      <c r="AC189" s="17"/>
      <c r="AD189" s="17"/>
    </row>
    <row r="190" spans="1:30" ht="25.5">
      <c r="A190" s="6">
        <f>ROW()</f>
        <v>190</v>
      </c>
      <c r="B190" s="7" t="s">
        <v>190</v>
      </c>
      <c r="C190" s="5" t="s">
        <v>463</v>
      </c>
      <c r="D190" s="8" t="s">
        <v>657</v>
      </c>
      <c r="E190" s="5" t="s">
        <v>897</v>
      </c>
      <c r="G190" s="5" t="str">
        <f t="shared" si="16"/>
        <v>SD BJERRUM CC TRAP2 3</v>
      </c>
      <c r="H190" s="5" t="str">
        <f t="shared" si="17"/>
        <v>[-]</v>
      </c>
      <c r="I190" s="5" t="s">
        <v>2462</v>
      </c>
      <c r="J190" s="5" t="s">
        <v>2463</v>
      </c>
      <c r="L190" s="9"/>
      <c r="M190" s="5" t="s">
        <v>2857</v>
      </c>
      <c r="P190" s="16"/>
      <c r="Q190" s="17"/>
      <c r="R190" s="17"/>
      <c r="S190" s="18"/>
      <c r="T190" s="18"/>
      <c r="U190" s="17"/>
      <c r="V190" s="18"/>
      <c r="W190" s="17"/>
      <c r="X190" s="17"/>
      <c r="Y190" s="17"/>
      <c r="Z190" s="17"/>
      <c r="AA190" s="17"/>
      <c r="AB190" s="18"/>
      <c r="AC190" s="17"/>
      <c r="AD190" s="17"/>
    </row>
    <row r="191" spans="1:30" ht="25.5">
      <c r="A191" s="6">
        <f>ROW()</f>
        <v>191</v>
      </c>
      <c r="B191" s="7" t="s">
        <v>191</v>
      </c>
      <c r="C191" s="5" t="s">
        <v>463</v>
      </c>
      <c r="D191" s="8" t="s">
        <v>658</v>
      </c>
      <c r="E191" s="5" t="s">
        <v>897</v>
      </c>
      <c r="G191" s="5" t="str">
        <f t="shared" si="16"/>
        <v>SD BJERRUM CC TRAP3 4</v>
      </c>
      <c r="H191" s="5" t="str">
        <f t="shared" si="17"/>
        <v>[-]</v>
      </c>
      <c r="I191" s="5" t="s">
        <v>2462</v>
      </c>
      <c r="J191" s="5" t="s">
        <v>2463</v>
      </c>
      <c r="L191" s="9"/>
      <c r="M191" s="5" t="s">
        <v>2858</v>
      </c>
      <c r="P191" s="16"/>
      <c r="Q191" s="17"/>
      <c r="R191" s="17"/>
      <c r="S191" s="18"/>
      <c r="T191" s="18"/>
      <c r="U191" s="17"/>
      <c r="V191" s="18"/>
      <c r="W191" s="17"/>
      <c r="X191" s="17"/>
      <c r="Y191" s="17"/>
      <c r="Z191" s="17"/>
      <c r="AA191" s="17"/>
      <c r="AB191" s="18"/>
      <c r="AC191" s="17"/>
      <c r="AD191" s="17"/>
    </row>
    <row r="192" spans="1:30" ht="25.5">
      <c r="A192" s="6">
        <f>ROW()</f>
        <v>192</v>
      </c>
      <c r="B192" s="7" t="s">
        <v>192</v>
      </c>
      <c r="C192" s="5" t="s">
        <v>463</v>
      </c>
      <c r="D192" s="8" t="s">
        <v>659</v>
      </c>
      <c r="E192" s="5" t="s">
        <v>897</v>
      </c>
      <c r="G192" s="5" t="str">
        <f t="shared" si="16"/>
        <v>SD BJERRUM CC TRAP4 5</v>
      </c>
      <c r="H192" s="5" t="str">
        <f t="shared" si="17"/>
        <v>[-]</v>
      </c>
      <c r="I192" s="5" t="s">
        <v>2462</v>
      </c>
      <c r="J192" s="5" t="s">
        <v>2463</v>
      </c>
      <c r="L192" s="9"/>
      <c r="M192" s="5" t="s">
        <v>2859</v>
      </c>
      <c r="P192" s="16"/>
      <c r="Q192" s="17"/>
      <c r="R192" s="17"/>
      <c r="S192" s="18"/>
      <c r="T192" s="18"/>
      <c r="U192" s="17"/>
      <c r="V192" s="18"/>
      <c r="W192" s="17"/>
      <c r="X192" s="17"/>
      <c r="Y192" s="17"/>
      <c r="Z192" s="17"/>
      <c r="AA192" s="17"/>
      <c r="AB192" s="18"/>
      <c r="AC192" s="17"/>
      <c r="AD192" s="17"/>
    </row>
    <row r="193" spans="1:30" ht="25.5">
      <c r="A193" s="6">
        <f>ROW()</f>
        <v>193</v>
      </c>
      <c r="B193" s="7" t="s">
        <v>193</v>
      </c>
      <c r="C193" s="5" t="s">
        <v>463</v>
      </c>
      <c r="D193" s="8" t="s">
        <v>660</v>
      </c>
      <c r="E193" s="5" t="s">
        <v>897</v>
      </c>
      <c r="G193" s="5" t="str">
        <f t="shared" si="16"/>
        <v>SD BJERRUM CC TRAP5 6</v>
      </c>
      <c r="H193" s="5" t="str">
        <f t="shared" si="17"/>
        <v>[-]</v>
      </c>
      <c r="I193" s="5" t="s">
        <v>2462</v>
      </c>
      <c r="J193" s="5" t="s">
        <v>2463</v>
      </c>
      <c r="L193" s="9"/>
      <c r="M193" s="5" t="s">
        <v>2860</v>
      </c>
      <c r="P193" s="16"/>
      <c r="Q193" s="17"/>
      <c r="R193" s="17"/>
      <c r="S193" s="18"/>
      <c r="T193" s="18"/>
      <c r="U193" s="17"/>
      <c r="V193" s="18"/>
      <c r="W193" s="17"/>
      <c r="X193" s="17"/>
      <c r="Y193" s="17"/>
      <c r="Z193" s="17"/>
      <c r="AA193" s="17"/>
      <c r="AB193" s="18"/>
      <c r="AC193" s="17"/>
      <c r="AD193" s="17"/>
    </row>
    <row r="194" spans="1:30" ht="25.5">
      <c r="A194" s="6">
        <f>ROW()</f>
        <v>194</v>
      </c>
      <c r="B194" s="7" t="s">
        <v>194</v>
      </c>
      <c r="C194" s="5" t="s">
        <v>463</v>
      </c>
      <c r="D194" s="8" t="s">
        <v>661</v>
      </c>
      <c r="E194" s="5" t="s">
        <v>897</v>
      </c>
      <c r="G194" s="5" t="str">
        <f t="shared" si="16"/>
        <v>SD BJERRUM CC TRAP6 7</v>
      </c>
      <c r="H194" s="5" t="str">
        <f t="shared" si="17"/>
        <v>[-]</v>
      </c>
      <c r="I194" s="5" t="s">
        <v>2462</v>
      </c>
      <c r="J194" s="5" t="s">
        <v>2463</v>
      </c>
      <c r="L194" s="9"/>
      <c r="M194" s="5" t="s">
        <v>2861</v>
      </c>
      <c r="P194" s="16"/>
      <c r="Q194" s="17"/>
      <c r="R194" s="17"/>
      <c r="S194" s="18"/>
      <c r="T194" s="18"/>
      <c r="U194" s="17"/>
      <c r="V194" s="18"/>
      <c r="W194" s="17"/>
      <c r="X194" s="17"/>
      <c r="Y194" s="17"/>
      <c r="Z194" s="17"/>
      <c r="AA194" s="17"/>
      <c r="AB194" s="18"/>
      <c r="AC194" s="17"/>
      <c r="AD194" s="17"/>
    </row>
    <row r="195" spans="1:30" ht="25.5">
      <c r="A195" s="6">
        <f>ROW()</f>
        <v>195</v>
      </c>
      <c r="B195" s="7" t="s">
        <v>195</v>
      </c>
      <c r="C195" s="5" t="s">
        <v>463</v>
      </c>
      <c r="D195" s="8" t="s">
        <v>662</v>
      </c>
      <c r="E195" s="5" t="s">
        <v>897</v>
      </c>
      <c r="G195" s="5" t="str">
        <f t="shared" si="16"/>
        <v>SD BJERRUM CC TRAP7 8</v>
      </c>
      <c r="H195" s="5" t="str">
        <f t="shared" si="17"/>
        <v>[-]</v>
      </c>
      <c r="I195" s="5" t="s">
        <v>2462</v>
      </c>
      <c r="J195" s="5" t="s">
        <v>2463</v>
      </c>
      <c r="L195" s="9"/>
      <c r="M195" s="5" t="s">
        <v>2862</v>
      </c>
      <c r="P195" s="16"/>
      <c r="Q195" s="17"/>
      <c r="R195" s="17"/>
      <c r="S195" s="18"/>
      <c r="T195" s="18"/>
      <c r="U195" s="17"/>
      <c r="V195" s="18"/>
      <c r="W195" s="17"/>
      <c r="X195" s="17"/>
      <c r="Y195" s="17"/>
      <c r="Z195" s="17"/>
      <c r="AA195" s="17"/>
      <c r="AB195" s="18"/>
      <c r="AC195" s="17"/>
      <c r="AD195" s="17"/>
    </row>
    <row r="196" spans="1:30" ht="25.5">
      <c r="A196" s="6">
        <f>ROW()</f>
        <v>196</v>
      </c>
      <c r="B196" s="7" t="s">
        <v>196</v>
      </c>
      <c r="C196" s="5" t="s">
        <v>463</v>
      </c>
      <c r="D196" s="8" t="s">
        <v>663</v>
      </c>
      <c r="E196" s="5" t="s">
        <v>897</v>
      </c>
      <c r="G196" s="5" t="str">
        <f t="shared" si="16"/>
        <v>SD BJERRUM CC TRAP8 9</v>
      </c>
      <c r="H196" s="5" t="str">
        <f t="shared" si="17"/>
        <v>[-]</v>
      </c>
      <c r="I196" s="5" t="s">
        <v>2462</v>
      </c>
      <c r="J196" s="5" t="s">
        <v>2463</v>
      </c>
      <c r="L196" s="9"/>
      <c r="M196" s="5" t="s">
        <v>2863</v>
      </c>
      <c r="P196" s="16"/>
      <c r="Q196" s="17"/>
      <c r="R196" s="17"/>
      <c r="S196" s="18"/>
      <c r="T196" s="18"/>
      <c r="U196" s="17"/>
      <c r="V196" s="18"/>
      <c r="W196" s="17"/>
      <c r="X196" s="17"/>
      <c r="Y196" s="17"/>
      <c r="Z196" s="17"/>
      <c r="AA196" s="17"/>
      <c r="AB196" s="18"/>
      <c r="AC196" s="17"/>
      <c r="AD196" s="17"/>
    </row>
    <row r="197" spans="1:30" ht="25.5">
      <c r="A197" s="6">
        <f>ROW()</f>
        <v>197</v>
      </c>
      <c r="B197" s="7" t="s">
        <v>197</v>
      </c>
      <c r="C197" s="5" t="s">
        <v>463</v>
      </c>
      <c r="D197" s="8" t="s">
        <v>664</v>
      </c>
      <c r="E197" s="5" t="s">
        <v>897</v>
      </c>
      <c r="G197" s="5" t="str">
        <f t="shared" si="16"/>
        <v>SD BJERRUM CC TRAP9 10</v>
      </c>
      <c r="H197" s="5" t="str">
        <f t="shared" si="17"/>
        <v>[-]</v>
      </c>
      <c r="I197" s="5" t="s">
        <v>2462</v>
      </c>
      <c r="J197" s="5" t="s">
        <v>2463</v>
      </c>
      <c r="L197" s="9"/>
      <c r="M197" s="5" t="s">
        <v>2864</v>
      </c>
      <c r="P197" s="16"/>
      <c r="Q197" s="17"/>
      <c r="R197" s="17"/>
      <c r="S197" s="18"/>
      <c r="T197" s="18"/>
      <c r="U197" s="17"/>
      <c r="V197" s="18"/>
      <c r="W197" s="17"/>
      <c r="X197" s="17"/>
      <c r="Y197" s="17"/>
      <c r="Z197" s="17"/>
      <c r="AA197" s="17"/>
      <c r="AB197" s="18"/>
      <c r="AC197" s="17"/>
      <c r="AD197" s="17"/>
    </row>
    <row r="198" spans="1:30">
      <c r="A198" s="6">
        <f>ROW()</f>
        <v>198</v>
      </c>
      <c r="B198" s="7" t="s">
        <v>198</v>
      </c>
      <c r="C198" s="5" t="s">
        <v>463</v>
      </c>
      <c r="D198" s="10" t="s">
        <v>665</v>
      </c>
      <c r="E198" s="5" t="s">
        <v>897</v>
      </c>
      <c r="G198" s="5" t="str">
        <f t="shared" si="16"/>
        <v>SD BJERRUM CR</v>
      </c>
      <c r="H198" s="5" t="str">
        <f t="shared" si="17"/>
        <v>[-]</v>
      </c>
      <c r="I198" s="5" t="s">
        <v>2462</v>
      </c>
      <c r="J198" s="5" t="s">
        <v>2463</v>
      </c>
      <c r="L198" s="9"/>
      <c r="M198" s="5" t="s">
        <v>2865</v>
      </c>
      <c r="P198" s="16"/>
      <c r="Q198" s="17"/>
      <c r="R198" s="17"/>
      <c r="S198" s="18"/>
      <c r="T198" s="18"/>
      <c r="U198" s="17"/>
      <c r="V198" s="18"/>
      <c r="W198" s="17"/>
      <c r="X198" s="17"/>
      <c r="Y198" s="17"/>
      <c r="Z198" s="17"/>
      <c r="AA198" s="17"/>
      <c r="AB198" s="18"/>
      <c r="AC198" s="17"/>
      <c r="AD198" s="17"/>
    </row>
    <row r="199" spans="1:30" ht="25.5">
      <c r="A199" s="6">
        <f>ROW()</f>
        <v>199</v>
      </c>
      <c r="B199" s="7" t="s">
        <v>199</v>
      </c>
      <c r="C199" s="5" t="s">
        <v>463</v>
      </c>
      <c r="D199" s="8" t="s">
        <v>666</v>
      </c>
      <c r="E199" s="5" t="s">
        <v>897</v>
      </c>
      <c r="G199" s="5" t="str">
        <f t="shared" si="16"/>
        <v>SD BJERRUM CR TRAP1 2</v>
      </c>
      <c r="H199" s="5" t="str">
        <f t="shared" si="17"/>
        <v>[-]</v>
      </c>
      <c r="I199" s="5" t="s">
        <v>2462</v>
      </c>
      <c r="J199" s="5" t="s">
        <v>2463</v>
      </c>
      <c r="L199" s="9"/>
      <c r="M199" s="5" t="s">
        <v>2866</v>
      </c>
      <c r="P199" s="16"/>
      <c r="Q199" s="17"/>
      <c r="R199" s="17"/>
      <c r="S199" s="18"/>
      <c r="T199" s="18"/>
      <c r="U199" s="17"/>
      <c r="V199" s="18"/>
      <c r="W199" s="17"/>
      <c r="X199" s="17"/>
      <c r="Y199" s="17"/>
      <c r="Z199" s="17"/>
      <c r="AA199" s="17"/>
      <c r="AB199" s="18"/>
      <c r="AC199" s="17"/>
      <c r="AD199" s="17"/>
    </row>
    <row r="200" spans="1:30" ht="25.5">
      <c r="A200" s="6">
        <f>ROW()</f>
        <v>200</v>
      </c>
      <c r="B200" s="7" t="s">
        <v>200</v>
      </c>
      <c r="C200" s="5" t="s">
        <v>463</v>
      </c>
      <c r="D200" s="8" t="s">
        <v>667</v>
      </c>
      <c r="E200" s="5" t="s">
        <v>897</v>
      </c>
      <c r="G200" s="5" t="str">
        <f t="shared" si="16"/>
        <v>SD BJERRUM CR TRAP2 3</v>
      </c>
      <c r="H200" s="5" t="str">
        <f t="shared" si="17"/>
        <v>[-]</v>
      </c>
      <c r="I200" s="5" t="s">
        <v>2462</v>
      </c>
      <c r="J200" s="5" t="s">
        <v>2463</v>
      </c>
      <c r="L200" s="9"/>
      <c r="M200" s="5" t="s">
        <v>2867</v>
      </c>
      <c r="P200" s="16"/>
      <c r="Q200" s="17"/>
      <c r="R200" s="17"/>
      <c r="S200" s="18"/>
      <c r="T200" s="18"/>
      <c r="U200" s="17"/>
      <c r="V200" s="18"/>
      <c r="W200" s="17"/>
      <c r="X200" s="17"/>
      <c r="Y200" s="17"/>
      <c r="Z200" s="17"/>
      <c r="AA200" s="17"/>
      <c r="AB200" s="18"/>
      <c r="AC200" s="17"/>
      <c r="AD200" s="17"/>
    </row>
    <row r="201" spans="1:30" ht="25.5">
      <c r="A201" s="6">
        <f>ROW()</f>
        <v>201</v>
      </c>
      <c r="B201" s="7" t="s">
        <v>201</v>
      </c>
      <c r="C201" s="5" t="s">
        <v>463</v>
      </c>
      <c r="D201" s="8" t="s">
        <v>668</v>
      </c>
      <c r="E201" s="5" t="s">
        <v>897</v>
      </c>
      <c r="G201" s="5" t="str">
        <f t="shared" ref="G201:G264" si="20">SUBSTITUTE(B201,"_"," ")</f>
        <v>SD BJERRUM CR TRAP3 4</v>
      </c>
      <c r="H201" s="5" t="str">
        <f t="shared" ref="H201:H264" si="21">CONCATENATE("[",C201,"]")</f>
        <v>[-]</v>
      </c>
      <c r="I201" s="5" t="s">
        <v>2462</v>
      </c>
      <c r="J201" s="5" t="s">
        <v>2463</v>
      </c>
      <c r="L201" s="9"/>
      <c r="M201" s="5" t="s">
        <v>2868</v>
      </c>
      <c r="P201" s="16"/>
      <c r="Q201" s="17"/>
      <c r="R201" s="17"/>
      <c r="S201" s="18"/>
      <c r="T201" s="18"/>
      <c r="U201" s="17"/>
      <c r="V201" s="18"/>
      <c r="W201" s="17"/>
      <c r="X201" s="17"/>
      <c r="Y201" s="17"/>
      <c r="Z201" s="17"/>
      <c r="AA201" s="17"/>
      <c r="AB201" s="18"/>
      <c r="AC201" s="17"/>
      <c r="AD201" s="17"/>
    </row>
    <row r="202" spans="1:30" ht="25.5">
      <c r="A202" s="6">
        <f>ROW()</f>
        <v>202</v>
      </c>
      <c r="B202" s="7" t="s">
        <v>202</v>
      </c>
      <c r="C202" s="5" t="s">
        <v>463</v>
      </c>
      <c r="D202" s="8" t="s">
        <v>669</v>
      </c>
      <c r="E202" s="5" t="s">
        <v>897</v>
      </c>
      <c r="G202" s="5" t="str">
        <f t="shared" si="20"/>
        <v>SD BJERRUM CR TRAP4 5</v>
      </c>
      <c r="H202" s="5" t="str">
        <f t="shared" si="21"/>
        <v>[-]</v>
      </c>
      <c r="I202" s="5" t="s">
        <v>2462</v>
      </c>
      <c r="J202" s="5" t="s">
        <v>2463</v>
      </c>
      <c r="L202" s="9"/>
      <c r="M202" s="5" t="s">
        <v>2869</v>
      </c>
      <c r="P202" s="16"/>
      <c r="Q202" s="17"/>
      <c r="R202" s="17"/>
      <c r="S202" s="18"/>
      <c r="T202" s="18"/>
      <c r="U202" s="17"/>
      <c r="V202" s="18"/>
      <c r="W202" s="17"/>
      <c r="X202" s="17"/>
      <c r="Y202" s="17"/>
      <c r="Z202" s="17"/>
      <c r="AA202" s="17"/>
      <c r="AB202" s="18"/>
      <c r="AC202" s="17"/>
      <c r="AD202" s="17"/>
    </row>
    <row r="203" spans="1:30" ht="25.5">
      <c r="A203" s="6">
        <f>ROW()</f>
        <v>203</v>
      </c>
      <c r="B203" s="7" t="s">
        <v>203</v>
      </c>
      <c r="C203" s="5" t="s">
        <v>463</v>
      </c>
      <c r="D203" s="8" t="s">
        <v>670</v>
      </c>
      <c r="E203" s="5" t="s">
        <v>897</v>
      </c>
      <c r="G203" s="5" t="str">
        <f t="shared" si="20"/>
        <v>SD BJERRUM CR TRAP5 6</v>
      </c>
      <c r="H203" s="5" t="str">
        <f t="shared" si="21"/>
        <v>[-]</v>
      </c>
      <c r="I203" s="5" t="s">
        <v>2462</v>
      </c>
      <c r="J203" s="5" t="s">
        <v>2463</v>
      </c>
      <c r="L203" s="9"/>
      <c r="M203" s="5" t="s">
        <v>2870</v>
      </c>
      <c r="P203" s="16"/>
      <c r="Q203" s="17"/>
      <c r="R203" s="17"/>
      <c r="S203" s="18"/>
      <c r="T203" s="18"/>
      <c r="U203" s="17"/>
      <c r="V203" s="18"/>
      <c r="W203" s="17"/>
      <c r="X203" s="17"/>
      <c r="Y203" s="17"/>
      <c r="Z203" s="17"/>
      <c r="AA203" s="17"/>
      <c r="AB203" s="18"/>
      <c r="AC203" s="17"/>
      <c r="AD203" s="17"/>
    </row>
    <row r="204" spans="1:30" ht="25.5">
      <c r="A204" s="6">
        <f>ROW()</f>
        <v>204</v>
      </c>
      <c r="B204" s="7" t="s">
        <v>204</v>
      </c>
      <c r="C204" s="5" t="s">
        <v>463</v>
      </c>
      <c r="D204" s="8" t="s">
        <v>671</v>
      </c>
      <c r="E204" s="5" t="s">
        <v>897</v>
      </c>
      <c r="G204" s="5" t="str">
        <f t="shared" si="20"/>
        <v>SD BJERRUM CR TRAP6 7</v>
      </c>
      <c r="H204" s="5" t="str">
        <f t="shared" si="21"/>
        <v>[-]</v>
      </c>
      <c r="I204" s="5" t="s">
        <v>2462</v>
      </c>
      <c r="J204" s="5" t="s">
        <v>2463</v>
      </c>
      <c r="L204" s="9"/>
      <c r="M204" s="5" t="s">
        <v>2871</v>
      </c>
      <c r="P204" s="16"/>
      <c r="Q204" s="17"/>
      <c r="R204" s="17"/>
      <c r="S204" s="18"/>
      <c r="T204" s="18"/>
      <c r="U204" s="17"/>
      <c r="V204" s="18"/>
      <c r="W204" s="17"/>
      <c r="X204" s="17"/>
      <c r="Y204" s="17"/>
      <c r="Z204" s="17"/>
      <c r="AA204" s="17"/>
      <c r="AB204" s="18"/>
      <c r="AC204" s="17"/>
      <c r="AD204" s="17"/>
    </row>
    <row r="205" spans="1:30" ht="25.5">
      <c r="A205" s="6">
        <f>ROW()</f>
        <v>205</v>
      </c>
      <c r="B205" s="7" t="s">
        <v>205</v>
      </c>
      <c r="C205" s="5" t="s">
        <v>463</v>
      </c>
      <c r="D205" s="8" t="s">
        <v>672</v>
      </c>
      <c r="E205" s="5" t="s">
        <v>897</v>
      </c>
      <c r="G205" s="5" t="str">
        <f t="shared" si="20"/>
        <v>SD BJERRUM CR TRAP7 8</v>
      </c>
      <c r="H205" s="5" t="str">
        <f t="shared" si="21"/>
        <v>[-]</v>
      </c>
      <c r="I205" s="5" t="s">
        <v>2462</v>
      </c>
      <c r="J205" s="5" t="s">
        <v>2463</v>
      </c>
      <c r="L205" s="9"/>
      <c r="M205" s="5" t="s">
        <v>2872</v>
      </c>
      <c r="P205" s="16"/>
      <c r="Q205" s="17"/>
      <c r="R205" s="17"/>
      <c r="S205" s="18"/>
      <c r="T205" s="18"/>
      <c r="U205" s="17"/>
      <c r="V205" s="18"/>
      <c r="W205" s="17"/>
      <c r="X205" s="17"/>
      <c r="Y205" s="17"/>
      <c r="Z205" s="17"/>
      <c r="AA205" s="17"/>
      <c r="AB205" s="18"/>
      <c r="AC205" s="17"/>
      <c r="AD205" s="17"/>
    </row>
    <row r="206" spans="1:30" ht="25.5">
      <c r="A206" s="6">
        <f>ROW()</f>
        <v>206</v>
      </c>
      <c r="B206" s="7" t="s">
        <v>206</v>
      </c>
      <c r="C206" s="5" t="s">
        <v>463</v>
      </c>
      <c r="D206" s="8" t="s">
        <v>673</v>
      </c>
      <c r="E206" s="5" t="s">
        <v>897</v>
      </c>
      <c r="G206" s="5" t="str">
        <f t="shared" si="20"/>
        <v>SD BJERRUM SR TRAP8 9</v>
      </c>
      <c r="H206" s="5" t="str">
        <f t="shared" si="21"/>
        <v>[-]</v>
      </c>
      <c r="I206" s="5" t="s">
        <v>2462</v>
      </c>
      <c r="J206" s="5" t="s">
        <v>2463</v>
      </c>
      <c r="L206" s="9"/>
      <c r="M206" s="5" t="s">
        <v>2873</v>
      </c>
      <c r="P206" s="16"/>
      <c r="Q206" s="17"/>
      <c r="R206" s="17"/>
      <c r="S206" s="18"/>
      <c r="T206" s="18"/>
      <c r="U206" s="17"/>
      <c r="V206" s="18"/>
      <c r="W206" s="17"/>
      <c r="X206" s="17"/>
      <c r="Y206" s="17"/>
      <c r="Z206" s="17"/>
      <c r="AA206" s="17"/>
      <c r="AB206" s="18"/>
      <c r="AC206" s="17"/>
      <c r="AD206" s="17"/>
    </row>
    <row r="207" spans="1:30" ht="25.5">
      <c r="A207" s="6">
        <f>ROW()</f>
        <v>207</v>
      </c>
      <c r="B207" s="7" t="s">
        <v>207</v>
      </c>
      <c r="C207" s="5" t="s">
        <v>463</v>
      </c>
      <c r="D207" s="8" t="s">
        <v>674</v>
      </c>
      <c r="E207" s="5" t="s">
        <v>897</v>
      </c>
      <c r="G207" s="5" t="str">
        <f t="shared" si="20"/>
        <v>SD BJERRUM RR TRAP9 10</v>
      </c>
      <c r="H207" s="5" t="str">
        <f t="shared" si="21"/>
        <v>[-]</v>
      </c>
      <c r="I207" s="5" t="s">
        <v>2462</v>
      </c>
      <c r="J207" s="5" t="s">
        <v>2463</v>
      </c>
      <c r="L207" s="9"/>
      <c r="M207" s="5" t="s">
        <v>2874</v>
      </c>
      <c r="P207" s="16"/>
      <c r="Q207" s="17"/>
      <c r="R207" s="17"/>
      <c r="S207" s="18"/>
      <c r="T207" s="18"/>
      <c r="U207" s="17"/>
      <c r="V207" s="18"/>
      <c r="W207" s="17"/>
      <c r="X207" s="17"/>
      <c r="Y207" s="17"/>
      <c r="Z207" s="17"/>
      <c r="AA207" s="17"/>
      <c r="AB207" s="18"/>
      <c r="AC207" s="17"/>
      <c r="AD207" s="17"/>
    </row>
    <row r="208" spans="1:30">
      <c r="A208" s="6">
        <f>ROW()</f>
        <v>208</v>
      </c>
      <c r="B208" s="7" t="s">
        <v>208</v>
      </c>
      <c r="C208" s="5" t="s">
        <v>463</v>
      </c>
      <c r="D208" s="10" t="s">
        <v>675</v>
      </c>
      <c r="E208" s="5" t="s">
        <v>897</v>
      </c>
      <c r="G208" s="5" t="str">
        <f t="shared" si="20"/>
        <v>SD BJERRUM CALPHA</v>
      </c>
      <c r="H208" s="5" t="str">
        <f t="shared" si="21"/>
        <v>[-]</v>
      </c>
      <c r="I208" s="5" t="s">
        <v>2462</v>
      </c>
      <c r="J208" s="5" t="s">
        <v>2463</v>
      </c>
      <c r="L208" s="9"/>
      <c r="M208" s="5" t="s">
        <v>2875</v>
      </c>
      <c r="P208" s="16"/>
      <c r="Q208" s="17"/>
      <c r="R208" s="17"/>
      <c r="S208" s="18"/>
      <c r="T208" s="18"/>
      <c r="U208" s="17"/>
      <c r="V208" s="18"/>
      <c r="W208" s="17"/>
      <c r="X208" s="17"/>
      <c r="Y208" s="17"/>
      <c r="Z208" s="17"/>
      <c r="AA208" s="17"/>
      <c r="AB208" s="18"/>
      <c r="AC208" s="17"/>
      <c r="AD208" s="17"/>
    </row>
    <row r="209" spans="1:30">
      <c r="A209" s="6">
        <f>ROW()</f>
        <v>209</v>
      </c>
      <c r="B209" s="7" t="s">
        <v>209</v>
      </c>
      <c r="C209" s="5" t="s">
        <v>463</v>
      </c>
      <c r="D209" s="8" t="s">
        <v>676</v>
      </c>
      <c r="E209" s="5" t="s">
        <v>897</v>
      </c>
      <c r="G209" s="5" t="str">
        <f t="shared" si="20"/>
        <v>SD BJERRUM CALPHA TRAP1</v>
      </c>
      <c r="H209" s="5" t="str">
        <f t="shared" si="21"/>
        <v>[-]</v>
      </c>
      <c r="I209" s="5" t="s">
        <v>2462</v>
      </c>
      <c r="J209" s="5" t="s">
        <v>2463</v>
      </c>
      <c r="L209" s="9"/>
      <c r="M209" s="5" t="s">
        <v>2876</v>
      </c>
      <c r="P209" s="16"/>
      <c r="Q209" s="17"/>
      <c r="R209" s="17"/>
      <c r="S209" s="18"/>
      <c r="T209" s="18"/>
      <c r="U209" s="17"/>
      <c r="V209" s="18"/>
      <c r="W209" s="17"/>
      <c r="X209" s="17"/>
      <c r="Y209" s="17"/>
      <c r="Z209" s="17"/>
      <c r="AA209" s="17"/>
      <c r="AB209" s="18"/>
      <c r="AC209" s="17"/>
      <c r="AD209" s="17"/>
    </row>
    <row r="210" spans="1:30">
      <c r="A210" s="6">
        <f>ROW()</f>
        <v>210</v>
      </c>
      <c r="B210" s="7" t="s">
        <v>210</v>
      </c>
      <c r="C210" s="5" t="s">
        <v>463</v>
      </c>
      <c r="D210" s="8" t="s">
        <v>677</v>
      </c>
      <c r="E210" s="5" t="s">
        <v>897</v>
      </c>
      <c r="G210" s="5" t="str">
        <f t="shared" si="20"/>
        <v>SD BJERRUM CALPHA TRAP2</v>
      </c>
      <c r="H210" s="5" t="str">
        <f t="shared" si="21"/>
        <v>[-]</v>
      </c>
      <c r="I210" s="5" t="s">
        <v>2462</v>
      </c>
      <c r="J210" s="5" t="s">
        <v>2463</v>
      </c>
      <c r="L210" s="9"/>
      <c r="M210" s="5" t="s">
        <v>2877</v>
      </c>
      <c r="P210" s="16"/>
      <c r="Q210" s="17"/>
      <c r="R210" s="17"/>
      <c r="S210" s="18"/>
      <c r="T210" s="18"/>
      <c r="U210" s="17"/>
      <c r="V210" s="18"/>
      <c r="W210" s="17"/>
      <c r="X210" s="17"/>
      <c r="Y210" s="17"/>
      <c r="Z210" s="17"/>
      <c r="AA210" s="17"/>
      <c r="AB210" s="18"/>
      <c r="AC210" s="17"/>
      <c r="AD210" s="17"/>
    </row>
    <row r="211" spans="1:30">
      <c r="A211" s="6">
        <f>ROW()</f>
        <v>211</v>
      </c>
      <c r="B211" s="7" t="s">
        <v>211</v>
      </c>
      <c r="C211" s="5" t="s">
        <v>463</v>
      </c>
      <c r="D211" s="8" t="s">
        <v>678</v>
      </c>
      <c r="E211" s="5" t="s">
        <v>897</v>
      </c>
      <c r="G211" s="5" t="str">
        <f t="shared" si="20"/>
        <v>SD BJERRUM CALPHA TRAP3</v>
      </c>
      <c r="H211" s="5" t="str">
        <f t="shared" si="21"/>
        <v>[-]</v>
      </c>
      <c r="I211" s="5" t="s">
        <v>2462</v>
      </c>
      <c r="J211" s="5" t="s">
        <v>2463</v>
      </c>
      <c r="L211" s="9"/>
      <c r="M211" s="5" t="s">
        <v>2878</v>
      </c>
      <c r="P211" s="16"/>
      <c r="Q211" s="17"/>
      <c r="R211" s="17"/>
      <c r="S211" s="18"/>
      <c r="T211" s="18"/>
      <c r="U211" s="17"/>
      <c r="V211" s="18"/>
      <c r="W211" s="17"/>
      <c r="X211" s="17"/>
      <c r="Y211" s="17"/>
      <c r="Z211" s="17"/>
      <c r="AA211" s="17"/>
      <c r="AB211" s="18"/>
      <c r="AC211" s="17"/>
      <c r="AD211" s="17"/>
    </row>
    <row r="212" spans="1:30">
      <c r="A212" s="6">
        <f>ROW()</f>
        <v>212</v>
      </c>
      <c r="B212" s="7" t="s">
        <v>212</v>
      </c>
      <c r="C212" s="5" t="s">
        <v>463</v>
      </c>
      <c r="D212" s="8" t="s">
        <v>679</v>
      </c>
      <c r="E212" s="5" t="s">
        <v>897</v>
      </c>
      <c r="G212" s="5" t="str">
        <f t="shared" si="20"/>
        <v>SD BJERRUM CALPHA TRAP4</v>
      </c>
      <c r="H212" s="5" t="str">
        <f t="shared" si="21"/>
        <v>[-]</v>
      </c>
      <c r="I212" s="5" t="s">
        <v>2462</v>
      </c>
      <c r="J212" s="5" t="s">
        <v>2463</v>
      </c>
      <c r="L212" s="9"/>
      <c r="M212" s="5" t="s">
        <v>2879</v>
      </c>
      <c r="P212" s="16"/>
      <c r="Q212" s="17"/>
      <c r="R212" s="17"/>
      <c r="S212" s="18"/>
      <c r="T212" s="18"/>
      <c r="U212" s="17"/>
      <c r="V212" s="18"/>
      <c r="W212" s="17"/>
      <c r="X212" s="17"/>
      <c r="Y212" s="17"/>
      <c r="Z212" s="17"/>
      <c r="AA212" s="17"/>
      <c r="AB212" s="18"/>
      <c r="AC212" s="17"/>
      <c r="AD212" s="17"/>
    </row>
    <row r="213" spans="1:30">
      <c r="A213" s="6">
        <f>ROW()</f>
        <v>213</v>
      </c>
      <c r="B213" s="7" t="s">
        <v>213</v>
      </c>
      <c r="C213" s="5" t="s">
        <v>463</v>
      </c>
      <c r="D213" s="8" t="s">
        <v>680</v>
      </c>
      <c r="E213" s="5" t="s">
        <v>897</v>
      </c>
      <c r="G213" s="5" t="str">
        <f t="shared" si="20"/>
        <v>SD BJERRUM CALPHA TRAP5</v>
      </c>
      <c r="H213" s="5" t="str">
        <f t="shared" si="21"/>
        <v>[-]</v>
      </c>
      <c r="I213" s="5" t="s">
        <v>2462</v>
      </c>
      <c r="J213" s="5" t="s">
        <v>2463</v>
      </c>
      <c r="L213" s="9"/>
      <c r="M213" s="5" t="s">
        <v>2880</v>
      </c>
      <c r="P213" s="16"/>
      <c r="Q213" s="17"/>
      <c r="R213" s="17"/>
      <c r="S213" s="18"/>
      <c r="T213" s="18"/>
      <c r="U213" s="17"/>
      <c r="V213" s="18"/>
      <c r="W213" s="17"/>
      <c r="X213" s="17"/>
      <c r="Y213" s="17"/>
      <c r="Z213" s="17"/>
      <c r="AA213" s="17"/>
      <c r="AB213" s="18"/>
      <c r="AC213" s="17"/>
      <c r="AD213" s="17"/>
    </row>
    <row r="214" spans="1:30">
      <c r="A214" s="6">
        <f>ROW()</f>
        <v>214</v>
      </c>
      <c r="B214" s="7" t="s">
        <v>214</v>
      </c>
      <c r="C214" s="5" t="s">
        <v>463</v>
      </c>
      <c r="D214" s="8" t="s">
        <v>681</v>
      </c>
      <c r="E214" s="5" t="s">
        <v>897</v>
      </c>
      <c r="G214" s="5" t="str">
        <f t="shared" si="20"/>
        <v>SD BJERRUM CALPHA TRAP6</v>
      </c>
      <c r="H214" s="5" t="str">
        <f t="shared" si="21"/>
        <v>[-]</v>
      </c>
      <c r="I214" s="5" t="s">
        <v>2462</v>
      </c>
      <c r="J214" s="5" t="s">
        <v>2463</v>
      </c>
      <c r="L214" s="9"/>
      <c r="M214" s="5" t="s">
        <v>2881</v>
      </c>
      <c r="P214" s="16"/>
      <c r="Q214" s="17"/>
      <c r="R214" s="17"/>
      <c r="S214" s="18"/>
      <c r="T214" s="18"/>
      <c r="U214" s="17"/>
      <c r="V214" s="18"/>
      <c r="W214" s="17"/>
      <c r="X214" s="17"/>
      <c r="Y214" s="17"/>
      <c r="Z214" s="17"/>
      <c r="AA214" s="17"/>
      <c r="AB214" s="18"/>
      <c r="AC214" s="17"/>
      <c r="AD214" s="17"/>
    </row>
    <row r="215" spans="1:30">
      <c r="A215" s="6">
        <f>ROW()</f>
        <v>215</v>
      </c>
      <c r="B215" s="7" t="s">
        <v>215</v>
      </c>
      <c r="C215" s="5" t="s">
        <v>463</v>
      </c>
      <c r="D215" s="8" t="s">
        <v>682</v>
      </c>
      <c r="E215" s="5" t="s">
        <v>897</v>
      </c>
      <c r="G215" s="5" t="str">
        <f t="shared" si="20"/>
        <v>SD BJERRUM CALPHA TRAP7</v>
      </c>
      <c r="H215" s="5" t="str">
        <f t="shared" si="21"/>
        <v>[-]</v>
      </c>
      <c r="I215" s="5" t="s">
        <v>2462</v>
      </c>
      <c r="J215" s="5" t="s">
        <v>2463</v>
      </c>
      <c r="L215" s="9"/>
      <c r="M215" s="5" t="s">
        <v>2882</v>
      </c>
      <c r="P215" s="16"/>
      <c r="Q215" s="17"/>
      <c r="R215" s="17"/>
      <c r="S215" s="18"/>
      <c r="T215" s="18"/>
      <c r="U215" s="17"/>
      <c r="V215" s="18"/>
      <c r="W215" s="17"/>
      <c r="X215" s="17"/>
      <c r="Y215" s="17"/>
      <c r="Z215" s="17"/>
      <c r="AA215" s="17"/>
      <c r="AB215" s="18"/>
      <c r="AC215" s="17"/>
      <c r="AD215" s="17"/>
    </row>
    <row r="216" spans="1:30">
      <c r="A216" s="6">
        <f>ROW()</f>
        <v>216</v>
      </c>
      <c r="B216" s="7" t="s">
        <v>216</v>
      </c>
      <c r="C216" s="5" t="s">
        <v>463</v>
      </c>
      <c r="D216" s="8" t="s">
        <v>683</v>
      </c>
      <c r="E216" s="5" t="s">
        <v>897</v>
      </c>
      <c r="G216" s="5" t="str">
        <f t="shared" si="20"/>
        <v>SD BJERRUM CALPHA TRAP8</v>
      </c>
      <c r="H216" s="5" t="str">
        <f t="shared" si="21"/>
        <v>[-]</v>
      </c>
      <c r="I216" s="5" t="s">
        <v>2462</v>
      </c>
      <c r="J216" s="5" t="s">
        <v>2463</v>
      </c>
      <c r="L216" s="9"/>
      <c r="M216" s="5" t="s">
        <v>2883</v>
      </c>
      <c r="P216" s="16"/>
      <c r="Q216" s="17"/>
      <c r="R216" s="17"/>
      <c r="S216" s="18"/>
      <c r="T216" s="18"/>
      <c r="U216" s="17"/>
      <c r="V216" s="18"/>
      <c r="W216" s="17"/>
      <c r="X216" s="17"/>
      <c r="Y216" s="17"/>
      <c r="Z216" s="17"/>
      <c r="AA216" s="17"/>
      <c r="AB216" s="18"/>
      <c r="AC216" s="17"/>
      <c r="AD216" s="17"/>
    </row>
    <row r="217" spans="1:30">
      <c r="A217" s="6">
        <f>ROW()</f>
        <v>217</v>
      </c>
      <c r="B217" s="7" t="s">
        <v>217</v>
      </c>
      <c r="C217" s="5" t="s">
        <v>463</v>
      </c>
      <c r="D217" s="8" t="s">
        <v>684</v>
      </c>
      <c r="E217" s="5" t="s">
        <v>897</v>
      </c>
      <c r="G217" s="5" t="str">
        <f t="shared" si="20"/>
        <v>SD BJERRUM CALPHA TRAP9</v>
      </c>
      <c r="H217" s="5" t="str">
        <f t="shared" si="21"/>
        <v>[-]</v>
      </c>
      <c r="I217" s="5" t="s">
        <v>2462</v>
      </c>
      <c r="J217" s="5" t="s">
        <v>2463</v>
      </c>
      <c r="L217" s="9"/>
      <c r="M217" s="5" t="s">
        <v>2884</v>
      </c>
      <c r="P217" s="16"/>
      <c r="Q217" s="17"/>
      <c r="R217" s="17"/>
      <c r="S217" s="18"/>
      <c r="T217" s="18"/>
      <c r="U217" s="17"/>
      <c r="V217" s="18"/>
      <c r="W217" s="17"/>
      <c r="X217" s="17"/>
      <c r="Y217" s="17"/>
      <c r="Z217" s="17"/>
      <c r="AA217" s="17"/>
      <c r="AB217" s="18"/>
      <c r="AC217" s="17"/>
      <c r="AD217" s="17"/>
    </row>
    <row r="218" spans="1:30">
      <c r="A218" s="6">
        <f>ROW()</f>
        <v>218</v>
      </c>
      <c r="B218" s="7" t="s">
        <v>218</v>
      </c>
      <c r="C218" s="5" t="s">
        <v>463</v>
      </c>
      <c r="D218" s="8" t="s">
        <v>685</v>
      </c>
      <c r="E218" s="5" t="s">
        <v>897</v>
      </c>
      <c r="G218" s="5" t="str">
        <f t="shared" si="20"/>
        <v>SD BJERRUM CALPHA TRAP10</v>
      </c>
      <c r="H218" s="5" t="str">
        <f t="shared" si="21"/>
        <v>[-]</v>
      </c>
      <c r="I218" s="5" t="s">
        <v>2462</v>
      </c>
      <c r="J218" s="5" t="s">
        <v>2463</v>
      </c>
      <c r="L218" s="9"/>
      <c r="M218" s="5" t="s">
        <v>2885</v>
      </c>
      <c r="P218" s="16"/>
      <c r="Q218" s="17"/>
      <c r="R218" s="17"/>
      <c r="S218" s="18"/>
      <c r="T218" s="18"/>
      <c r="U218" s="17"/>
      <c r="V218" s="18"/>
      <c r="W218" s="17"/>
      <c r="X218" s="17"/>
      <c r="Y218" s="17"/>
      <c r="Z218" s="17"/>
      <c r="AA218" s="17"/>
      <c r="AB218" s="18"/>
      <c r="AC218" s="17"/>
      <c r="AD218" s="17"/>
    </row>
    <row r="219" spans="1:30">
      <c r="A219" s="6">
        <f>ROW()</f>
        <v>219</v>
      </c>
      <c r="B219" s="7" t="s">
        <v>219</v>
      </c>
      <c r="C219" s="5" t="s">
        <v>463</v>
      </c>
      <c r="D219" s="10" t="s">
        <v>686</v>
      </c>
      <c r="E219" s="5" t="s">
        <v>897</v>
      </c>
      <c r="G219" s="5" t="str">
        <f t="shared" si="20"/>
        <v>SD BJERRUM V0</v>
      </c>
      <c r="H219" s="5" t="str">
        <f t="shared" si="21"/>
        <v>[-]</v>
      </c>
      <c r="I219" s="5" t="s">
        <v>2462</v>
      </c>
      <c r="J219" s="5" t="s">
        <v>2463</v>
      </c>
      <c r="L219" s="9"/>
      <c r="M219" s="5" t="s">
        <v>2886</v>
      </c>
      <c r="P219" s="16"/>
      <c r="Q219" s="17"/>
      <c r="R219" s="17"/>
      <c r="S219" s="18"/>
      <c r="T219" s="18"/>
      <c r="U219" s="17"/>
      <c r="V219" s="18"/>
      <c r="W219" s="17"/>
      <c r="X219" s="17"/>
      <c r="Y219" s="17"/>
      <c r="Z219" s="17"/>
      <c r="AA219" s="17"/>
      <c r="AB219" s="18"/>
      <c r="AC219" s="17"/>
      <c r="AD219" s="17"/>
    </row>
    <row r="220" spans="1:30">
      <c r="A220" s="6">
        <f>ROW()</f>
        <v>220</v>
      </c>
      <c r="B220" s="7" t="s">
        <v>220</v>
      </c>
      <c r="C220" s="5" t="s">
        <v>470</v>
      </c>
      <c r="D220" s="8" t="s">
        <v>687</v>
      </c>
      <c r="E220" s="5" t="s">
        <v>897</v>
      </c>
      <c r="G220" s="5" t="str">
        <f t="shared" si="20"/>
        <v>SD KOPPEJAN GRENSSPANNING</v>
      </c>
      <c r="H220" s="5" t="str">
        <f t="shared" si="21"/>
        <v>[kPa]</v>
      </c>
      <c r="I220" s="5" t="s">
        <v>2462</v>
      </c>
      <c r="J220" s="5" t="s">
        <v>2463</v>
      </c>
      <c r="L220" s="9"/>
      <c r="M220" s="5" t="s">
        <v>2887</v>
      </c>
      <c r="P220" s="16"/>
      <c r="Q220" s="17"/>
      <c r="R220" s="17"/>
      <c r="S220" s="18"/>
      <c r="T220" s="18"/>
      <c r="U220" s="17"/>
      <c r="V220" s="18"/>
      <c r="W220" s="17"/>
      <c r="X220" s="17"/>
      <c r="Y220" s="17"/>
      <c r="Z220" s="17"/>
      <c r="AA220" s="17"/>
      <c r="AB220" s="18"/>
      <c r="AC220" s="17"/>
      <c r="AD220" s="17"/>
    </row>
    <row r="221" spans="1:30" ht="25.5">
      <c r="A221" s="6">
        <f>ROW()</f>
        <v>221</v>
      </c>
      <c r="B221" s="7" t="s">
        <v>221</v>
      </c>
      <c r="C221" s="5" t="s">
        <v>468</v>
      </c>
      <c r="D221" s="8" t="s">
        <v>688</v>
      </c>
      <c r="E221" s="5" t="s">
        <v>897</v>
      </c>
      <c r="F221" s="8" t="s">
        <v>911</v>
      </c>
      <c r="G221" s="5" t="str">
        <f t="shared" si="20"/>
        <v>SD KOPPEJAN REK BIJ GRENSSPANNING</v>
      </c>
      <c r="H221" s="5" t="str">
        <f t="shared" si="21"/>
        <v>[%]</v>
      </c>
      <c r="I221" s="5" t="s">
        <v>2462</v>
      </c>
      <c r="J221" s="5" t="s">
        <v>2463</v>
      </c>
      <c r="L221" s="9"/>
      <c r="M221" s="5" t="s">
        <v>2888</v>
      </c>
      <c r="P221" s="16"/>
      <c r="Q221" s="17"/>
      <c r="R221" s="17"/>
      <c r="S221" s="18"/>
      <c r="T221" s="18"/>
      <c r="U221" s="17"/>
      <c r="V221" s="18"/>
      <c r="W221" s="17"/>
      <c r="X221" s="17"/>
      <c r="Y221" s="17"/>
      <c r="Z221" s="17"/>
      <c r="AA221" s="17"/>
      <c r="AB221" s="18"/>
      <c r="AC221" s="17"/>
      <c r="AD221" s="17"/>
    </row>
    <row r="222" spans="1:30" ht="25.5">
      <c r="A222" s="6">
        <f>ROW()</f>
        <v>222</v>
      </c>
      <c r="B222" s="7" t="s">
        <v>222</v>
      </c>
      <c r="C222" s="5" t="s">
        <v>463</v>
      </c>
      <c r="D222" s="8" t="s">
        <v>689</v>
      </c>
      <c r="E222" s="5" t="s">
        <v>897</v>
      </c>
      <c r="G222" s="5" t="str">
        <f t="shared" si="20"/>
        <v>SD KOPPEJAN C</v>
      </c>
      <c r="H222" s="5" t="str">
        <f t="shared" si="21"/>
        <v>[-]</v>
      </c>
      <c r="I222" s="5" t="s">
        <v>2462</v>
      </c>
      <c r="J222" s="5" t="s">
        <v>2463</v>
      </c>
      <c r="L222" s="9"/>
      <c r="M222" s="5" t="s">
        <v>2889</v>
      </c>
      <c r="P222" s="16"/>
      <c r="Q222" s="17"/>
      <c r="R222" s="17"/>
      <c r="S222" s="18"/>
      <c r="T222" s="18"/>
      <c r="U222" s="17"/>
      <c r="V222" s="18"/>
      <c r="W222" s="17"/>
      <c r="X222" s="17"/>
      <c r="Y222" s="17"/>
      <c r="Z222" s="17"/>
      <c r="AA222" s="17"/>
      <c r="AB222" s="18"/>
      <c r="AC222" s="17"/>
      <c r="AD222" s="17"/>
    </row>
    <row r="223" spans="1:30" ht="25.5">
      <c r="A223" s="6">
        <f>ROW()</f>
        <v>223</v>
      </c>
      <c r="B223" s="7" t="s">
        <v>223</v>
      </c>
      <c r="C223" s="5" t="s">
        <v>463</v>
      </c>
      <c r="D223" s="8" t="s">
        <v>690</v>
      </c>
      <c r="E223" s="5" t="s">
        <v>897</v>
      </c>
      <c r="G223" s="5" t="str">
        <f t="shared" si="20"/>
        <v>SD KOPPEJAN C'</v>
      </c>
      <c r="H223" s="5" t="str">
        <f t="shared" si="21"/>
        <v>[-]</v>
      </c>
      <c r="I223" s="5" t="s">
        <v>2462</v>
      </c>
      <c r="J223" s="5" t="s">
        <v>2463</v>
      </c>
      <c r="L223" s="9"/>
      <c r="M223" s="5" t="s">
        <v>2890</v>
      </c>
      <c r="P223" s="16"/>
      <c r="Q223" s="17"/>
      <c r="R223" s="17"/>
      <c r="S223" s="18"/>
      <c r="T223" s="18"/>
      <c r="U223" s="17"/>
      <c r="V223" s="18"/>
      <c r="W223" s="17"/>
      <c r="X223" s="17"/>
      <c r="Y223" s="17"/>
      <c r="Z223" s="17"/>
      <c r="AA223" s="17"/>
      <c r="AB223" s="18"/>
      <c r="AC223" s="17"/>
      <c r="AD223" s="17"/>
    </row>
    <row r="224" spans="1:30" ht="25.5">
      <c r="A224" s="6">
        <f>ROW()</f>
        <v>224</v>
      </c>
      <c r="B224" s="7" t="s">
        <v>224</v>
      </c>
      <c r="C224" s="5" t="s">
        <v>463</v>
      </c>
      <c r="D224" s="8" t="s">
        <v>691</v>
      </c>
      <c r="E224" s="5" t="s">
        <v>897</v>
      </c>
      <c r="G224" s="5" t="str">
        <f t="shared" si="20"/>
        <v>SD KOPPEJAN C TRAP2 3</v>
      </c>
      <c r="H224" s="5" t="str">
        <f t="shared" si="21"/>
        <v>[-]</v>
      </c>
      <c r="I224" s="5" t="s">
        <v>2462</v>
      </c>
      <c r="J224" s="5" t="s">
        <v>2463</v>
      </c>
      <c r="L224" s="9"/>
      <c r="M224" s="5" t="s">
        <v>2891</v>
      </c>
      <c r="P224" s="16"/>
      <c r="Q224" s="17"/>
      <c r="R224" s="17"/>
      <c r="S224" s="18"/>
      <c r="T224" s="18"/>
      <c r="U224" s="17"/>
      <c r="V224" s="18"/>
      <c r="W224" s="17"/>
      <c r="X224" s="17"/>
      <c r="Y224" s="17"/>
      <c r="Z224" s="17"/>
      <c r="AA224" s="17"/>
      <c r="AB224" s="18"/>
      <c r="AC224" s="17"/>
      <c r="AD224" s="17"/>
    </row>
    <row r="225" spans="1:30" ht="25.5">
      <c r="A225" s="6">
        <f>ROW()</f>
        <v>225</v>
      </c>
      <c r="B225" s="7" t="s">
        <v>225</v>
      </c>
      <c r="C225" s="5" t="s">
        <v>463</v>
      </c>
      <c r="D225" s="8" t="s">
        <v>692</v>
      </c>
      <c r="E225" s="5" t="s">
        <v>897</v>
      </c>
      <c r="G225" s="5" t="str">
        <f t="shared" si="20"/>
        <v>SD KOPPEJAN C TRAP3 4</v>
      </c>
      <c r="H225" s="5" t="str">
        <f t="shared" si="21"/>
        <v>[-]</v>
      </c>
      <c r="I225" s="5" t="s">
        <v>2462</v>
      </c>
      <c r="J225" s="5" t="s">
        <v>2463</v>
      </c>
      <c r="L225" s="9"/>
      <c r="M225" s="5" t="s">
        <v>2892</v>
      </c>
      <c r="P225" s="16"/>
      <c r="Q225" s="17"/>
      <c r="R225" s="17"/>
      <c r="S225" s="18"/>
      <c r="T225" s="18"/>
      <c r="U225" s="17"/>
      <c r="V225" s="18"/>
      <c r="W225" s="17"/>
      <c r="X225" s="17"/>
      <c r="Y225" s="17"/>
      <c r="Z225" s="17"/>
      <c r="AA225" s="17"/>
      <c r="AB225" s="18"/>
      <c r="AC225" s="17"/>
      <c r="AD225" s="17"/>
    </row>
    <row r="226" spans="1:30" ht="25.5">
      <c r="A226" s="6">
        <f>ROW()</f>
        <v>226</v>
      </c>
      <c r="B226" s="7" t="s">
        <v>226</v>
      </c>
      <c r="C226" s="5" t="s">
        <v>463</v>
      </c>
      <c r="D226" s="8" t="s">
        <v>693</v>
      </c>
      <c r="E226" s="5" t="s">
        <v>897</v>
      </c>
      <c r="G226" s="5" t="str">
        <f t="shared" si="20"/>
        <v>SD KOPPEJAN C TRAP4 5</v>
      </c>
      <c r="H226" s="5" t="str">
        <f t="shared" si="21"/>
        <v>[-]</v>
      </c>
      <c r="I226" s="5" t="s">
        <v>2462</v>
      </c>
      <c r="J226" s="5" t="s">
        <v>2463</v>
      </c>
      <c r="L226" s="9"/>
      <c r="M226" s="5" t="s">
        <v>2893</v>
      </c>
      <c r="P226" s="16"/>
      <c r="Q226" s="17"/>
      <c r="R226" s="17"/>
      <c r="S226" s="18"/>
      <c r="T226" s="18"/>
      <c r="U226" s="17"/>
      <c r="V226" s="18"/>
      <c r="W226" s="17"/>
      <c r="X226" s="17"/>
      <c r="Y226" s="17"/>
      <c r="Z226" s="17"/>
      <c r="AA226" s="17"/>
      <c r="AB226" s="18"/>
      <c r="AC226" s="17"/>
      <c r="AD226" s="17"/>
    </row>
    <row r="227" spans="1:30" ht="25.5">
      <c r="A227" s="6">
        <f>ROW()</f>
        <v>227</v>
      </c>
      <c r="B227" s="7" t="s">
        <v>227</v>
      </c>
      <c r="C227" s="5" t="s">
        <v>463</v>
      </c>
      <c r="D227" s="8" t="s">
        <v>694</v>
      </c>
      <c r="E227" s="5" t="s">
        <v>897</v>
      </c>
      <c r="G227" s="5" t="str">
        <f t="shared" si="20"/>
        <v>SD KOPPEJAN C TRAP5 6</v>
      </c>
      <c r="H227" s="5" t="str">
        <f t="shared" si="21"/>
        <v>[-]</v>
      </c>
      <c r="I227" s="5" t="s">
        <v>2462</v>
      </c>
      <c r="J227" s="5" t="s">
        <v>2463</v>
      </c>
      <c r="L227" s="9"/>
      <c r="M227" s="5" t="s">
        <v>2894</v>
      </c>
      <c r="P227" s="16"/>
      <c r="Q227" s="17"/>
      <c r="R227" s="17"/>
      <c r="S227" s="18"/>
      <c r="T227" s="18"/>
      <c r="U227" s="17"/>
      <c r="V227" s="18"/>
      <c r="W227" s="17"/>
      <c r="X227" s="17"/>
      <c r="Y227" s="17"/>
      <c r="Z227" s="17"/>
      <c r="AA227" s="17"/>
      <c r="AB227" s="18"/>
      <c r="AC227" s="17"/>
      <c r="AD227" s="17"/>
    </row>
    <row r="228" spans="1:30" ht="25.5">
      <c r="A228" s="6">
        <f>ROW()</f>
        <v>228</v>
      </c>
      <c r="B228" s="7" t="s">
        <v>228</v>
      </c>
      <c r="C228" s="5" t="s">
        <v>463</v>
      </c>
      <c r="D228" s="8" t="s">
        <v>695</v>
      </c>
      <c r="E228" s="5" t="s">
        <v>897</v>
      </c>
      <c r="G228" s="5" t="str">
        <f t="shared" si="20"/>
        <v>SD KOPPEJAN C TRAP6 7</v>
      </c>
      <c r="H228" s="5" t="str">
        <f t="shared" si="21"/>
        <v>[-]</v>
      </c>
      <c r="I228" s="5" t="s">
        <v>2462</v>
      </c>
      <c r="J228" s="5" t="s">
        <v>2463</v>
      </c>
      <c r="L228" s="9"/>
      <c r="M228" s="5" t="s">
        <v>2895</v>
      </c>
      <c r="P228" s="16"/>
      <c r="Q228" s="17"/>
      <c r="R228" s="17"/>
      <c r="S228" s="18"/>
      <c r="T228" s="18"/>
      <c r="U228" s="17"/>
      <c r="V228" s="18"/>
      <c r="W228" s="17"/>
      <c r="X228" s="17"/>
      <c r="Y228" s="17"/>
      <c r="Z228" s="17"/>
      <c r="AA228" s="17"/>
      <c r="AB228" s="18"/>
      <c r="AC228" s="17"/>
      <c r="AD228" s="17"/>
    </row>
    <row r="229" spans="1:30" ht="25.5">
      <c r="A229" s="6">
        <f>ROW()</f>
        <v>229</v>
      </c>
      <c r="B229" s="7" t="s">
        <v>229</v>
      </c>
      <c r="C229" s="5" t="s">
        <v>463</v>
      </c>
      <c r="D229" s="8" t="s">
        <v>696</v>
      </c>
      <c r="E229" s="5" t="s">
        <v>897</v>
      </c>
      <c r="G229" s="5" t="str">
        <f t="shared" si="20"/>
        <v>SD KOPPEJAN C TRAP7 8</v>
      </c>
      <c r="H229" s="5" t="str">
        <f t="shared" si="21"/>
        <v>[-]</v>
      </c>
      <c r="I229" s="5" t="s">
        <v>2462</v>
      </c>
      <c r="J229" s="5" t="s">
        <v>2463</v>
      </c>
      <c r="L229" s="9"/>
      <c r="M229" s="5" t="s">
        <v>2896</v>
      </c>
      <c r="P229" s="16"/>
      <c r="Q229" s="17"/>
      <c r="R229" s="17"/>
      <c r="S229" s="18"/>
      <c r="T229" s="18"/>
      <c r="U229" s="17"/>
      <c r="V229" s="18"/>
      <c r="W229" s="17"/>
      <c r="X229" s="17"/>
      <c r="Y229" s="17"/>
      <c r="Z229" s="17"/>
      <c r="AA229" s="17"/>
      <c r="AB229" s="18"/>
      <c r="AC229" s="17"/>
      <c r="AD229" s="17"/>
    </row>
    <row r="230" spans="1:30" ht="25.5">
      <c r="A230" s="6">
        <f>ROW()</f>
        <v>230</v>
      </c>
      <c r="B230" s="7" t="s">
        <v>230</v>
      </c>
      <c r="C230" s="5" t="s">
        <v>463</v>
      </c>
      <c r="D230" s="8" t="s">
        <v>697</v>
      </c>
      <c r="E230" s="5" t="s">
        <v>897</v>
      </c>
      <c r="G230" s="5" t="str">
        <f t="shared" si="20"/>
        <v>SD KOPPEJAN C TRAP8 9</v>
      </c>
      <c r="H230" s="5" t="str">
        <f t="shared" si="21"/>
        <v>[-]</v>
      </c>
      <c r="I230" s="5" t="s">
        <v>2462</v>
      </c>
      <c r="J230" s="5" t="s">
        <v>2463</v>
      </c>
      <c r="L230" s="9"/>
      <c r="M230" s="5" t="s">
        <v>2897</v>
      </c>
      <c r="P230" s="16"/>
      <c r="Q230" s="17"/>
      <c r="R230" s="17"/>
      <c r="S230" s="18"/>
      <c r="T230" s="18"/>
      <c r="U230" s="17"/>
      <c r="V230" s="18"/>
      <c r="W230" s="17"/>
      <c r="X230" s="17"/>
      <c r="Y230" s="17"/>
      <c r="Z230" s="17"/>
      <c r="AA230" s="17"/>
      <c r="AB230" s="18"/>
      <c r="AC230" s="17"/>
      <c r="AD230" s="17"/>
    </row>
    <row r="231" spans="1:30" ht="25.5">
      <c r="A231" s="6">
        <f>ROW()</f>
        <v>231</v>
      </c>
      <c r="B231" s="7" t="s">
        <v>231</v>
      </c>
      <c r="C231" s="5" t="s">
        <v>463</v>
      </c>
      <c r="D231" s="8" t="s">
        <v>698</v>
      </c>
      <c r="E231" s="5" t="s">
        <v>897</v>
      </c>
      <c r="G231" s="5" t="str">
        <f t="shared" si="20"/>
        <v>SD KOPPEJAN CP</v>
      </c>
      <c r="H231" s="5" t="str">
        <f t="shared" si="21"/>
        <v>[-]</v>
      </c>
      <c r="I231" s="5" t="s">
        <v>2462</v>
      </c>
      <c r="J231" s="5" t="s">
        <v>2463</v>
      </c>
      <c r="L231" s="9"/>
      <c r="M231" s="5" t="s">
        <v>2898</v>
      </c>
      <c r="P231" s="16"/>
      <c r="Q231" s="17"/>
      <c r="R231" s="17"/>
      <c r="S231" s="18"/>
      <c r="T231" s="18"/>
      <c r="U231" s="17"/>
      <c r="V231" s="18"/>
      <c r="W231" s="17"/>
      <c r="X231" s="17"/>
      <c r="Y231" s="17"/>
      <c r="Z231" s="17"/>
      <c r="AA231" s="17"/>
      <c r="AB231" s="18"/>
      <c r="AC231" s="17"/>
      <c r="AD231" s="17"/>
    </row>
    <row r="232" spans="1:30" ht="25.5">
      <c r="A232" s="6">
        <f>ROW()</f>
        <v>232</v>
      </c>
      <c r="B232" s="7" t="s">
        <v>232</v>
      </c>
      <c r="C232" s="5" t="s">
        <v>463</v>
      </c>
      <c r="D232" s="8" t="s">
        <v>699</v>
      </c>
      <c r="E232" s="5" t="s">
        <v>897</v>
      </c>
      <c r="G232" s="5" t="str">
        <f t="shared" si="20"/>
        <v>SD KOPPEJAN C'P</v>
      </c>
      <c r="H232" s="5" t="str">
        <f t="shared" si="21"/>
        <v>[-]</v>
      </c>
      <c r="I232" s="5" t="s">
        <v>2462</v>
      </c>
      <c r="J232" s="5" t="s">
        <v>2463</v>
      </c>
      <c r="L232" s="9"/>
      <c r="M232" s="5" t="s">
        <v>2899</v>
      </c>
      <c r="P232" s="16"/>
      <c r="Q232" s="17"/>
      <c r="R232" s="17"/>
      <c r="S232" s="18"/>
      <c r="T232" s="18"/>
      <c r="U232" s="17"/>
      <c r="V232" s="18"/>
      <c r="W232" s="17"/>
      <c r="X232" s="17"/>
      <c r="Y232" s="17"/>
      <c r="Z232" s="17"/>
      <c r="AA232" s="17"/>
      <c r="AB232" s="18"/>
      <c r="AC232" s="17"/>
      <c r="AD232" s="17"/>
    </row>
    <row r="233" spans="1:30" ht="25.5">
      <c r="A233" s="6">
        <f>ROW()</f>
        <v>233</v>
      </c>
      <c r="B233" s="7" t="s">
        <v>233</v>
      </c>
      <c r="C233" s="5" t="s">
        <v>463</v>
      </c>
      <c r="D233" s="8" t="s">
        <v>700</v>
      </c>
      <c r="E233" s="5" t="s">
        <v>897</v>
      </c>
      <c r="G233" s="5" t="str">
        <f t="shared" si="20"/>
        <v>SD KOPPEJAN CP TRAP2 3</v>
      </c>
      <c r="H233" s="5" t="str">
        <f t="shared" si="21"/>
        <v>[-]</v>
      </c>
      <c r="I233" s="5" t="s">
        <v>2462</v>
      </c>
      <c r="J233" s="5" t="s">
        <v>2463</v>
      </c>
      <c r="L233" s="9"/>
      <c r="M233" s="5" t="s">
        <v>2900</v>
      </c>
      <c r="P233" s="16"/>
      <c r="Q233" s="17"/>
      <c r="R233" s="17"/>
      <c r="S233" s="18"/>
      <c r="T233" s="18"/>
      <c r="U233" s="17"/>
      <c r="V233" s="18"/>
      <c r="W233" s="17"/>
      <c r="X233" s="17"/>
      <c r="Y233" s="17"/>
      <c r="Z233" s="17"/>
      <c r="AA233" s="17"/>
      <c r="AB233" s="18"/>
      <c r="AC233" s="17"/>
      <c r="AD233" s="17"/>
    </row>
    <row r="234" spans="1:30" ht="25.5">
      <c r="A234" s="6">
        <f>ROW()</f>
        <v>234</v>
      </c>
      <c r="B234" s="7" t="s">
        <v>234</v>
      </c>
      <c r="C234" s="5" t="s">
        <v>463</v>
      </c>
      <c r="D234" s="8" t="s">
        <v>701</v>
      </c>
      <c r="E234" s="5" t="s">
        <v>897</v>
      </c>
      <c r="G234" s="5" t="str">
        <f t="shared" si="20"/>
        <v>SD KOPPEJAN CP TRAP3 4</v>
      </c>
      <c r="H234" s="5" t="str">
        <f t="shared" si="21"/>
        <v>[-]</v>
      </c>
      <c r="I234" s="5" t="s">
        <v>2462</v>
      </c>
      <c r="J234" s="5" t="s">
        <v>2463</v>
      </c>
      <c r="L234" s="9"/>
      <c r="M234" s="5" t="s">
        <v>2901</v>
      </c>
      <c r="P234" s="16"/>
      <c r="Q234" s="17"/>
      <c r="R234" s="17"/>
      <c r="S234" s="18"/>
      <c r="T234" s="18"/>
      <c r="U234" s="17"/>
      <c r="V234" s="18"/>
      <c r="W234" s="17"/>
      <c r="X234" s="17"/>
      <c r="Y234" s="17"/>
      <c r="Z234" s="17"/>
      <c r="AA234" s="17"/>
      <c r="AB234" s="18"/>
      <c r="AC234" s="17"/>
      <c r="AD234" s="17"/>
    </row>
    <row r="235" spans="1:30" ht="25.5">
      <c r="A235" s="6">
        <f>ROW()</f>
        <v>235</v>
      </c>
      <c r="B235" s="7" t="s">
        <v>235</v>
      </c>
      <c r="C235" s="5" t="s">
        <v>463</v>
      </c>
      <c r="D235" s="8" t="s">
        <v>702</v>
      </c>
      <c r="E235" s="5" t="s">
        <v>897</v>
      </c>
      <c r="G235" s="5" t="str">
        <f t="shared" si="20"/>
        <v>SD KOPPEJAN CP TRAP4 5</v>
      </c>
      <c r="H235" s="5" t="str">
        <f t="shared" si="21"/>
        <v>[-]</v>
      </c>
      <c r="I235" s="5" t="s">
        <v>2462</v>
      </c>
      <c r="J235" s="5" t="s">
        <v>2463</v>
      </c>
      <c r="L235" s="9"/>
      <c r="M235" s="5" t="s">
        <v>2902</v>
      </c>
      <c r="P235" s="16"/>
      <c r="Q235" s="17"/>
      <c r="R235" s="17"/>
      <c r="S235" s="18"/>
      <c r="T235" s="18"/>
      <c r="U235" s="17"/>
      <c r="V235" s="18"/>
      <c r="W235" s="17"/>
      <c r="X235" s="17"/>
      <c r="Y235" s="17"/>
      <c r="Z235" s="17"/>
      <c r="AA235" s="17"/>
      <c r="AB235" s="18"/>
      <c r="AC235" s="17"/>
      <c r="AD235" s="17"/>
    </row>
    <row r="236" spans="1:30" ht="25.5">
      <c r="A236" s="6">
        <f>ROW()</f>
        <v>236</v>
      </c>
      <c r="B236" s="7" t="s">
        <v>236</v>
      </c>
      <c r="C236" s="5" t="s">
        <v>463</v>
      </c>
      <c r="D236" s="8" t="s">
        <v>703</v>
      </c>
      <c r="E236" s="5" t="s">
        <v>897</v>
      </c>
      <c r="G236" s="5" t="str">
        <f t="shared" si="20"/>
        <v>SD KOPPEJAN CP TRAP5 6</v>
      </c>
      <c r="H236" s="5" t="str">
        <f t="shared" si="21"/>
        <v>[-]</v>
      </c>
      <c r="I236" s="5" t="s">
        <v>2462</v>
      </c>
      <c r="J236" s="5" t="s">
        <v>2463</v>
      </c>
      <c r="L236" s="9"/>
      <c r="M236" s="5" t="s">
        <v>2903</v>
      </c>
      <c r="P236" s="16"/>
      <c r="Q236" s="17"/>
      <c r="R236" s="17"/>
      <c r="S236" s="18"/>
      <c r="T236" s="18"/>
      <c r="U236" s="17"/>
      <c r="V236" s="18"/>
      <c r="W236" s="17"/>
      <c r="X236" s="17"/>
      <c r="Y236" s="17"/>
      <c r="Z236" s="17"/>
      <c r="AA236" s="17"/>
      <c r="AB236" s="18"/>
      <c r="AC236" s="17"/>
      <c r="AD236" s="17"/>
    </row>
    <row r="237" spans="1:30" ht="25.5">
      <c r="A237" s="6">
        <f>ROW()</f>
        <v>237</v>
      </c>
      <c r="B237" s="7" t="s">
        <v>237</v>
      </c>
      <c r="C237" s="5" t="s">
        <v>463</v>
      </c>
      <c r="D237" s="8" t="s">
        <v>704</v>
      </c>
      <c r="E237" s="5" t="s">
        <v>897</v>
      </c>
      <c r="G237" s="5" t="str">
        <f t="shared" si="20"/>
        <v>SD KOPPEJAN CP TRAP6 7</v>
      </c>
      <c r="H237" s="5" t="str">
        <f t="shared" si="21"/>
        <v>[-]</v>
      </c>
      <c r="I237" s="5" t="s">
        <v>2462</v>
      </c>
      <c r="J237" s="5" t="s">
        <v>2463</v>
      </c>
      <c r="L237" s="9"/>
      <c r="M237" s="5" t="s">
        <v>2904</v>
      </c>
      <c r="P237" s="16"/>
      <c r="Q237" s="17"/>
      <c r="R237" s="17"/>
      <c r="S237" s="18"/>
      <c r="T237" s="18"/>
      <c r="U237" s="17"/>
      <c r="V237" s="18"/>
      <c r="W237" s="17"/>
      <c r="X237" s="17"/>
      <c r="Y237" s="17"/>
      <c r="Z237" s="17"/>
      <c r="AA237" s="17"/>
      <c r="AB237" s="18"/>
      <c r="AC237" s="17"/>
      <c r="AD237" s="17"/>
    </row>
    <row r="238" spans="1:30" ht="25.5">
      <c r="A238" s="6">
        <f>ROW()</f>
        <v>238</v>
      </c>
      <c r="B238" s="7" t="s">
        <v>238</v>
      </c>
      <c r="C238" s="5" t="s">
        <v>463</v>
      </c>
      <c r="D238" s="8" t="s">
        <v>705</v>
      </c>
      <c r="E238" s="5" t="s">
        <v>897</v>
      </c>
      <c r="G238" s="5" t="str">
        <f t="shared" si="20"/>
        <v>SD KOPPEJAN CP TRAP7 8</v>
      </c>
      <c r="H238" s="5" t="str">
        <f t="shared" si="21"/>
        <v>[-]</v>
      </c>
      <c r="I238" s="5" t="s">
        <v>2462</v>
      </c>
      <c r="J238" s="5" t="s">
        <v>2463</v>
      </c>
      <c r="L238" s="9"/>
      <c r="M238" s="5" t="s">
        <v>2905</v>
      </c>
      <c r="P238" s="16"/>
      <c r="Q238" s="17"/>
      <c r="R238" s="17"/>
      <c r="S238" s="18"/>
      <c r="T238" s="18"/>
      <c r="U238" s="17"/>
      <c r="V238" s="18"/>
      <c r="W238" s="17"/>
      <c r="X238" s="17"/>
      <c r="Y238" s="17"/>
      <c r="Z238" s="17"/>
      <c r="AA238" s="17"/>
      <c r="AB238" s="18"/>
      <c r="AC238" s="17"/>
      <c r="AD238" s="17"/>
    </row>
    <row r="239" spans="1:30" ht="25.5">
      <c r="A239" s="6">
        <f>ROW()</f>
        <v>239</v>
      </c>
      <c r="B239" s="7" t="s">
        <v>239</v>
      </c>
      <c r="C239" s="5" t="s">
        <v>463</v>
      </c>
      <c r="D239" s="8" t="s">
        <v>706</v>
      </c>
      <c r="E239" s="5" t="s">
        <v>897</v>
      </c>
      <c r="G239" s="5" t="str">
        <f t="shared" si="20"/>
        <v>SD KOPPEJAN CP TRAP8 9</v>
      </c>
      <c r="H239" s="5" t="str">
        <f t="shared" si="21"/>
        <v>[-]</v>
      </c>
      <c r="I239" s="5" t="s">
        <v>2462</v>
      </c>
      <c r="J239" s="5" t="s">
        <v>2463</v>
      </c>
      <c r="L239" s="9"/>
      <c r="M239" s="5" t="s">
        <v>2906</v>
      </c>
      <c r="P239" s="16"/>
      <c r="Q239" s="17"/>
      <c r="R239" s="17"/>
      <c r="S239" s="18"/>
      <c r="T239" s="18"/>
      <c r="U239" s="17"/>
      <c r="V239" s="18"/>
      <c r="W239" s="17"/>
      <c r="X239" s="17"/>
      <c r="Y239" s="17"/>
      <c r="Z239" s="17"/>
      <c r="AA239" s="17"/>
      <c r="AB239" s="18"/>
      <c r="AC239" s="17"/>
      <c r="AD239" s="17"/>
    </row>
    <row r="240" spans="1:30" ht="25.5">
      <c r="A240" s="6">
        <f>ROW()</f>
        <v>240</v>
      </c>
      <c r="B240" s="7" t="s">
        <v>240</v>
      </c>
      <c r="C240" s="5" t="s">
        <v>463</v>
      </c>
      <c r="D240" s="8" t="s">
        <v>707</v>
      </c>
      <c r="E240" s="5" t="s">
        <v>897</v>
      </c>
      <c r="G240" s="5" t="str">
        <f t="shared" si="20"/>
        <v>SD KOPPEJAN CS</v>
      </c>
      <c r="H240" s="5" t="str">
        <f t="shared" si="21"/>
        <v>[-]</v>
      </c>
      <c r="I240" s="5" t="s">
        <v>2462</v>
      </c>
      <c r="J240" s="5" t="s">
        <v>2463</v>
      </c>
      <c r="L240" s="9"/>
      <c r="M240" s="5" t="s">
        <v>2907</v>
      </c>
      <c r="P240" s="16"/>
      <c r="Q240" s="17"/>
      <c r="R240" s="17"/>
      <c r="S240" s="18"/>
      <c r="T240" s="18"/>
      <c r="U240" s="17"/>
      <c r="V240" s="18"/>
      <c r="W240" s="17"/>
      <c r="X240" s="17"/>
      <c r="Y240" s="17"/>
      <c r="Z240" s="17"/>
      <c r="AA240" s="17"/>
      <c r="AB240" s="18"/>
      <c r="AC240" s="17"/>
      <c r="AD240" s="17"/>
    </row>
    <row r="241" spans="1:30" ht="25.5">
      <c r="A241" s="6">
        <f>ROW()</f>
        <v>241</v>
      </c>
      <c r="B241" s="7" t="s">
        <v>241</v>
      </c>
      <c r="C241" s="5" t="s">
        <v>463</v>
      </c>
      <c r="D241" s="8" t="s">
        <v>708</v>
      </c>
      <c r="E241" s="5" t="s">
        <v>897</v>
      </c>
      <c r="G241" s="5" t="str">
        <f t="shared" si="20"/>
        <v>SD KOPPEJAN C'S</v>
      </c>
      <c r="H241" s="5" t="str">
        <f t="shared" si="21"/>
        <v>[-]</v>
      </c>
      <c r="I241" s="5" t="s">
        <v>2462</v>
      </c>
      <c r="J241" s="5" t="s">
        <v>2463</v>
      </c>
      <c r="L241" s="9"/>
      <c r="M241" s="5" t="s">
        <v>2908</v>
      </c>
      <c r="P241" s="16"/>
      <c r="Q241" s="17"/>
      <c r="R241" s="17"/>
      <c r="S241" s="18"/>
      <c r="T241" s="18"/>
      <c r="U241" s="17"/>
      <c r="V241" s="18"/>
      <c r="W241" s="17"/>
      <c r="X241" s="17"/>
      <c r="Y241" s="17"/>
      <c r="Z241" s="17"/>
      <c r="AA241" s="17"/>
      <c r="AB241" s="18"/>
      <c r="AC241" s="17"/>
      <c r="AD241" s="17"/>
    </row>
    <row r="242" spans="1:30" ht="25.5">
      <c r="A242" s="6">
        <f>ROW()</f>
        <v>242</v>
      </c>
      <c r="B242" s="7" t="s">
        <v>242</v>
      </c>
      <c r="C242" s="5" t="s">
        <v>463</v>
      </c>
      <c r="D242" s="8" t="s">
        <v>709</v>
      </c>
      <c r="E242" s="5" t="s">
        <v>897</v>
      </c>
      <c r="G242" s="5" t="str">
        <f t="shared" si="20"/>
        <v>SD KOPPEJAN CS TRAP2 3</v>
      </c>
      <c r="H242" s="5" t="str">
        <f t="shared" si="21"/>
        <v>[-]</v>
      </c>
      <c r="I242" s="5" t="s">
        <v>2462</v>
      </c>
      <c r="J242" s="5" t="s">
        <v>2463</v>
      </c>
      <c r="L242" s="9"/>
      <c r="M242" s="5" t="s">
        <v>2909</v>
      </c>
      <c r="P242" s="16"/>
      <c r="Q242" s="17"/>
      <c r="R242" s="17"/>
      <c r="S242" s="18"/>
      <c r="T242" s="18"/>
      <c r="U242" s="17"/>
      <c r="V242" s="18"/>
      <c r="W242" s="17"/>
      <c r="X242" s="17"/>
      <c r="Y242" s="17"/>
      <c r="Z242" s="17"/>
      <c r="AA242" s="17"/>
      <c r="AB242" s="18"/>
      <c r="AC242" s="17"/>
      <c r="AD242" s="17"/>
    </row>
    <row r="243" spans="1:30" ht="25.5">
      <c r="A243" s="6">
        <f>ROW()</f>
        <v>243</v>
      </c>
      <c r="B243" s="7" t="s">
        <v>243</v>
      </c>
      <c r="C243" s="5" t="s">
        <v>463</v>
      </c>
      <c r="D243" s="8" t="s">
        <v>710</v>
      </c>
      <c r="E243" s="5" t="s">
        <v>897</v>
      </c>
      <c r="G243" s="5" t="str">
        <f t="shared" si="20"/>
        <v>SD KOPPEJAN CS TRAP3 4</v>
      </c>
      <c r="H243" s="5" t="str">
        <f t="shared" si="21"/>
        <v>[-]</v>
      </c>
      <c r="I243" s="5" t="s">
        <v>2462</v>
      </c>
      <c r="J243" s="5" t="s">
        <v>2463</v>
      </c>
      <c r="L243" s="9"/>
      <c r="M243" s="5" t="s">
        <v>2910</v>
      </c>
      <c r="P243" s="16"/>
      <c r="Q243" s="17"/>
      <c r="R243" s="17"/>
      <c r="S243" s="18"/>
      <c r="T243" s="18"/>
      <c r="U243" s="17"/>
      <c r="V243" s="18"/>
      <c r="W243" s="17"/>
      <c r="X243" s="17"/>
      <c r="Y243" s="17"/>
      <c r="Z243" s="17"/>
      <c r="AA243" s="17"/>
      <c r="AB243" s="18"/>
      <c r="AC243" s="17"/>
      <c r="AD243" s="17"/>
    </row>
    <row r="244" spans="1:30" ht="25.5">
      <c r="A244" s="6">
        <f>ROW()</f>
        <v>244</v>
      </c>
      <c r="B244" s="7" t="s">
        <v>244</v>
      </c>
      <c r="C244" s="5" t="s">
        <v>463</v>
      </c>
      <c r="D244" s="8" t="s">
        <v>711</v>
      </c>
      <c r="E244" s="5" t="s">
        <v>897</v>
      </c>
      <c r="G244" s="5" t="str">
        <f t="shared" si="20"/>
        <v>SD KOPPEJAN CS TRAP4 5</v>
      </c>
      <c r="H244" s="5" t="str">
        <f t="shared" si="21"/>
        <v>[-]</v>
      </c>
      <c r="I244" s="5" t="s">
        <v>2462</v>
      </c>
      <c r="J244" s="5" t="s">
        <v>2463</v>
      </c>
      <c r="L244" s="9"/>
      <c r="M244" s="5" t="s">
        <v>2911</v>
      </c>
      <c r="P244" s="16"/>
      <c r="Q244" s="17"/>
      <c r="R244" s="17"/>
      <c r="S244" s="18"/>
      <c r="T244" s="18"/>
      <c r="U244" s="17"/>
      <c r="V244" s="18"/>
      <c r="W244" s="17"/>
      <c r="X244" s="17"/>
      <c r="Y244" s="17"/>
      <c r="Z244" s="17"/>
      <c r="AA244" s="17"/>
      <c r="AB244" s="18"/>
      <c r="AC244" s="17"/>
      <c r="AD244" s="17"/>
    </row>
    <row r="245" spans="1:30" ht="25.5">
      <c r="A245" s="6">
        <f>ROW()</f>
        <v>245</v>
      </c>
      <c r="B245" s="7" t="s">
        <v>245</v>
      </c>
      <c r="C245" s="5" t="s">
        <v>463</v>
      </c>
      <c r="D245" s="8" t="s">
        <v>712</v>
      </c>
      <c r="E245" s="5" t="s">
        <v>897</v>
      </c>
      <c r="G245" s="5" t="str">
        <f t="shared" si="20"/>
        <v>SD KOPPEJAN CS TRAP5 6</v>
      </c>
      <c r="H245" s="5" t="str">
        <f t="shared" si="21"/>
        <v>[-]</v>
      </c>
      <c r="I245" s="5" t="s">
        <v>2462</v>
      </c>
      <c r="J245" s="5" t="s">
        <v>2463</v>
      </c>
      <c r="L245" s="9"/>
      <c r="M245" s="5" t="s">
        <v>2912</v>
      </c>
      <c r="P245" s="16"/>
      <c r="Q245" s="17"/>
      <c r="R245" s="17"/>
      <c r="S245" s="18"/>
      <c r="T245" s="18"/>
      <c r="U245" s="17"/>
      <c r="V245" s="18"/>
      <c r="W245" s="17"/>
      <c r="X245" s="17"/>
      <c r="Y245" s="17"/>
      <c r="Z245" s="17"/>
      <c r="AA245" s="17"/>
      <c r="AB245" s="18"/>
      <c r="AC245" s="17"/>
      <c r="AD245" s="17"/>
    </row>
    <row r="246" spans="1:30" ht="25.5">
      <c r="A246" s="6">
        <f>ROW()</f>
        <v>246</v>
      </c>
      <c r="B246" s="7" t="s">
        <v>246</v>
      </c>
      <c r="C246" s="5" t="s">
        <v>463</v>
      </c>
      <c r="D246" s="8" t="s">
        <v>713</v>
      </c>
      <c r="E246" s="5" t="s">
        <v>897</v>
      </c>
      <c r="G246" s="5" t="str">
        <f t="shared" si="20"/>
        <v>SD KOPPEJAN CS TRAP6 7</v>
      </c>
      <c r="H246" s="5" t="str">
        <f t="shared" si="21"/>
        <v>[-]</v>
      </c>
      <c r="I246" s="5" t="s">
        <v>2462</v>
      </c>
      <c r="J246" s="5" t="s">
        <v>2463</v>
      </c>
      <c r="L246" s="9"/>
      <c r="M246" s="5" t="s">
        <v>2913</v>
      </c>
      <c r="P246" s="16"/>
      <c r="Q246" s="17"/>
      <c r="R246" s="17"/>
      <c r="S246" s="18"/>
      <c r="T246" s="18"/>
      <c r="U246" s="17"/>
      <c r="V246" s="18"/>
      <c r="W246" s="17"/>
      <c r="X246" s="17"/>
      <c r="Y246" s="17"/>
      <c r="Z246" s="17"/>
      <c r="AA246" s="17"/>
      <c r="AB246" s="18"/>
      <c r="AC246" s="17"/>
      <c r="AD246" s="17"/>
    </row>
    <row r="247" spans="1:30" ht="25.5">
      <c r="A247" s="6">
        <f>ROW()</f>
        <v>247</v>
      </c>
      <c r="B247" s="7" t="s">
        <v>247</v>
      </c>
      <c r="C247" s="5" t="s">
        <v>463</v>
      </c>
      <c r="D247" s="8" t="s">
        <v>714</v>
      </c>
      <c r="E247" s="5" t="s">
        <v>897</v>
      </c>
      <c r="G247" s="5" t="str">
        <f t="shared" si="20"/>
        <v>SD KOPPEJAN CS TRAP7 8</v>
      </c>
      <c r="H247" s="5" t="str">
        <f t="shared" si="21"/>
        <v>[-]</v>
      </c>
      <c r="I247" s="5" t="s">
        <v>2462</v>
      </c>
      <c r="J247" s="5" t="s">
        <v>2463</v>
      </c>
      <c r="L247" s="9"/>
      <c r="M247" s="5" t="s">
        <v>2914</v>
      </c>
      <c r="P247" s="16"/>
      <c r="Q247" s="17"/>
      <c r="R247" s="17"/>
      <c r="S247" s="18"/>
      <c r="T247" s="18"/>
      <c r="U247" s="17"/>
      <c r="V247" s="18"/>
      <c r="W247" s="17"/>
      <c r="X247" s="17"/>
      <c r="Y247" s="17"/>
      <c r="Z247" s="17"/>
      <c r="AA247" s="17"/>
      <c r="AB247" s="18"/>
      <c r="AC247" s="17"/>
      <c r="AD247" s="17"/>
    </row>
    <row r="248" spans="1:30" ht="25.5">
      <c r="A248" s="6">
        <f>ROW()</f>
        <v>248</v>
      </c>
      <c r="B248" s="7" t="s">
        <v>248</v>
      </c>
      <c r="C248" s="5" t="s">
        <v>463</v>
      </c>
      <c r="D248" s="8" t="s">
        <v>715</v>
      </c>
      <c r="E248" s="5" t="s">
        <v>897</v>
      </c>
      <c r="G248" s="5" t="str">
        <f t="shared" si="20"/>
        <v>SD KOPPEJAN CS TRAP8 9</v>
      </c>
      <c r="H248" s="5" t="str">
        <f t="shared" si="21"/>
        <v>[-]</v>
      </c>
      <c r="I248" s="5" t="s">
        <v>2462</v>
      </c>
      <c r="J248" s="5" t="s">
        <v>2463</v>
      </c>
      <c r="L248" s="9"/>
      <c r="M248" s="5" t="s">
        <v>2915</v>
      </c>
      <c r="P248" s="16"/>
      <c r="Q248" s="17"/>
      <c r="R248" s="17"/>
      <c r="S248" s="18"/>
      <c r="T248" s="18"/>
      <c r="U248" s="17"/>
      <c r="V248" s="18"/>
      <c r="W248" s="17"/>
      <c r="X248" s="17"/>
      <c r="Y248" s="17"/>
      <c r="Z248" s="17"/>
      <c r="AA248" s="17"/>
      <c r="AB248" s="18"/>
      <c r="AC248" s="17"/>
      <c r="AD248" s="17"/>
    </row>
    <row r="249" spans="1:30">
      <c r="A249" s="6">
        <f>ROW()</f>
        <v>249</v>
      </c>
      <c r="B249" s="7" t="s">
        <v>249</v>
      </c>
      <c r="C249" s="5" t="s">
        <v>463</v>
      </c>
      <c r="D249" s="8" t="s">
        <v>716</v>
      </c>
      <c r="E249" s="5" t="s">
        <v>897</v>
      </c>
      <c r="F249" s="8" t="s">
        <v>924</v>
      </c>
      <c r="G249" s="5" t="str">
        <f t="shared" si="20"/>
        <v>SD ISOTACHE A</v>
      </c>
      <c r="H249" s="5" t="str">
        <f t="shared" si="21"/>
        <v>[-]</v>
      </c>
      <c r="I249" s="5" t="s">
        <v>2462</v>
      </c>
      <c r="J249" s="5" t="s">
        <v>2463</v>
      </c>
      <c r="L249" s="9"/>
      <c r="M249" s="5" t="s">
        <v>2916</v>
      </c>
      <c r="P249" s="16"/>
      <c r="Q249" s="17"/>
      <c r="R249" s="17"/>
      <c r="S249" s="18"/>
      <c r="T249" s="18"/>
      <c r="U249" s="17"/>
      <c r="V249" s="18"/>
      <c r="W249" s="17"/>
      <c r="X249" s="17"/>
      <c r="Y249" s="17"/>
      <c r="Z249" s="17"/>
      <c r="AA249" s="17"/>
      <c r="AB249" s="18"/>
      <c r="AC249" s="17"/>
      <c r="AD249" s="17"/>
    </row>
    <row r="250" spans="1:30">
      <c r="A250" s="6">
        <f>ROW()</f>
        <v>250</v>
      </c>
      <c r="B250" s="7" t="s">
        <v>250</v>
      </c>
      <c r="C250" s="5" t="s">
        <v>463</v>
      </c>
      <c r="D250" s="8" t="s">
        <v>717</v>
      </c>
      <c r="E250" s="5" t="s">
        <v>897</v>
      </c>
      <c r="F250" s="8" t="s">
        <v>924</v>
      </c>
      <c r="G250" s="5" t="str">
        <f t="shared" si="20"/>
        <v>SD ISOTACHE B</v>
      </c>
      <c r="H250" s="5" t="str">
        <f t="shared" si="21"/>
        <v>[-]</v>
      </c>
      <c r="I250" s="5" t="s">
        <v>2462</v>
      </c>
      <c r="J250" s="5" t="s">
        <v>2463</v>
      </c>
      <c r="L250" s="9"/>
      <c r="M250" s="5" t="s">
        <v>2917</v>
      </c>
      <c r="P250" s="16"/>
      <c r="Q250" s="17"/>
      <c r="R250" s="17"/>
      <c r="S250" s="18"/>
      <c r="T250" s="18"/>
      <c r="U250" s="17"/>
      <c r="V250" s="18"/>
      <c r="W250" s="17"/>
      <c r="X250" s="17"/>
      <c r="Y250" s="17"/>
      <c r="Z250" s="17"/>
      <c r="AA250" s="17"/>
      <c r="AB250" s="18"/>
      <c r="AC250" s="17"/>
      <c r="AD250" s="17"/>
    </row>
    <row r="251" spans="1:30">
      <c r="A251" s="6">
        <f>ROW()</f>
        <v>251</v>
      </c>
      <c r="B251" s="7" t="s">
        <v>251</v>
      </c>
      <c r="C251" s="5" t="s">
        <v>463</v>
      </c>
      <c r="D251" s="8" t="s">
        <v>718</v>
      </c>
      <c r="E251" s="5" t="s">
        <v>897</v>
      </c>
      <c r="F251" s="8" t="s">
        <v>924</v>
      </c>
      <c r="G251" s="5" t="str">
        <f t="shared" si="20"/>
        <v>SD ISOTACHE C</v>
      </c>
      <c r="H251" s="5" t="str">
        <f t="shared" si="21"/>
        <v>[-]</v>
      </c>
      <c r="I251" s="5" t="s">
        <v>2462</v>
      </c>
      <c r="J251" s="5" t="s">
        <v>2463</v>
      </c>
      <c r="L251" s="9"/>
      <c r="M251" s="5" t="s">
        <v>2918</v>
      </c>
      <c r="P251" s="16"/>
      <c r="Q251" s="17"/>
      <c r="R251" s="17"/>
      <c r="S251" s="18"/>
      <c r="T251" s="18"/>
      <c r="U251" s="17"/>
      <c r="V251" s="18"/>
      <c r="W251" s="17"/>
      <c r="X251" s="17"/>
      <c r="Y251" s="17"/>
      <c r="Z251" s="17"/>
      <c r="AA251" s="17"/>
      <c r="AB251" s="18"/>
      <c r="AC251" s="17"/>
      <c r="AD251" s="17"/>
    </row>
    <row r="252" spans="1:30">
      <c r="A252" s="6">
        <f>ROW()</f>
        <v>252</v>
      </c>
      <c r="B252" s="7" t="s">
        <v>252</v>
      </c>
      <c r="C252" s="5" t="s">
        <v>470</v>
      </c>
      <c r="D252" s="8" t="s">
        <v>719</v>
      </c>
      <c r="E252" s="5" t="s">
        <v>897</v>
      </c>
      <c r="G252" s="5" t="str">
        <f t="shared" si="20"/>
        <v>SD ISOTACHE GRENSSPANNING A</v>
      </c>
      <c r="H252" s="5" t="str">
        <f t="shared" si="21"/>
        <v>[kPa]</v>
      </c>
      <c r="I252" s="5" t="s">
        <v>2462</v>
      </c>
      <c r="J252" s="5" t="s">
        <v>2463</v>
      </c>
      <c r="L252" s="9"/>
      <c r="M252" s="5" t="s">
        <v>2919</v>
      </c>
      <c r="P252" s="16"/>
      <c r="Q252" s="17"/>
      <c r="R252" s="17"/>
      <c r="S252" s="18"/>
      <c r="T252" s="18"/>
      <c r="U252" s="17"/>
      <c r="V252" s="18"/>
      <c r="W252" s="17"/>
      <c r="X252" s="17"/>
      <c r="Y252" s="17"/>
      <c r="Z252" s="17"/>
      <c r="AA252" s="17"/>
      <c r="AB252" s="18"/>
      <c r="AC252" s="17"/>
      <c r="AD252" s="17"/>
    </row>
    <row r="253" spans="1:30" ht="25.5">
      <c r="A253" s="6">
        <f>ROW()</f>
        <v>253</v>
      </c>
      <c r="B253" s="7" t="s">
        <v>253</v>
      </c>
      <c r="C253" s="5" t="s">
        <v>468</v>
      </c>
      <c r="D253" s="8" t="s">
        <v>720</v>
      </c>
      <c r="E253" s="5" t="s">
        <v>897</v>
      </c>
      <c r="F253" s="8" t="s">
        <v>911</v>
      </c>
      <c r="G253" s="5" t="str">
        <f t="shared" si="20"/>
        <v>SD ISOTACHE REK BIJ GRENSSPANNING A</v>
      </c>
      <c r="H253" s="5" t="str">
        <f t="shared" si="21"/>
        <v>[%]</v>
      </c>
      <c r="I253" s="5" t="s">
        <v>2462</v>
      </c>
      <c r="J253" s="5" t="s">
        <v>2463</v>
      </c>
      <c r="L253" s="9"/>
      <c r="M253" s="5" t="s">
        <v>2920</v>
      </c>
      <c r="P253" s="16"/>
      <c r="Q253" s="17"/>
      <c r="R253" s="17"/>
      <c r="S253" s="18"/>
      <c r="T253" s="18"/>
      <c r="U253" s="17"/>
      <c r="V253" s="18"/>
      <c r="W253" s="17"/>
      <c r="X253" s="17"/>
      <c r="Y253" s="17"/>
      <c r="Z253" s="17"/>
      <c r="AA253" s="17"/>
      <c r="AB253" s="18"/>
      <c r="AC253" s="17"/>
      <c r="AD253" s="17"/>
    </row>
    <row r="254" spans="1:30" ht="25.5">
      <c r="A254" s="6">
        <f>ROW()</f>
        <v>254</v>
      </c>
      <c r="B254" s="7" t="s">
        <v>254</v>
      </c>
      <c r="C254" s="5" t="s">
        <v>470</v>
      </c>
      <c r="D254" s="8" t="s">
        <v>721</v>
      </c>
      <c r="E254" s="5" t="s">
        <v>897</v>
      </c>
      <c r="G254" s="5" t="str">
        <f t="shared" si="20"/>
        <v>SD ISOTACHE BOVENGRENS GRENSSPANNING B</v>
      </c>
      <c r="H254" s="5" t="str">
        <f t="shared" si="21"/>
        <v>[kPa]</v>
      </c>
      <c r="I254" s="5" t="s">
        <v>2462</v>
      </c>
      <c r="J254" s="5" t="s">
        <v>2463</v>
      </c>
      <c r="L254" s="9"/>
      <c r="M254" s="5" t="s">
        <v>2921</v>
      </c>
      <c r="P254" s="16"/>
      <c r="Q254" s="17"/>
      <c r="R254" s="17"/>
      <c r="S254" s="18"/>
      <c r="T254" s="18"/>
      <c r="U254" s="17"/>
      <c r="V254" s="18"/>
      <c r="W254" s="17"/>
      <c r="X254" s="17"/>
      <c r="Y254" s="17"/>
      <c r="Z254" s="17"/>
      <c r="AA254" s="17"/>
      <c r="AB254" s="18"/>
      <c r="AC254" s="17"/>
      <c r="AD254" s="17"/>
    </row>
    <row r="255" spans="1:30" ht="25.5">
      <c r="A255" s="6">
        <f>ROW()</f>
        <v>255</v>
      </c>
      <c r="B255" s="7" t="s">
        <v>255</v>
      </c>
      <c r="C255" s="5" t="s">
        <v>478</v>
      </c>
      <c r="D255" s="8" t="s">
        <v>722</v>
      </c>
      <c r="E255" s="5" t="s">
        <v>897</v>
      </c>
      <c r="G255" s="5" t="str">
        <f t="shared" si="20"/>
        <v>SD CASAGRANDE CV10 TRAP2</v>
      </c>
      <c r="H255" s="5" t="str">
        <f t="shared" si="21"/>
        <v>[m2/s]</v>
      </c>
      <c r="I255" s="5" t="s">
        <v>2462</v>
      </c>
      <c r="J255" s="5" t="s">
        <v>2463</v>
      </c>
      <c r="L255" s="9"/>
      <c r="M255" s="5" t="s">
        <v>2922</v>
      </c>
      <c r="P255" s="16"/>
      <c r="Q255" s="17"/>
      <c r="R255" s="17"/>
      <c r="S255" s="18"/>
      <c r="T255" s="18"/>
      <c r="U255" s="17"/>
      <c r="V255" s="18"/>
      <c r="W255" s="17"/>
      <c r="X255" s="17"/>
      <c r="Y255" s="17"/>
      <c r="Z255" s="17"/>
      <c r="AA255" s="17"/>
      <c r="AB255" s="18"/>
      <c r="AC255" s="17"/>
      <c r="AD255" s="17"/>
    </row>
    <row r="256" spans="1:30" ht="25.5">
      <c r="A256" s="6">
        <f>ROW()</f>
        <v>256</v>
      </c>
      <c r="B256" s="7" t="s">
        <v>256</v>
      </c>
      <c r="C256" s="5" t="s">
        <v>478</v>
      </c>
      <c r="D256" s="8" t="s">
        <v>723</v>
      </c>
      <c r="E256" s="5" t="s">
        <v>897</v>
      </c>
      <c r="G256" s="5" t="str">
        <f t="shared" si="20"/>
        <v>SD CASAGRANDE CV10 TRAP3</v>
      </c>
      <c r="H256" s="5" t="str">
        <f t="shared" si="21"/>
        <v>[m2/s]</v>
      </c>
      <c r="I256" s="5" t="s">
        <v>2462</v>
      </c>
      <c r="J256" s="5" t="s">
        <v>2463</v>
      </c>
      <c r="L256" s="9"/>
      <c r="M256" s="5" t="s">
        <v>2923</v>
      </c>
      <c r="P256" s="16"/>
      <c r="Q256" s="17"/>
      <c r="R256" s="17"/>
      <c r="S256" s="18"/>
      <c r="T256" s="18"/>
      <c r="U256" s="17"/>
      <c r="V256" s="18"/>
      <c r="W256" s="17"/>
      <c r="X256" s="17"/>
      <c r="Y256" s="17"/>
      <c r="Z256" s="17"/>
      <c r="AA256" s="17"/>
      <c r="AB256" s="18"/>
      <c r="AC256" s="17"/>
      <c r="AD256" s="17"/>
    </row>
    <row r="257" spans="1:30" ht="25.5">
      <c r="A257" s="6">
        <f>ROW()</f>
        <v>257</v>
      </c>
      <c r="B257" s="7" t="s">
        <v>257</v>
      </c>
      <c r="C257" s="5" t="s">
        <v>478</v>
      </c>
      <c r="D257" s="8" t="s">
        <v>724</v>
      </c>
      <c r="E257" s="5" t="s">
        <v>897</v>
      </c>
      <c r="G257" s="5" t="str">
        <f t="shared" si="20"/>
        <v>SD CASAGRANDE CV10 TRAP4</v>
      </c>
      <c r="H257" s="5" t="str">
        <f t="shared" si="21"/>
        <v>[m2/s]</v>
      </c>
      <c r="I257" s="5" t="s">
        <v>2462</v>
      </c>
      <c r="J257" s="5" t="s">
        <v>2463</v>
      </c>
      <c r="L257" s="9"/>
      <c r="M257" s="5" t="s">
        <v>2924</v>
      </c>
      <c r="P257" s="16"/>
      <c r="Q257" s="17"/>
      <c r="R257" s="17"/>
      <c r="S257" s="18"/>
      <c r="T257" s="18"/>
      <c r="U257" s="17"/>
      <c r="V257" s="18"/>
      <c r="W257" s="17"/>
      <c r="X257" s="17"/>
      <c r="Y257" s="17"/>
      <c r="Z257" s="17"/>
      <c r="AA257" s="17"/>
      <c r="AB257" s="18"/>
      <c r="AC257" s="17"/>
      <c r="AD257" s="17"/>
    </row>
    <row r="258" spans="1:30" ht="25.5">
      <c r="A258" s="6">
        <f>ROW()</f>
        <v>258</v>
      </c>
      <c r="B258" s="7" t="s">
        <v>258</v>
      </c>
      <c r="C258" s="5" t="s">
        <v>478</v>
      </c>
      <c r="D258" s="8" t="s">
        <v>725</v>
      </c>
      <c r="E258" s="5" t="s">
        <v>897</v>
      </c>
      <c r="G258" s="5" t="str">
        <f t="shared" si="20"/>
        <v>SD CASAGRANDE CV10 TRAP5</v>
      </c>
      <c r="H258" s="5" t="str">
        <f t="shared" si="21"/>
        <v>[m2/s]</v>
      </c>
      <c r="I258" s="5" t="s">
        <v>2462</v>
      </c>
      <c r="J258" s="5" t="s">
        <v>2463</v>
      </c>
      <c r="L258" s="9"/>
      <c r="M258" s="5" t="s">
        <v>2925</v>
      </c>
      <c r="P258" s="16"/>
      <c r="Q258" s="17"/>
      <c r="R258" s="17"/>
      <c r="S258" s="18"/>
      <c r="T258" s="18"/>
      <c r="U258" s="17"/>
      <c r="V258" s="18"/>
      <c r="W258" s="17"/>
      <c r="X258" s="17"/>
      <c r="Y258" s="17"/>
      <c r="Z258" s="17"/>
      <c r="AA258" s="17"/>
      <c r="AB258" s="18"/>
      <c r="AC258" s="17"/>
      <c r="AD258" s="17"/>
    </row>
    <row r="259" spans="1:30" ht="25.5">
      <c r="A259" s="6">
        <f>ROW()</f>
        <v>259</v>
      </c>
      <c r="B259" s="7" t="s">
        <v>259</v>
      </c>
      <c r="C259" s="5" t="s">
        <v>478</v>
      </c>
      <c r="D259" s="8" t="s">
        <v>726</v>
      </c>
      <c r="E259" s="5" t="s">
        <v>897</v>
      </c>
      <c r="G259" s="5" t="str">
        <f t="shared" si="20"/>
        <v>SD CASAGRANDE CV10 TRAP6</v>
      </c>
      <c r="H259" s="5" t="str">
        <f t="shared" si="21"/>
        <v>[m2/s]</v>
      </c>
      <c r="I259" s="5" t="s">
        <v>2462</v>
      </c>
      <c r="J259" s="5" t="s">
        <v>2463</v>
      </c>
      <c r="L259" s="9"/>
      <c r="M259" s="5" t="s">
        <v>2926</v>
      </c>
      <c r="P259" s="16"/>
      <c r="Q259" s="17"/>
      <c r="R259" s="17"/>
      <c r="S259" s="18"/>
      <c r="T259" s="18"/>
      <c r="U259" s="17"/>
      <c r="V259" s="18"/>
      <c r="W259" s="17"/>
      <c r="X259" s="17"/>
      <c r="Y259" s="17"/>
      <c r="Z259" s="17"/>
      <c r="AA259" s="17"/>
      <c r="AB259" s="18"/>
      <c r="AC259" s="17"/>
      <c r="AD259" s="17"/>
    </row>
    <row r="260" spans="1:30" ht="25.5">
      <c r="A260" s="6">
        <f>ROW()</f>
        <v>260</v>
      </c>
      <c r="B260" s="7" t="s">
        <v>260</v>
      </c>
      <c r="C260" s="5" t="s">
        <v>478</v>
      </c>
      <c r="D260" s="8" t="s">
        <v>727</v>
      </c>
      <c r="E260" s="5" t="s">
        <v>897</v>
      </c>
      <c r="G260" s="5" t="str">
        <f t="shared" si="20"/>
        <v>SD CASAGRANDE CV10 TRAP7</v>
      </c>
      <c r="H260" s="5" t="str">
        <f t="shared" si="21"/>
        <v>[m2/s]</v>
      </c>
      <c r="I260" s="5" t="s">
        <v>2462</v>
      </c>
      <c r="J260" s="5" t="s">
        <v>2463</v>
      </c>
      <c r="L260" s="9"/>
      <c r="M260" s="5" t="s">
        <v>2711</v>
      </c>
      <c r="P260" s="16"/>
      <c r="Q260" s="17"/>
      <c r="R260" s="17"/>
      <c r="S260" s="18"/>
      <c r="T260" s="18"/>
      <c r="U260" s="17"/>
      <c r="V260" s="18"/>
      <c r="W260" s="17"/>
      <c r="X260" s="17"/>
      <c r="Y260" s="17"/>
      <c r="Z260" s="17"/>
      <c r="AA260" s="17"/>
      <c r="AB260" s="18"/>
      <c r="AC260" s="17"/>
      <c r="AD260" s="17"/>
    </row>
    <row r="261" spans="1:30" ht="25.5">
      <c r="A261" s="6">
        <f>ROW()</f>
        <v>261</v>
      </c>
      <c r="B261" s="7" t="s">
        <v>261</v>
      </c>
      <c r="C261" s="5" t="s">
        <v>478</v>
      </c>
      <c r="D261" s="8" t="s">
        <v>728</v>
      </c>
      <c r="E261" s="5" t="s">
        <v>897</v>
      </c>
      <c r="G261" s="5" t="str">
        <f t="shared" si="20"/>
        <v>SD CASAGRANDE CV10 TRAP8</v>
      </c>
      <c r="H261" s="5" t="str">
        <f t="shared" si="21"/>
        <v>[m2/s]</v>
      </c>
      <c r="I261" s="5" t="s">
        <v>2462</v>
      </c>
      <c r="J261" s="5" t="s">
        <v>2463</v>
      </c>
      <c r="L261" s="9"/>
      <c r="M261" s="5" t="s">
        <v>2927</v>
      </c>
      <c r="P261" s="16"/>
      <c r="Q261" s="17"/>
      <c r="R261" s="17"/>
      <c r="S261" s="18"/>
      <c r="T261" s="18"/>
      <c r="U261" s="17"/>
      <c r="V261" s="18"/>
      <c r="W261" s="17"/>
      <c r="X261" s="17"/>
      <c r="Y261" s="17"/>
      <c r="Z261" s="17"/>
      <c r="AA261" s="17"/>
      <c r="AB261" s="18"/>
      <c r="AC261" s="17"/>
      <c r="AD261" s="17"/>
    </row>
    <row r="262" spans="1:30" ht="25.5">
      <c r="A262" s="6">
        <f>ROW()</f>
        <v>262</v>
      </c>
      <c r="B262" s="7" t="s">
        <v>262</v>
      </c>
      <c r="C262" s="5" t="s">
        <v>478</v>
      </c>
      <c r="D262" s="8" t="s">
        <v>729</v>
      </c>
      <c r="E262" s="5" t="s">
        <v>897</v>
      </c>
      <c r="G262" s="5" t="str">
        <f t="shared" si="20"/>
        <v>SD CASAGRANDE CV10 TRAP9</v>
      </c>
      <c r="H262" s="5" t="str">
        <f t="shared" si="21"/>
        <v>[m2/s]</v>
      </c>
      <c r="I262" s="5" t="s">
        <v>2462</v>
      </c>
      <c r="J262" s="5" t="s">
        <v>2463</v>
      </c>
      <c r="L262" s="9"/>
      <c r="M262" s="5" t="s">
        <v>2928</v>
      </c>
      <c r="P262" s="16"/>
      <c r="Q262" s="17"/>
      <c r="R262" s="17"/>
      <c r="S262" s="18"/>
      <c r="T262" s="18"/>
      <c r="U262" s="17"/>
      <c r="V262" s="18"/>
      <c r="W262" s="17"/>
      <c r="X262" s="17"/>
      <c r="Y262" s="17"/>
      <c r="Z262" s="17"/>
      <c r="AA262" s="17"/>
      <c r="AB262" s="18"/>
      <c r="AC262" s="17"/>
      <c r="AD262" s="17"/>
    </row>
    <row r="263" spans="1:30" ht="25.5">
      <c r="A263" s="6">
        <f>ROW()</f>
        <v>263</v>
      </c>
      <c r="B263" s="7" t="s">
        <v>263</v>
      </c>
      <c r="C263" s="5" t="s">
        <v>471</v>
      </c>
      <c r="D263" s="8" t="s">
        <v>730</v>
      </c>
      <c r="E263" s="5" t="s">
        <v>897</v>
      </c>
      <c r="G263" s="5" t="str">
        <f t="shared" si="20"/>
        <v>SD CASAGRANDE K10 TRAP2</v>
      </c>
      <c r="H263" s="5" t="str">
        <f t="shared" si="21"/>
        <v>[m/s]</v>
      </c>
      <c r="I263" s="5" t="s">
        <v>2462</v>
      </c>
      <c r="J263" s="5" t="s">
        <v>2463</v>
      </c>
      <c r="L263" s="9"/>
      <c r="M263" s="5" t="s">
        <v>2929</v>
      </c>
      <c r="P263" s="16"/>
      <c r="Q263" s="17"/>
      <c r="R263" s="17"/>
      <c r="S263" s="18"/>
      <c r="T263" s="18"/>
      <c r="U263" s="17"/>
      <c r="V263" s="18"/>
      <c r="W263" s="17"/>
      <c r="X263" s="17"/>
      <c r="Y263" s="17"/>
      <c r="Z263" s="17"/>
      <c r="AA263" s="17"/>
      <c r="AB263" s="18"/>
      <c r="AC263" s="17"/>
      <c r="AD263" s="17"/>
    </row>
    <row r="264" spans="1:30" ht="25.5">
      <c r="A264" s="6">
        <f>ROW()</f>
        <v>264</v>
      </c>
      <c r="B264" s="7" t="s">
        <v>264</v>
      </c>
      <c r="C264" s="5" t="s">
        <v>471</v>
      </c>
      <c r="D264" s="8" t="s">
        <v>731</v>
      </c>
      <c r="E264" s="5" t="s">
        <v>897</v>
      </c>
      <c r="G264" s="5" t="str">
        <f t="shared" si="20"/>
        <v>SD CASAGRANDE K10 TRAP3</v>
      </c>
      <c r="H264" s="5" t="str">
        <f t="shared" si="21"/>
        <v>[m/s]</v>
      </c>
      <c r="I264" s="5" t="s">
        <v>2462</v>
      </c>
      <c r="J264" s="5" t="s">
        <v>2463</v>
      </c>
      <c r="L264" s="9"/>
      <c r="M264" s="5" t="s">
        <v>2930</v>
      </c>
      <c r="P264" s="16"/>
      <c r="Q264" s="17"/>
      <c r="R264" s="17"/>
      <c r="S264" s="18"/>
      <c r="T264" s="18"/>
      <c r="U264" s="17"/>
      <c r="V264" s="18"/>
      <c r="W264" s="17"/>
      <c r="X264" s="17"/>
      <c r="Y264" s="17"/>
      <c r="Z264" s="17"/>
      <c r="AA264" s="17"/>
      <c r="AB264" s="18"/>
      <c r="AC264" s="17"/>
      <c r="AD264" s="17"/>
    </row>
    <row r="265" spans="1:30" ht="25.5">
      <c r="A265" s="6">
        <f>ROW()</f>
        <v>265</v>
      </c>
      <c r="B265" s="7" t="s">
        <v>265</v>
      </c>
      <c r="C265" s="5" t="s">
        <v>471</v>
      </c>
      <c r="D265" s="8" t="s">
        <v>732</v>
      </c>
      <c r="E265" s="5" t="s">
        <v>897</v>
      </c>
      <c r="G265" s="5" t="str">
        <f t="shared" ref="G265:G328" si="22">SUBSTITUTE(B265,"_"," ")</f>
        <v>SD CASAGRANDE K10 TRAP4</v>
      </c>
      <c r="H265" s="5" t="str">
        <f t="shared" ref="H265:H328" si="23">CONCATENATE("[",C265,"]")</f>
        <v>[m/s]</v>
      </c>
      <c r="I265" s="5" t="s">
        <v>2462</v>
      </c>
      <c r="J265" s="5" t="s">
        <v>2463</v>
      </c>
      <c r="L265" s="9"/>
      <c r="M265" s="5" t="s">
        <v>2931</v>
      </c>
      <c r="P265" s="16"/>
      <c r="Q265" s="17"/>
      <c r="R265" s="17"/>
      <c r="S265" s="18"/>
      <c r="T265" s="18"/>
      <c r="U265" s="17"/>
      <c r="V265" s="18"/>
      <c r="W265" s="17"/>
      <c r="X265" s="17"/>
      <c r="Y265" s="17"/>
      <c r="Z265" s="17"/>
      <c r="AA265" s="17"/>
      <c r="AB265" s="18"/>
      <c r="AC265" s="17"/>
      <c r="AD265" s="17"/>
    </row>
    <row r="266" spans="1:30" ht="25.5">
      <c r="A266" s="6">
        <f>ROW()</f>
        <v>266</v>
      </c>
      <c r="B266" s="7" t="s">
        <v>266</v>
      </c>
      <c r="C266" s="5" t="s">
        <v>471</v>
      </c>
      <c r="D266" s="8" t="s">
        <v>733</v>
      </c>
      <c r="E266" s="5" t="s">
        <v>897</v>
      </c>
      <c r="G266" s="5" t="str">
        <f t="shared" si="22"/>
        <v>SD CASAGRANDE K10 TRAP5</v>
      </c>
      <c r="H266" s="5" t="str">
        <f t="shared" si="23"/>
        <v>[m/s]</v>
      </c>
      <c r="I266" s="5" t="s">
        <v>2462</v>
      </c>
      <c r="J266" s="5" t="s">
        <v>2463</v>
      </c>
      <c r="L266" s="9"/>
      <c r="M266" s="5" t="s">
        <v>2932</v>
      </c>
      <c r="P266" s="16"/>
      <c r="Q266" s="17"/>
      <c r="R266" s="17"/>
      <c r="S266" s="18"/>
      <c r="T266" s="18"/>
      <c r="U266" s="17"/>
      <c r="V266" s="18"/>
      <c r="W266" s="17"/>
      <c r="X266" s="17"/>
      <c r="Y266" s="17"/>
      <c r="Z266" s="17"/>
      <c r="AA266" s="17"/>
      <c r="AB266" s="18"/>
      <c r="AC266" s="17"/>
      <c r="AD266" s="17"/>
    </row>
    <row r="267" spans="1:30" ht="25.5">
      <c r="A267" s="6">
        <f>ROW()</f>
        <v>267</v>
      </c>
      <c r="B267" s="7" t="s">
        <v>267</v>
      </c>
      <c r="C267" s="5" t="s">
        <v>471</v>
      </c>
      <c r="D267" s="8" t="s">
        <v>734</v>
      </c>
      <c r="E267" s="5" t="s">
        <v>897</v>
      </c>
      <c r="G267" s="5" t="str">
        <f t="shared" si="22"/>
        <v>SD CASAGRANDE K10 TRAP6</v>
      </c>
      <c r="H267" s="5" t="str">
        <f t="shared" si="23"/>
        <v>[m/s]</v>
      </c>
      <c r="I267" s="5" t="s">
        <v>2462</v>
      </c>
      <c r="J267" s="5" t="s">
        <v>2463</v>
      </c>
      <c r="L267" s="9"/>
      <c r="M267" s="5" t="s">
        <v>2933</v>
      </c>
      <c r="P267" s="16"/>
      <c r="Q267" s="17"/>
      <c r="R267" s="17"/>
      <c r="S267" s="18"/>
      <c r="T267" s="18"/>
      <c r="U267" s="17"/>
      <c r="V267" s="18"/>
      <c r="W267" s="17"/>
      <c r="X267" s="17"/>
      <c r="Y267" s="17"/>
      <c r="Z267" s="17"/>
      <c r="AA267" s="17"/>
      <c r="AB267" s="18"/>
      <c r="AC267" s="17"/>
      <c r="AD267" s="17"/>
    </row>
    <row r="268" spans="1:30" ht="25.5">
      <c r="A268" s="6">
        <f>ROW()</f>
        <v>268</v>
      </c>
      <c r="B268" s="7" t="s">
        <v>268</v>
      </c>
      <c r="C268" s="5" t="s">
        <v>471</v>
      </c>
      <c r="D268" s="8" t="s">
        <v>735</v>
      </c>
      <c r="E268" s="5" t="s">
        <v>897</v>
      </c>
      <c r="G268" s="5" t="str">
        <f t="shared" si="22"/>
        <v>SD CASAGRANDE K10 TRAP7</v>
      </c>
      <c r="H268" s="5" t="str">
        <f t="shared" si="23"/>
        <v>[m/s]</v>
      </c>
      <c r="I268" s="5" t="s">
        <v>2462</v>
      </c>
      <c r="J268" s="5" t="s">
        <v>2463</v>
      </c>
      <c r="L268" s="9"/>
      <c r="M268" s="5" t="s">
        <v>2711</v>
      </c>
      <c r="P268" s="16"/>
      <c r="Q268" s="17"/>
      <c r="R268" s="17"/>
      <c r="S268" s="18"/>
      <c r="T268" s="18"/>
      <c r="U268" s="17"/>
      <c r="V268" s="18"/>
      <c r="W268" s="17"/>
      <c r="X268" s="17"/>
      <c r="Y268" s="17"/>
      <c r="Z268" s="17"/>
      <c r="AA268" s="17"/>
      <c r="AB268" s="18"/>
      <c r="AC268" s="17"/>
      <c r="AD268" s="17"/>
    </row>
    <row r="269" spans="1:30" ht="25.5">
      <c r="A269" s="6">
        <f>ROW()</f>
        <v>269</v>
      </c>
      <c r="B269" s="7" t="s">
        <v>269</v>
      </c>
      <c r="C269" s="5" t="s">
        <v>471</v>
      </c>
      <c r="D269" s="8" t="s">
        <v>736</v>
      </c>
      <c r="E269" s="5" t="s">
        <v>897</v>
      </c>
      <c r="G269" s="5" t="str">
        <f t="shared" si="22"/>
        <v>SD CASAGRANDE K10 TRAP8</v>
      </c>
      <c r="H269" s="5" t="str">
        <f t="shared" si="23"/>
        <v>[m/s]</v>
      </c>
      <c r="I269" s="5" t="s">
        <v>2462</v>
      </c>
      <c r="J269" s="5" t="s">
        <v>2463</v>
      </c>
      <c r="L269" s="9"/>
      <c r="M269" s="5" t="s">
        <v>2934</v>
      </c>
      <c r="P269" s="16"/>
      <c r="Q269" s="17"/>
      <c r="R269" s="17"/>
      <c r="S269" s="18"/>
      <c r="T269" s="18"/>
      <c r="U269" s="17"/>
      <c r="V269" s="18"/>
      <c r="W269" s="17"/>
      <c r="X269" s="17"/>
      <c r="Y269" s="17"/>
      <c r="Z269" s="17"/>
      <c r="AA269" s="17"/>
      <c r="AB269" s="18"/>
      <c r="AC269" s="17"/>
      <c r="AD269" s="17"/>
    </row>
    <row r="270" spans="1:30" ht="25.5">
      <c r="A270" s="6">
        <f>ROW()</f>
        <v>270</v>
      </c>
      <c r="B270" s="7" t="s">
        <v>270</v>
      </c>
      <c r="C270" s="5" t="s">
        <v>471</v>
      </c>
      <c r="D270" s="8" t="s">
        <v>737</v>
      </c>
      <c r="E270" s="5" t="s">
        <v>897</v>
      </c>
      <c r="G270" s="5" t="str">
        <f t="shared" si="22"/>
        <v>SD CASAGRANDE K10 TRAP9</v>
      </c>
      <c r="H270" s="5" t="str">
        <f t="shared" si="23"/>
        <v>[m/s]</v>
      </c>
      <c r="I270" s="5" t="s">
        <v>2462</v>
      </c>
      <c r="J270" s="5" t="s">
        <v>2463</v>
      </c>
      <c r="L270" s="9"/>
      <c r="M270" s="5" t="s">
        <v>2935</v>
      </c>
      <c r="P270" s="16"/>
      <c r="Q270" s="17"/>
      <c r="R270" s="17"/>
      <c r="S270" s="18"/>
      <c r="T270" s="18"/>
      <c r="U270" s="17"/>
      <c r="V270" s="18"/>
      <c r="W270" s="17"/>
      <c r="X270" s="17"/>
      <c r="Y270" s="17"/>
      <c r="Z270" s="17"/>
      <c r="AA270" s="17"/>
      <c r="AB270" s="18"/>
      <c r="AC270" s="17"/>
      <c r="AD270" s="17"/>
    </row>
    <row r="271" spans="1:30" ht="25.5">
      <c r="A271" s="6">
        <f>ROW()</f>
        <v>271</v>
      </c>
      <c r="B271" s="7" t="s">
        <v>271</v>
      </c>
      <c r="C271" s="5" t="s">
        <v>479</v>
      </c>
      <c r="D271" s="8" t="s">
        <v>738</v>
      </c>
      <c r="E271" s="5" t="s">
        <v>897</v>
      </c>
      <c r="G271" s="5" t="str">
        <f t="shared" si="22"/>
        <v>SD CASAGRANDE MV TRAP2</v>
      </c>
      <c r="H271" s="5" t="str">
        <f t="shared" si="23"/>
        <v>[1/MPa]</v>
      </c>
      <c r="I271" s="5" t="s">
        <v>2462</v>
      </c>
      <c r="J271" s="5" t="s">
        <v>2463</v>
      </c>
      <c r="L271" s="9"/>
      <c r="M271" s="5" t="s">
        <v>2936</v>
      </c>
      <c r="P271" s="16"/>
      <c r="Q271" s="17"/>
      <c r="R271" s="17"/>
      <c r="S271" s="18"/>
      <c r="T271" s="18"/>
      <c r="U271" s="17"/>
      <c r="V271" s="18"/>
      <c r="W271" s="17"/>
      <c r="X271" s="17"/>
      <c r="Y271" s="17"/>
      <c r="Z271" s="17"/>
      <c r="AA271" s="17"/>
      <c r="AB271" s="18"/>
      <c r="AC271" s="17"/>
      <c r="AD271" s="17"/>
    </row>
    <row r="272" spans="1:30" ht="25.5">
      <c r="A272" s="6">
        <f>ROW()</f>
        <v>272</v>
      </c>
      <c r="B272" s="7" t="s">
        <v>272</v>
      </c>
      <c r="C272" s="5" t="s">
        <v>479</v>
      </c>
      <c r="D272" s="8" t="s">
        <v>739</v>
      </c>
      <c r="E272" s="5" t="s">
        <v>897</v>
      </c>
      <c r="G272" s="5" t="str">
        <f t="shared" si="22"/>
        <v>SD CASAGRANDE MV TRAP3</v>
      </c>
      <c r="H272" s="5" t="str">
        <f t="shared" si="23"/>
        <v>[1/MPa]</v>
      </c>
      <c r="I272" s="5" t="s">
        <v>2462</v>
      </c>
      <c r="J272" s="5" t="s">
        <v>2463</v>
      </c>
      <c r="L272" s="9"/>
      <c r="M272" s="5" t="s">
        <v>2937</v>
      </c>
      <c r="P272" s="16"/>
      <c r="Q272" s="17"/>
      <c r="R272" s="17"/>
      <c r="S272" s="18"/>
      <c r="T272" s="18"/>
      <c r="U272" s="17"/>
      <c r="V272" s="18"/>
      <c r="W272" s="17"/>
      <c r="X272" s="17"/>
      <c r="Y272" s="17"/>
      <c r="Z272" s="17"/>
      <c r="AA272" s="17"/>
      <c r="AB272" s="18"/>
      <c r="AC272" s="17"/>
      <c r="AD272" s="17"/>
    </row>
    <row r="273" spans="1:30" ht="25.5">
      <c r="A273" s="6">
        <f>ROW()</f>
        <v>273</v>
      </c>
      <c r="B273" s="7" t="s">
        <v>273</v>
      </c>
      <c r="C273" s="5" t="s">
        <v>479</v>
      </c>
      <c r="D273" s="8" t="s">
        <v>740</v>
      </c>
      <c r="E273" s="5" t="s">
        <v>897</v>
      </c>
      <c r="G273" s="5" t="str">
        <f t="shared" si="22"/>
        <v>SD CASAGRANDE MV TRAP4</v>
      </c>
      <c r="H273" s="5" t="str">
        <f t="shared" si="23"/>
        <v>[1/MPa]</v>
      </c>
      <c r="I273" s="5" t="s">
        <v>2462</v>
      </c>
      <c r="J273" s="5" t="s">
        <v>2463</v>
      </c>
      <c r="L273" s="9"/>
      <c r="M273" s="5" t="s">
        <v>2938</v>
      </c>
      <c r="P273" s="16"/>
      <c r="Q273" s="17"/>
      <c r="R273" s="17"/>
      <c r="S273" s="18"/>
      <c r="T273" s="18"/>
      <c r="U273" s="17"/>
      <c r="V273" s="18"/>
      <c r="W273" s="17"/>
      <c r="X273" s="17"/>
      <c r="Y273" s="17"/>
      <c r="Z273" s="17"/>
      <c r="AA273" s="17"/>
      <c r="AB273" s="18"/>
      <c r="AC273" s="17"/>
      <c r="AD273" s="17"/>
    </row>
    <row r="274" spans="1:30" ht="25.5">
      <c r="A274" s="6">
        <f>ROW()</f>
        <v>274</v>
      </c>
      <c r="B274" s="7" t="s">
        <v>274</v>
      </c>
      <c r="C274" s="5" t="s">
        <v>479</v>
      </c>
      <c r="D274" s="8" t="s">
        <v>741</v>
      </c>
      <c r="E274" s="5" t="s">
        <v>897</v>
      </c>
      <c r="G274" s="5" t="str">
        <f t="shared" si="22"/>
        <v>SD CASAGRANDE MV TRAP5</v>
      </c>
      <c r="H274" s="5" t="str">
        <f t="shared" si="23"/>
        <v>[1/MPa]</v>
      </c>
      <c r="I274" s="5" t="s">
        <v>2462</v>
      </c>
      <c r="J274" s="5" t="s">
        <v>2463</v>
      </c>
      <c r="L274" s="9"/>
      <c r="M274" s="5" t="s">
        <v>2939</v>
      </c>
      <c r="P274" s="16"/>
      <c r="Q274" s="17"/>
      <c r="R274" s="17"/>
      <c r="S274" s="18"/>
      <c r="T274" s="18"/>
      <c r="U274" s="17"/>
      <c r="V274" s="18"/>
      <c r="W274" s="17"/>
      <c r="X274" s="17"/>
      <c r="Y274" s="17"/>
      <c r="Z274" s="17"/>
      <c r="AA274" s="17"/>
      <c r="AB274" s="18"/>
      <c r="AC274" s="17"/>
      <c r="AD274" s="17"/>
    </row>
    <row r="275" spans="1:30" ht="25.5">
      <c r="A275" s="6">
        <f>ROW()</f>
        <v>275</v>
      </c>
      <c r="B275" s="7" t="s">
        <v>275</v>
      </c>
      <c r="C275" s="5" t="s">
        <v>479</v>
      </c>
      <c r="D275" s="8" t="s">
        <v>742</v>
      </c>
      <c r="E275" s="5" t="s">
        <v>897</v>
      </c>
      <c r="G275" s="5" t="str">
        <f t="shared" si="22"/>
        <v>SD CASAGRANDE MV TRAP6</v>
      </c>
      <c r="H275" s="5" t="str">
        <f t="shared" si="23"/>
        <v>[1/MPa]</v>
      </c>
      <c r="I275" s="5" t="s">
        <v>2462</v>
      </c>
      <c r="J275" s="5" t="s">
        <v>2463</v>
      </c>
      <c r="L275" s="9"/>
      <c r="M275" s="5" t="s">
        <v>2940</v>
      </c>
      <c r="P275" s="16"/>
      <c r="Q275" s="17"/>
      <c r="R275" s="17"/>
      <c r="S275" s="18"/>
      <c r="T275" s="18"/>
      <c r="U275" s="17"/>
      <c r="V275" s="18"/>
      <c r="W275" s="17"/>
      <c r="X275" s="17"/>
      <c r="Y275" s="17"/>
      <c r="Z275" s="17"/>
      <c r="AA275" s="17"/>
      <c r="AB275" s="18"/>
      <c r="AC275" s="17"/>
      <c r="AD275" s="17"/>
    </row>
    <row r="276" spans="1:30" ht="25.5">
      <c r="A276" s="6">
        <f>ROW()</f>
        <v>276</v>
      </c>
      <c r="B276" s="7" t="s">
        <v>276</v>
      </c>
      <c r="C276" s="5" t="s">
        <v>479</v>
      </c>
      <c r="D276" s="8" t="s">
        <v>743</v>
      </c>
      <c r="E276" s="5" t="s">
        <v>897</v>
      </c>
      <c r="G276" s="5" t="str">
        <f t="shared" si="22"/>
        <v>SD CASAGRANDE MV TRAP7</v>
      </c>
      <c r="H276" s="5" t="str">
        <f t="shared" si="23"/>
        <v>[1/MPa]</v>
      </c>
      <c r="I276" s="5" t="s">
        <v>2462</v>
      </c>
      <c r="J276" s="5" t="s">
        <v>2463</v>
      </c>
      <c r="L276" s="9"/>
      <c r="M276" s="5" t="s">
        <v>2711</v>
      </c>
      <c r="P276" s="16"/>
      <c r="Q276" s="17"/>
      <c r="R276" s="17"/>
      <c r="S276" s="18"/>
      <c r="T276" s="18"/>
      <c r="U276" s="17"/>
      <c r="V276" s="18"/>
      <c r="W276" s="17"/>
      <c r="X276" s="17"/>
      <c r="Y276" s="17"/>
      <c r="Z276" s="17"/>
      <c r="AA276" s="17"/>
      <c r="AB276" s="18"/>
      <c r="AC276" s="17"/>
      <c r="AD276" s="17"/>
    </row>
    <row r="277" spans="1:30" ht="25.5">
      <c r="A277" s="6">
        <f>ROW()</f>
        <v>277</v>
      </c>
      <c r="B277" s="7" t="s">
        <v>277</v>
      </c>
      <c r="C277" s="5" t="s">
        <v>479</v>
      </c>
      <c r="D277" s="8" t="s">
        <v>744</v>
      </c>
      <c r="E277" s="5" t="s">
        <v>897</v>
      </c>
      <c r="G277" s="5" t="str">
        <f t="shared" si="22"/>
        <v>SD CASAGRANDE MV TRAP8</v>
      </c>
      <c r="H277" s="5" t="str">
        <f t="shared" si="23"/>
        <v>[1/MPa]</v>
      </c>
      <c r="I277" s="5" t="s">
        <v>2462</v>
      </c>
      <c r="J277" s="5" t="s">
        <v>2463</v>
      </c>
      <c r="L277" s="9"/>
      <c r="M277" s="5" t="s">
        <v>2941</v>
      </c>
      <c r="P277" s="16"/>
      <c r="Q277" s="17"/>
      <c r="R277" s="17"/>
      <c r="S277" s="18"/>
      <c r="T277" s="18"/>
      <c r="U277" s="17"/>
      <c r="V277" s="18"/>
      <c r="W277" s="17"/>
      <c r="X277" s="17"/>
      <c r="Y277" s="17"/>
      <c r="Z277" s="17"/>
      <c r="AA277" s="17"/>
      <c r="AB277" s="18"/>
      <c r="AC277" s="17"/>
      <c r="AD277" s="17"/>
    </row>
    <row r="278" spans="1:30" ht="25.5">
      <c r="A278" s="6">
        <f>ROW()</f>
        <v>278</v>
      </c>
      <c r="B278" s="7" t="s">
        <v>278</v>
      </c>
      <c r="C278" s="5" t="s">
        <v>479</v>
      </c>
      <c r="D278" s="8" t="s">
        <v>745</v>
      </c>
      <c r="E278" s="5" t="s">
        <v>897</v>
      </c>
      <c r="G278" s="5" t="str">
        <f t="shared" si="22"/>
        <v>SD CASAGRANDE MV TRAP9</v>
      </c>
      <c r="H278" s="5" t="str">
        <f t="shared" si="23"/>
        <v>[1/MPa]</v>
      </c>
      <c r="I278" s="5" t="s">
        <v>2462</v>
      </c>
      <c r="J278" s="5" t="s">
        <v>2463</v>
      </c>
      <c r="L278" s="9"/>
      <c r="M278" s="5" t="s">
        <v>2942</v>
      </c>
      <c r="P278" s="16"/>
      <c r="Q278" s="17"/>
      <c r="R278" s="17"/>
      <c r="S278" s="18"/>
      <c r="T278" s="18"/>
      <c r="U278" s="17"/>
      <c r="V278" s="18"/>
      <c r="W278" s="17"/>
      <c r="X278" s="17"/>
      <c r="Y278" s="17"/>
      <c r="Z278" s="17"/>
      <c r="AA278" s="17"/>
      <c r="AB278" s="18"/>
      <c r="AC278" s="17"/>
      <c r="AD278" s="17"/>
    </row>
    <row r="279" spans="1:30">
      <c r="A279" s="6">
        <f>ROW()</f>
        <v>279</v>
      </c>
      <c r="B279" s="7" t="s">
        <v>279</v>
      </c>
      <c r="C279" s="7" t="s">
        <v>470</v>
      </c>
      <c r="D279" s="10" t="s">
        <v>746</v>
      </c>
      <c r="E279" s="5" t="s">
        <v>897</v>
      </c>
      <c r="G279" s="5" t="str">
        <f t="shared" si="22"/>
        <v>SD CASAGRANDE SPANNING CV10 TRAP2</v>
      </c>
      <c r="H279" s="5" t="str">
        <f t="shared" si="23"/>
        <v>[kPa]</v>
      </c>
      <c r="I279" s="5" t="s">
        <v>2462</v>
      </c>
      <c r="J279" s="5" t="s">
        <v>2463</v>
      </c>
      <c r="L279" s="9"/>
      <c r="M279" s="5" t="s">
        <v>2908</v>
      </c>
      <c r="P279" s="16"/>
      <c r="Q279" s="17"/>
      <c r="R279" s="17"/>
      <c r="S279" s="18"/>
      <c r="T279" s="18"/>
      <c r="U279" s="17"/>
      <c r="V279" s="18"/>
      <c r="W279" s="17"/>
      <c r="X279" s="17"/>
      <c r="Y279" s="17"/>
      <c r="Z279" s="17"/>
      <c r="AA279" s="17"/>
      <c r="AB279" s="18"/>
      <c r="AC279" s="17"/>
      <c r="AD279" s="17"/>
    </row>
    <row r="280" spans="1:30">
      <c r="A280" s="6">
        <f>ROW()</f>
        <v>280</v>
      </c>
      <c r="B280" s="7" t="s">
        <v>280</v>
      </c>
      <c r="C280" s="7" t="s">
        <v>470</v>
      </c>
      <c r="D280" s="10" t="s">
        <v>747</v>
      </c>
      <c r="E280" s="5" t="s">
        <v>897</v>
      </c>
      <c r="G280" s="5" t="str">
        <f t="shared" si="22"/>
        <v>SD CASAGRANDE SPANNING CV10 TRAP3</v>
      </c>
      <c r="H280" s="5" t="str">
        <f t="shared" si="23"/>
        <v>[kPa]</v>
      </c>
      <c r="I280" s="5" t="s">
        <v>2462</v>
      </c>
      <c r="J280" s="5" t="s">
        <v>2463</v>
      </c>
      <c r="L280" s="9"/>
      <c r="M280" s="5" t="s">
        <v>2943</v>
      </c>
      <c r="P280" s="16"/>
      <c r="Q280" s="17"/>
      <c r="R280" s="17"/>
      <c r="S280" s="18"/>
      <c r="T280" s="18"/>
      <c r="U280" s="17"/>
      <c r="V280" s="18"/>
      <c r="W280" s="17"/>
      <c r="X280" s="17"/>
      <c r="Y280" s="17"/>
      <c r="Z280" s="17"/>
      <c r="AA280" s="17"/>
      <c r="AB280" s="18"/>
      <c r="AC280" s="17"/>
      <c r="AD280" s="17"/>
    </row>
    <row r="281" spans="1:30">
      <c r="A281" s="6">
        <f>ROW()</f>
        <v>281</v>
      </c>
      <c r="B281" s="7" t="s">
        <v>281</v>
      </c>
      <c r="C281" s="7" t="s">
        <v>470</v>
      </c>
      <c r="D281" s="10" t="s">
        <v>748</v>
      </c>
      <c r="E281" s="5" t="s">
        <v>897</v>
      </c>
      <c r="G281" s="5" t="str">
        <f t="shared" si="22"/>
        <v>SD CASAGRANDE SPANNING CV10 TRAP4</v>
      </c>
      <c r="H281" s="5" t="str">
        <f t="shared" si="23"/>
        <v>[kPa]</v>
      </c>
      <c r="I281" s="5" t="s">
        <v>2462</v>
      </c>
      <c r="J281" s="5" t="s">
        <v>2463</v>
      </c>
      <c r="L281" s="9"/>
      <c r="M281" s="5" t="s">
        <v>2944</v>
      </c>
      <c r="P281" s="16"/>
      <c r="Q281" s="17"/>
      <c r="R281" s="17"/>
      <c r="S281" s="18"/>
      <c r="T281" s="18"/>
      <c r="U281" s="17"/>
      <c r="V281" s="18"/>
      <c r="W281" s="17"/>
      <c r="X281" s="17"/>
      <c r="Y281" s="17"/>
      <c r="Z281" s="17"/>
      <c r="AA281" s="17"/>
      <c r="AB281" s="18"/>
      <c r="AC281" s="17"/>
      <c r="AD281" s="17"/>
    </row>
    <row r="282" spans="1:30">
      <c r="A282" s="6">
        <f>ROW()</f>
        <v>282</v>
      </c>
      <c r="B282" s="7" t="s">
        <v>282</v>
      </c>
      <c r="C282" s="7" t="s">
        <v>470</v>
      </c>
      <c r="D282" s="10" t="s">
        <v>749</v>
      </c>
      <c r="E282" s="5" t="s">
        <v>897</v>
      </c>
      <c r="G282" s="5" t="str">
        <f t="shared" si="22"/>
        <v>SD CASAGRANDE SPANNING CV10 TRAP5</v>
      </c>
      <c r="H282" s="5" t="str">
        <f t="shared" si="23"/>
        <v>[kPa]</v>
      </c>
      <c r="I282" s="5" t="s">
        <v>2462</v>
      </c>
      <c r="J282" s="5" t="s">
        <v>2463</v>
      </c>
      <c r="L282" s="9"/>
      <c r="M282" s="5" t="s">
        <v>2945</v>
      </c>
      <c r="P282" s="16"/>
      <c r="Q282" s="17"/>
      <c r="R282" s="17"/>
      <c r="S282" s="18"/>
      <c r="T282" s="18"/>
      <c r="U282" s="17"/>
      <c r="V282" s="18"/>
      <c r="W282" s="17"/>
      <c r="X282" s="17"/>
      <c r="Y282" s="17"/>
      <c r="Z282" s="17"/>
      <c r="AA282" s="17"/>
      <c r="AB282" s="18"/>
      <c r="AC282" s="17"/>
      <c r="AD282" s="17"/>
    </row>
    <row r="283" spans="1:30">
      <c r="A283" s="6">
        <f>ROW()</f>
        <v>283</v>
      </c>
      <c r="B283" s="7" t="s">
        <v>283</v>
      </c>
      <c r="C283" s="7" t="s">
        <v>470</v>
      </c>
      <c r="D283" s="10" t="s">
        <v>750</v>
      </c>
      <c r="E283" s="5" t="s">
        <v>897</v>
      </c>
      <c r="G283" s="5" t="str">
        <f t="shared" si="22"/>
        <v>SD CASAGRANDE SPANNING CV10 TRAP6</v>
      </c>
      <c r="H283" s="5" t="str">
        <f t="shared" si="23"/>
        <v>[kPa]</v>
      </c>
      <c r="I283" s="5" t="s">
        <v>2462</v>
      </c>
      <c r="J283" s="5" t="s">
        <v>2463</v>
      </c>
      <c r="L283" s="9"/>
      <c r="M283" s="5" t="s">
        <v>2946</v>
      </c>
      <c r="P283" s="16"/>
      <c r="Q283" s="17"/>
      <c r="R283" s="17"/>
      <c r="S283" s="18"/>
      <c r="T283" s="18"/>
      <c r="U283" s="17"/>
      <c r="V283" s="18"/>
      <c r="W283" s="17"/>
      <c r="X283" s="17"/>
      <c r="Y283" s="17"/>
      <c r="Z283" s="17"/>
      <c r="AA283" s="17"/>
      <c r="AB283" s="18"/>
      <c r="AC283" s="17"/>
      <c r="AD283" s="17"/>
    </row>
    <row r="284" spans="1:30">
      <c r="A284" s="6">
        <f>ROW()</f>
        <v>284</v>
      </c>
      <c r="B284" s="7" t="s">
        <v>284</v>
      </c>
      <c r="C284" s="7" t="s">
        <v>470</v>
      </c>
      <c r="D284" s="10" t="s">
        <v>751</v>
      </c>
      <c r="E284" s="5" t="s">
        <v>897</v>
      </c>
      <c r="G284" s="5" t="str">
        <f t="shared" si="22"/>
        <v>SD CASAGRANDE SPANNING CV10 TRAP7</v>
      </c>
      <c r="H284" s="5" t="str">
        <f t="shared" si="23"/>
        <v>[kPa]</v>
      </c>
      <c r="I284" s="5" t="s">
        <v>2462</v>
      </c>
      <c r="J284" s="5" t="s">
        <v>2463</v>
      </c>
      <c r="L284" s="9"/>
      <c r="M284" s="5" t="s">
        <v>2711</v>
      </c>
      <c r="P284" s="16"/>
      <c r="Q284" s="17"/>
      <c r="R284" s="17"/>
      <c r="S284" s="18"/>
      <c r="T284" s="18"/>
      <c r="U284" s="17"/>
      <c r="V284" s="18"/>
      <c r="W284" s="17"/>
      <c r="X284" s="17"/>
      <c r="Y284" s="17"/>
      <c r="Z284" s="17"/>
      <c r="AA284" s="17"/>
      <c r="AB284" s="18"/>
      <c r="AC284" s="17"/>
      <c r="AD284" s="17"/>
    </row>
    <row r="285" spans="1:30">
      <c r="A285" s="6">
        <f>ROW()</f>
        <v>285</v>
      </c>
      <c r="B285" s="7" t="s">
        <v>285</v>
      </c>
      <c r="C285" s="7" t="s">
        <v>470</v>
      </c>
      <c r="D285" s="10" t="s">
        <v>752</v>
      </c>
      <c r="E285" s="5" t="s">
        <v>897</v>
      </c>
      <c r="G285" s="5" t="str">
        <f t="shared" si="22"/>
        <v>SD CASAGRANDE SPANNING CV10 TRAP8</v>
      </c>
      <c r="H285" s="5" t="str">
        <f t="shared" si="23"/>
        <v>[kPa]</v>
      </c>
      <c r="I285" s="5" t="s">
        <v>2462</v>
      </c>
      <c r="J285" s="5" t="s">
        <v>2463</v>
      </c>
      <c r="L285" s="9"/>
      <c r="M285" s="5" t="s">
        <v>2947</v>
      </c>
      <c r="P285" s="16"/>
      <c r="Q285" s="17"/>
      <c r="R285" s="17"/>
      <c r="S285" s="18"/>
      <c r="T285" s="18"/>
      <c r="U285" s="17"/>
      <c r="V285" s="18"/>
      <c r="W285" s="17"/>
      <c r="X285" s="17"/>
      <c r="Y285" s="17"/>
      <c r="Z285" s="17"/>
      <c r="AA285" s="17"/>
      <c r="AB285" s="18"/>
      <c r="AC285" s="17"/>
      <c r="AD285" s="17"/>
    </row>
    <row r="286" spans="1:30">
      <c r="A286" s="6">
        <f>ROW()</f>
        <v>286</v>
      </c>
      <c r="B286" s="7" t="s">
        <v>286</v>
      </c>
      <c r="C286" s="7" t="s">
        <v>470</v>
      </c>
      <c r="D286" s="10" t="s">
        <v>753</v>
      </c>
      <c r="E286" s="5" t="s">
        <v>897</v>
      </c>
      <c r="G286" s="5" t="str">
        <f t="shared" si="22"/>
        <v>SD CASAGRANDE SPANNING CV10 TRAP9</v>
      </c>
      <c r="H286" s="5" t="str">
        <f t="shared" si="23"/>
        <v>[kPa]</v>
      </c>
      <c r="I286" s="5" t="s">
        <v>2462</v>
      </c>
      <c r="J286" s="5" t="s">
        <v>2463</v>
      </c>
      <c r="L286" s="9"/>
      <c r="M286" s="5" t="s">
        <v>2948</v>
      </c>
      <c r="P286" s="16"/>
      <c r="Q286" s="17"/>
      <c r="R286" s="17"/>
      <c r="S286" s="18"/>
      <c r="T286" s="18"/>
      <c r="U286" s="17"/>
      <c r="V286" s="18"/>
      <c r="W286" s="17"/>
      <c r="X286" s="17"/>
      <c r="Y286" s="17"/>
      <c r="Z286" s="17"/>
      <c r="AA286" s="17"/>
      <c r="AB286" s="18"/>
      <c r="AC286" s="17"/>
      <c r="AD286" s="17"/>
    </row>
    <row r="287" spans="1:30" ht="25.5">
      <c r="A287" s="6">
        <f>ROW()</f>
        <v>287</v>
      </c>
      <c r="B287" s="7" t="s">
        <v>287</v>
      </c>
      <c r="C287" s="5" t="s">
        <v>478</v>
      </c>
      <c r="D287" s="8" t="s">
        <v>754</v>
      </c>
      <c r="E287" s="5" t="s">
        <v>897</v>
      </c>
      <c r="G287" s="5" t="str">
        <f t="shared" si="22"/>
        <v>SD TAYLOR CV10 TRAP2</v>
      </c>
      <c r="H287" s="5" t="str">
        <f t="shared" si="23"/>
        <v>[m2/s]</v>
      </c>
      <c r="I287" s="5" t="s">
        <v>2462</v>
      </c>
      <c r="J287" s="5" t="s">
        <v>2463</v>
      </c>
      <c r="L287" s="9"/>
      <c r="M287" s="5" t="s">
        <v>2949</v>
      </c>
      <c r="P287" s="16"/>
      <c r="Q287" s="17"/>
      <c r="R287" s="17"/>
      <c r="S287" s="18"/>
      <c r="T287" s="18"/>
      <c r="U287" s="17"/>
      <c r="V287" s="18"/>
      <c r="W287" s="17"/>
      <c r="X287" s="17"/>
      <c r="Y287" s="17"/>
      <c r="Z287" s="17"/>
      <c r="AA287" s="17"/>
      <c r="AB287" s="18"/>
      <c r="AC287" s="17"/>
      <c r="AD287" s="17"/>
    </row>
    <row r="288" spans="1:30" ht="25.5">
      <c r="A288" s="6">
        <f>ROW()</f>
        <v>288</v>
      </c>
      <c r="B288" s="7" t="s">
        <v>288</v>
      </c>
      <c r="C288" s="5" t="s">
        <v>478</v>
      </c>
      <c r="D288" s="8" t="s">
        <v>755</v>
      </c>
      <c r="E288" s="5" t="s">
        <v>897</v>
      </c>
      <c r="G288" s="5" t="str">
        <f t="shared" si="22"/>
        <v>SD TAYLOR CV10 TRAP3</v>
      </c>
      <c r="H288" s="5" t="str">
        <f t="shared" si="23"/>
        <v>[m2/s]</v>
      </c>
      <c r="I288" s="5" t="s">
        <v>2462</v>
      </c>
      <c r="J288" s="5" t="s">
        <v>2463</v>
      </c>
      <c r="L288" s="9"/>
      <c r="M288" s="5" t="s">
        <v>2950</v>
      </c>
      <c r="P288" s="16"/>
      <c r="Q288" s="17"/>
      <c r="R288" s="17"/>
      <c r="S288" s="18"/>
      <c r="T288" s="18"/>
      <c r="U288" s="17"/>
      <c r="V288" s="18"/>
      <c r="W288" s="17"/>
      <c r="X288" s="17"/>
      <c r="Y288" s="17"/>
      <c r="Z288" s="17"/>
      <c r="AA288" s="17"/>
      <c r="AB288" s="18"/>
      <c r="AC288" s="17"/>
      <c r="AD288" s="17"/>
    </row>
    <row r="289" spans="1:30" ht="25.5">
      <c r="A289" s="6">
        <f>ROW()</f>
        <v>289</v>
      </c>
      <c r="B289" s="7" t="s">
        <v>289</v>
      </c>
      <c r="C289" s="5" t="s">
        <v>478</v>
      </c>
      <c r="D289" s="8" t="s">
        <v>756</v>
      </c>
      <c r="E289" s="5" t="s">
        <v>897</v>
      </c>
      <c r="G289" s="5" t="str">
        <f t="shared" si="22"/>
        <v>SD TAYLOR CV10 TRAP4</v>
      </c>
      <c r="H289" s="5" t="str">
        <f t="shared" si="23"/>
        <v>[m2/s]</v>
      </c>
      <c r="I289" s="5" t="s">
        <v>2462</v>
      </c>
      <c r="J289" s="5" t="s">
        <v>2463</v>
      </c>
      <c r="L289" s="9"/>
      <c r="M289" s="5" t="s">
        <v>2951</v>
      </c>
      <c r="P289" s="16"/>
      <c r="Q289" s="17"/>
      <c r="R289" s="17"/>
      <c r="S289" s="18"/>
      <c r="T289" s="18"/>
      <c r="U289" s="17"/>
      <c r="V289" s="18"/>
      <c r="W289" s="17"/>
      <c r="X289" s="17"/>
      <c r="Y289" s="17"/>
      <c r="Z289" s="17"/>
      <c r="AA289" s="17"/>
      <c r="AB289" s="18"/>
      <c r="AC289" s="17"/>
      <c r="AD289" s="17"/>
    </row>
    <row r="290" spans="1:30" ht="25.5">
      <c r="A290" s="6">
        <f>ROW()</f>
        <v>290</v>
      </c>
      <c r="B290" s="7" t="s">
        <v>290</v>
      </c>
      <c r="C290" s="5" t="s">
        <v>478</v>
      </c>
      <c r="D290" s="8" t="s">
        <v>757</v>
      </c>
      <c r="E290" s="5" t="s">
        <v>897</v>
      </c>
      <c r="G290" s="5" t="str">
        <f t="shared" si="22"/>
        <v>SD TAYLOR CV10 TRAP5</v>
      </c>
      <c r="H290" s="5" t="str">
        <f t="shared" si="23"/>
        <v>[m2/s]</v>
      </c>
      <c r="I290" s="5" t="s">
        <v>2462</v>
      </c>
      <c r="J290" s="5" t="s">
        <v>2463</v>
      </c>
      <c r="L290" s="9"/>
      <c r="M290" s="5" t="s">
        <v>2952</v>
      </c>
      <c r="P290" s="16"/>
      <c r="Q290" s="17"/>
      <c r="R290" s="17"/>
      <c r="S290" s="18"/>
      <c r="T290" s="18"/>
      <c r="U290" s="17"/>
      <c r="V290" s="18"/>
      <c r="W290" s="17"/>
      <c r="X290" s="17"/>
      <c r="Y290" s="17"/>
      <c r="Z290" s="17"/>
      <c r="AA290" s="17"/>
      <c r="AB290" s="18"/>
      <c r="AC290" s="17"/>
      <c r="AD290" s="17"/>
    </row>
    <row r="291" spans="1:30" ht="25.5">
      <c r="A291" s="6">
        <f>ROW()</f>
        <v>291</v>
      </c>
      <c r="B291" s="7" t="s">
        <v>291</v>
      </c>
      <c r="C291" s="5" t="s">
        <v>478</v>
      </c>
      <c r="D291" s="8" t="s">
        <v>758</v>
      </c>
      <c r="E291" s="5" t="s">
        <v>897</v>
      </c>
      <c r="G291" s="5" t="str">
        <f t="shared" si="22"/>
        <v>SD TAYLOR CV10 TRAP6</v>
      </c>
      <c r="H291" s="5" t="str">
        <f t="shared" si="23"/>
        <v>[m2/s]</v>
      </c>
      <c r="I291" s="5" t="s">
        <v>2462</v>
      </c>
      <c r="J291" s="5" t="s">
        <v>2463</v>
      </c>
      <c r="L291" s="9"/>
      <c r="M291" s="5" t="s">
        <v>2953</v>
      </c>
      <c r="P291" s="16"/>
      <c r="Q291" s="17"/>
      <c r="R291" s="17"/>
      <c r="S291" s="18"/>
      <c r="T291" s="18"/>
      <c r="U291" s="17"/>
      <c r="V291" s="18"/>
      <c r="W291" s="17"/>
      <c r="X291" s="17"/>
      <c r="Y291" s="17"/>
      <c r="Z291" s="17"/>
      <c r="AA291" s="17"/>
      <c r="AB291" s="18"/>
      <c r="AC291" s="17"/>
      <c r="AD291" s="17"/>
    </row>
    <row r="292" spans="1:30" ht="25.5">
      <c r="A292" s="6">
        <f>ROW()</f>
        <v>292</v>
      </c>
      <c r="B292" s="7" t="s">
        <v>292</v>
      </c>
      <c r="C292" s="5" t="s">
        <v>478</v>
      </c>
      <c r="D292" s="8" t="s">
        <v>759</v>
      </c>
      <c r="E292" s="5" t="s">
        <v>897</v>
      </c>
      <c r="G292" s="5" t="str">
        <f t="shared" si="22"/>
        <v>SD TAYLOR CV10 TRAP7</v>
      </c>
      <c r="H292" s="5" t="str">
        <f t="shared" si="23"/>
        <v>[m2/s]</v>
      </c>
      <c r="I292" s="5" t="s">
        <v>2462</v>
      </c>
      <c r="J292" s="5" t="s">
        <v>2463</v>
      </c>
      <c r="L292" s="9"/>
      <c r="M292" s="5" t="s">
        <v>2711</v>
      </c>
      <c r="P292" s="16"/>
      <c r="Q292" s="17"/>
      <c r="R292" s="17"/>
      <c r="S292" s="18"/>
      <c r="T292" s="18"/>
      <c r="U292" s="17"/>
      <c r="V292" s="18"/>
      <c r="W292" s="17"/>
      <c r="X292" s="17"/>
      <c r="Y292" s="17"/>
      <c r="Z292" s="17"/>
      <c r="AA292" s="17"/>
      <c r="AB292" s="18"/>
      <c r="AC292" s="17"/>
      <c r="AD292" s="17"/>
    </row>
    <row r="293" spans="1:30" ht="25.5">
      <c r="A293" s="6">
        <f>ROW()</f>
        <v>293</v>
      </c>
      <c r="B293" s="7" t="s">
        <v>293</v>
      </c>
      <c r="C293" s="5" t="s">
        <v>478</v>
      </c>
      <c r="D293" s="8" t="s">
        <v>760</v>
      </c>
      <c r="E293" s="5" t="s">
        <v>897</v>
      </c>
      <c r="G293" s="5" t="str">
        <f t="shared" si="22"/>
        <v>SD TAYLOR CV10 TRAP8</v>
      </c>
      <c r="H293" s="5" t="str">
        <f t="shared" si="23"/>
        <v>[m2/s]</v>
      </c>
      <c r="I293" s="5" t="s">
        <v>2462</v>
      </c>
      <c r="J293" s="5" t="s">
        <v>2463</v>
      </c>
      <c r="L293" s="9"/>
      <c r="M293" s="5" t="s">
        <v>2954</v>
      </c>
      <c r="P293" s="16"/>
      <c r="Q293" s="17"/>
      <c r="R293" s="17"/>
      <c r="S293" s="18"/>
      <c r="T293" s="18"/>
      <c r="U293" s="17"/>
      <c r="V293" s="18"/>
      <c r="W293" s="17"/>
      <c r="X293" s="17"/>
      <c r="Y293" s="17"/>
      <c r="Z293" s="17"/>
      <c r="AA293" s="17"/>
      <c r="AB293" s="18"/>
      <c r="AC293" s="17"/>
      <c r="AD293" s="17"/>
    </row>
    <row r="294" spans="1:30" ht="25.5">
      <c r="A294" s="6">
        <f>ROW()</f>
        <v>294</v>
      </c>
      <c r="B294" s="7" t="s">
        <v>294</v>
      </c>
      <c r="C294" s="5" t="s">
        <v>478</v>
      </c>
      <c r="D294" s="8" t="s">
        <v>761</v>
      </c>
      <c r="E294" s="5" t="s">
        <v>897</v>
      </c>
      <c r="G294" s="5" t="str">
        <f t="shared" si="22"/>
        <v>SD TAYLOR CV10 TRAP9</v>
      </c>
      <c r="H294" s="5" t="str">
        <f t="shared" si="23"/>
        <v>[m2/s]</v>
      </c>
      <c r="I294" s="5" t="s">
        <v>2462</v>
      </c>
      <c r="J294" s="5" t="s">
        <v>2463</v>
      </c>
      <c r="L294" s="9"/>
      <c r="M294" s="5" t="s">
        <v>2955</v>
      </c>
      <c r="P294" s="16"/>
      <c r="Q294" s="17"/>
      <c r="R294" s="17"/>
      <c r="S294" s="18"/>
      <c r="T294" s="18"/>
      <c r="U294" s="17"/>
      <c r="V294" s="18"/>
      <c r="W294" s="17"/>
      <c r="X294" s="17"/>
      <c r="Y294" s="17"/>
      <c r="Z294" s="17"/>
      <c r="AA294" s="17"/>
      <c r="AB294" s="18"/>
      <c r="AC294" s="17"/>
      <c r="AD294" s="17"/>
    </row>
    <row r="295" spans="1:30">
      <c r="A295" s="6">
        <f>ROW()</f>
        <v>295</v>
      </c>
      <c r="B295" s="7" t="s">
        <v>295</v>
      </c>
      <c r="C295" s="5" t="s">
        <v>471</v>
      </c>
      <c r="D295" s="8" t="s">
        <v>762</v>
      </c>
      <c r="E295" s="5" t="s">
        <v>897</v>
      </c>
      <c r="G295" s="5" t="str">
        <f t="shared" si="22"/>
        <v>SD TAYLOR K10 TRAP2</v>
      </c>
      <c r="H295" s="5" t="str">
        <f t="shared" si="23"/>
        <v>[m/s]</v>
      </c>
      <c r="I295" s="5" t="s">
        <v>2462</v>
      </c>
      <c r="J295" s="5" t="s">
        <v>2463</v>
      </c>
      <c r="L295" s="9"/>
      <c r="M295" s="5" t="s">
        <v>2956</v>
      </c>
      <c r="P295" s="16"/>
      <c r="Q295" s="17"/>
      <c r="R295" s="17"/>
      <c r="S295" s="18"/>
      <c r="T295" s="18"/>
      <c r="U295" s="17"/>
      <c r="V295" s="18"/>
      <c r="W295" s="17"/>
      <c r="X295" s="17"/>
      <c r="Y295" s="17"/>
      <c r="Z295" s="17"/>
      <c r="AA295" s="17"/>
      <c r="AB295" s="18"/>
      <c r="AC295" s="17"/>
      <c r="AD295" s="17"/>
    </row>
    <row r="296" spans="1:30">
      <c r="A296" s="6">
        <f>ROW()</f>
        <v>296</v>
      </c>
      <c r="B296" s="7" t="s">
        <v>296</v>
      </c>
      <c r="C296" s="5" t="s">
        <v>471</v>
      </c>
      <c r="D296" s="8" t="s">
        <v>763</v>
      </c>
      <c r="E296" s="5" t="s">
        <v>897</v>
      </c>
      <c r="G296" s="5" t="str">
        <f t="shared" si="22"/>
        <v>SD TAYLOR K10 TRAP3</v>
      </c>
      <c r="H296" s="5" t="str">
        <f t="shared" si="23"/>
        <v>[m/s]</v>
      </c>
      <c r="I296" s="5" t="s">
        <v>2462</v>
      </c>
      <c r="J296" s="5" t="s">
        <v>2463</v>
      </c>
      <c r="L296" s="9"/>
      <c r="M296" s="5" t="s">
        <v>2957</v>
      </c>
      <c r="P296" s="16"/>
      <c r="Q296" s="17"/>
      <c r="R296" s="17"/>
      <c r="S296" s="18"/>
      <c r="T296" s="18"/>
      <c r="U296" s="17"/>
      <c r="V296" s="18"/>
      <c r="W296" s="17"/>
      <c r="X296" s="17"/>
      <c r="Y296" s="17"/>
      <c r="Z296" s="17"/>
      <c r="AA296" s="17"/>
      <c r="AB296" s="18"/>
      <c r="AC296" s="17"/>
      <c r="AD296" s="17"/>
    </row>
    <row r="297" spans="1:30">
      <c r="A297" s="6">
        <f>ROW()</f>
        <v>297</v>
      </c>
      <c r="B297" s="7" t="s">
        <v>297</v>
      </c>
      <c r="C297" s="5" t="s">
        <v>471</v>
      </c>
      <c r="D297" s="8" t="s">
        <v>764</v>
      </c>
      <c r="E297" s="5" t="s">
        <v>897</v>
      </c>
      <c r="G297" s="5" t="str">
        <f t="shared" si="22"/>
        <v>SD TAYLOR K10 TRAP4</v>
      </c>
      <c r="H297" s="5" t="str">
        <f t="shared" si="23"/>
        <v>[m/s]</v>
      </c>
      <c r="I297" s="5" t="s">
        <v>2462</v>
      </c>
      <c r="J297" s="5" t="s">
        <v>2463</v>
      </c>
      <c r="L297" s="9"/>
      <c r="M297" s="5" t="s">
        <v>2958</v>
      </c>
      <c r="P297" s="16"/>
      <c r="Q297" s="17"/>
      <c r="R297" s="17"/>
      <c r="S297" s="18"/>
      <c r="T297" s="18"/>
      <c r="U297" s="17"/>
      <c r="V297" s="18"/>
      <c r="W297" s="17"/>
      <c r="X297" s="17"/>
      <c r="Y297" s="17"/>
      <c r="Z297" s="17"/>
      <c r="AA297" s="17"/>
      <c r="AB297" s="18"/>
      <c r="AC297" s="17"/>
      <c r="AD297" s="17"/>
    </row>
    <row r="298" spans="1:30">
      <c r="A298" s="6">
        <f>ROW()</f>
        <v>298</v>
      </c>
      <c r="B298" s="7" t="s">
        <v>298</v>
      </c>
      <c r="C298" s="5" t="s">
        <v>471</v>
      </c>
      <c r="D298" s="8" t="s">
        <v>765</v>
      </c>
      <c r="E298" s="5" t="s">
        <v>897</v>
      </c>
      <c r="G298" s="5" t="str">
        <f t="shared" si="22"/>
        <v>SD TAYLOR K10 TRAP5</v>
      </c>
      <c r="H298" s="5" t="str">
        <f t="shared" si="23"/>
        <v>[m/s]</v>
      </c>
      <c r="I298" s="5" t="s">
        <v>2462</v>
      </c>
      <c r="J298" s="5" t="s">
        <v>2463</v>
      </c>
      <c r="L298" s="9"/>
      <c r="M298" s="5" t="s">
        <v>2959</v>
      </c>
      <c r="P298" s="16"/>
      <c r="Q298" s="17"/>
      <c r="R298" s="17"/>
      <c r="S298" s="18"/>
      <c r="T298" s="18"/>
      <c r="U298" s="17"/>
      <c r="V298" s="18"/>
      <c r="W298" s="17"/>
      <c r="X298" s="17"/>
      <c r="Y298" s="17"/>
      <c r="Z298" s="17"/>
      <c r="AA298" s="17"/>
      <c r="AB298" s="18"/>
      <c r="AC298" s="17"/>
      <c r="AD298" s="17"/>
    </row>
    <row r="299" spans="1:30">
      <c r="A299" s="6">
        <f>ROW()</f>
        <v>299</v>
      </c>
      <c r="B299" s="7" t="s">
        <v>299</v>
      </c>
      <c r="C299" s="5" t="s">
        <v>471</v>
      </c>
      <c r="D299" s="8" t="s">
        <v>766</v>
      </c>
      <c r="E299" s="5" t="s">
        <v>897</v>
      </c>
      <c r="G299" s="5" t="str">
        <f t="shared" si="22"/>
        <v>SD TAYLOR K10 TRAP6</v>
      </c>
      <c r="H299" s="5" t="str">
        <f t="shared" si="23"/>
        <v>[m/s]</v>
      </c>
      <c r="I299" s="5" t="s">
        <v>2462</v>
      </c>
      <c r="J299" s="5" t="s">
        <v>2463</v>
      </c>
      <c r="L299" s="9"/>
      <c r="M299" s="5" t="s">
        <v>2960</v>
      </c>
      <c r="P299" s="16"/>
      <c r="Q299" s="17"/>
      <c r="R299" s="17"/>
      <c r="S299" s="18"/>
      <c r="T299" s="18"/>
      <c r="U299" s="17"/>
      <c r="V299" s="18"/>
      <c r="W299" s="17"/>
      <c r="X299" s="17"/>
      <c r="Y299" s="17"/>
      <c r="Z299" s="17"/>
      <c r="AA299" s="17"/>
      <c r="AB299" s="18"/>
      <c r="AC299" s="17"/>
      <c r="AD299" s="17"/>
    </row>
    <row r="300" spans="1:30">
      <c r="A300" s="6">
        <f>ROW()</f>
        <v>300</v>
      </c>
      <c r="B300" s="7" t="s">
        <v>300</v>
      </c>
      <c r="C300" s="5" t="s">
        <v>471</v>
      </c>
      <c r="D300" s="8" t="s">
        <v>767</v>
      </c>
      <c r="E300" s="5" t="s">
        <v>897</v>
      </c>
      <c r="G300" s="5" t="str">
        <f t="shared" si="22"/>
        <v>SD TAYLOR K10 TRAP7</v>
      </c>
      <c r="H300" s="5" t="str">
        <f t="shared" si="23"/>
        <v>[m/s]</v>
      </c>
      <c r="I300" s="5" t="s">
        <v>2462</v>
      </c>
      <c r="J300" s="5" t="s">
        <v>2463</v>
      </c>
      <c r="L300" s="9"/>
      <c r="M300" s="5" t="s">
        <v>2711</v>
      </c>
      <c r="P300" s="16"/>
      <c r="Q300" s="17"/>
      <c r="R300" s="17"/>
      <c r="S300" s="18"/>
      <c r="T300" s="18"/>
      <c r="U300" s="17"/>
      <c r="V300" s="18"/>
      <c r="W300" s="17"/>
      <c r="X300" s="17"/>
      <c r="Y300" s="17"/>
      <c r="Z300" s="17"/>
      <c r="AA300" s="17"/>
      <c r="AB300" s="18"/>
      <c r="AC300" s="17"/>
      <c r="AD300" s="17"/>
    </row>
    <row r="301" spans="1:30">
      <c r="A301" s="6">
        <f>ROW()</f>
        <v>301</v>
      </c>
      <c r="B301" s="7" t="s">
        <v>301</v>
      </c>
      <c r="C301" s="5" t="s">
        <v>471</v>
      </c>
      <c r="D301" s="8" t="s">
        <v>768</v>
      </c>
      <c r="E301" s="5" t="s">
        <v>897</v>
      </c>
      <c r="G301" s="5" t="str">
        <f t="shared" si="22"/>
        <v>SD TAYLOR K10 TRAP8</v>
      </c>
      <c r="H301" s="5" t="str">
        <f t="shared" si="23"/>
        <v>[m/s]</v>
      </c>
      <c r="I301" s="5" t="s">
        <v>2462</v>
      </c>
      <c r="J301" s="5" t="s">
        <v>2463</v>
      </c>
      <c r="L301" s="9"/>
      <c r="M301" s="5" t="s">
        <v>2961</v>
      </c>
      <c r="P301" s="16"/>
      <c r="Q301" s="17"/>
      <c r="R301" s="17"/>
      <c r="S301" s="18"/>
      <c r="T301" s="18"/>
      <c r="U301" s="17"/>
      <c r="V301" s="18"/>
      <c r="W301" s="17"/>
      <c r="X301" s="17"/>
      <c r="Y301" s="17"/>
      <c r="Z301" s="17"/>
      <c r="AA301" s="17"/>
      <c r="AB301" s="18"/>
      <c r="AC301" s="17"/>
      <c r="AD301" s="17"/>
    </row>
    <row r="302" spans="1:30">
      <c r="A302" s="6">
        <f>ROW()</f>
        <v>302</v>
      </c>
      <c r="B302" s="7" t="s">
        <v>302</v>
      </c>
      <c r="C302" s="5" t="s">
        <v>471</v>
      </c>
      <c r="D302" s="8" t="s">
        <v>769</v>
      </c>
      <c r="E302" s="5" t="s">
        <v>897</v>
      </c>
      <c r="G302" s="5" t="str">
        <f t="shared" si="22"/>
        <v>SD TAYLOR K10 TRAP9</v>
      </c>
      <c r="H302" s="5" t="str">
        <f t="shared" si="23"/>
        <v>[m/s]</v>
      </c>
      <c r="I302" s="5" t="s">
        <v>2462</v>
      </c>
      <c r="J302" s="5" t="s">
        <v>2463</v>
      </c>
      <c r="L302" s="9"/>
      <c r="M302" s="5" t="s">
        <v>2962</v>
      </c>
      <c r="P302" s="16"/>
      <c r="Q302" s="17"/>
      <c r="R302" s="17"/>
      <c r="S302" s="18"/>
      <c r="T302" s="18"/>
      <c r="U302" s="17"/>
      <c r="V302" s="18"/>
      <c r="W302" s="17"/>
      <c r="X302" s="17"/>
      <c r="Y302" s="17"/>
      <c r="Z302" s="17"/>
      <c r="AA302" s="17"/>
      <c r="AB302" s="18"/>
      <c r="AC302" s="17"/>
      <c r="AD302" s="17"/>
    </row>
    <row r="303" spans="1:30" ht="25.5">
      <c r="A303" s="6">
        <f>ROW()</f>
        <v>303</v>
      </c>
      <c r="B303" s="7" t="s">
        <v>303</v>
      </c>
      <c r="C303" s="5" t="s">
        <v>479</v>
      </c>
      <c r="D303" s="8" t="s">
        <v>770</v>
      </c>
      <c r="E303" s="5" t="s">
        <v>897</v>
      </c>
      <c r="G303" s="5" t="str">
        <f t="shared" si="22"/>
        <v>SD TAYLOR MV TRAP2</v>
      </c>
      <c r="H303" s="5" t="str">
        <f t="shared" si="23"/>
        <v>[1/MPa]</v>
      </c>
      <c r="I303" s="5" t="s">
        <v>2462</v>
      </c>
      <c r="J303" s="5" t="s">
        <v>2463</v>
      </c>
      <c r="L303" s="9"/>
      <c r="M303" s="5" t="s">
        <v>2963</v>
      </c>
      <c r="P303" s="16"/>
      <c r="Q303" s="17"/>
      <c r="R303" s="17"/>
      <c r="S303" s="18"/>
      <c r="T303" s="18"/>
      <c r="U303" s="17"/>
      <c r="V303" s="18"/>
      <c r="W303" s="17"/>
      <c r="X303" s="17"/>
      <c r="Y303" s="17"/>
      <c r="Z303" s="17"/>
      <c r="AA303" s="17"/>
      <c r="AB303" s="18"/>
      <c r="AC303" s="17"/>
      <c r="AD303" s="17"/>
    </row>
    <row r="304" spans="1:30" ht="25.5">
      <c r="A304" s="6">
        <f>ROW()</f>
        <v>304</v>
      </c>
      <c r="B304" s="7" t="s">
        <v>304</v>
      </c>
      <c r="C304" s="5" t="s">
        <v>479</v>
      </c>
      <c r="D304" s="8" t="s">
        <v>771</v>
      </c>
      <c r="E304" s="5" t="s">
        <v>897</v>
      </c>
      <c r="G304" s="5" t="str">
        <f t="shared" si="22"/>
        <v>SD TAYLOR MV TRAP3</v>
      </c>
      <c r="H304" s="5" t="str">
        <f t="shared" si="23"/>
        <v>[1/MPa]</v>
      </c>
      <c r="I304" s="5" t="s">
        <v>2462</v>
      </c>
      <c r="J304" s="5" t="s">
        <v>2463</v>
      </c>
      <c r="L304" s="9"/>
      <c r="M304" s="5" t="s">
        <v>2964</v>
      </c>
      <c r="P304" s="16"/>
      <c r="Q304" s="17"/>
      <c r="R304" s="17"/>
      <c r="S304" s="18"/>
      <c r="T304" s="18"/>
      <c r="U304" s="17"/>
      <c r="V304" s="18"/>
      <c r="W304" s="17"/>
      <c r="X304" s="17"/>
      <c r="Y304" s="17"/>
      <c r="Z304" s="17"/>
      <c r="AA304" s="17"/>
      <c r="AB304" s="18"/>
      <c r="AC304" s="17"/>
      <c r="AD304" s="17"/>
    </row>
    <row r="305" spans="1:30" ht="25.5">
      <c r="A305" s="6">
        <f>ROW()</f>
        <v>305</v>
      </c>
      <c r="B305" s="7" t="s">
        <v>305</v>
      </c>
      <c r="C305" s="5" t="s">
        <v>479</v>
      </c>
      <c r="D305" s="8" t="s">
        <v>772</v>
      </c>
      <c r="E305" s="5" t="s">
        <v>897</v>
      </c>
      <c r="G305" s="5" t="str">
        <f t="shared" si="22"/>
        <v>SD TAYLOR MV TRAP4</v>
      </c>
      <c r="H305" s="5" t="str">
        <f t="shared" si="23"/>
        <v>[1/MPa]</v>
      </c>
      <c r="I305" s="5" t="s">
        <v>2462</v>
      </c>
      <c r="J305" s="5" t="s">
        <v>2463</v>
      </c>
      <c r="L305" s="9"/>
      <c r="M305" s="5" t="s">
        <v>2965</v>
      </c>
      <c r="P305" s="16"/>
      <c r="Q305" s="17"/>
      <c r="R305" s="17"/>
      <c r="S305" s="18"/>
      <c r="T305" s="18"/>
      <c r="U305" s="17"/>
      <c r="V305" s="18"/>
      <c r="W305" s="17"/>
      <c r="X305" s="17"/>
      <c r="Y305" s="17"/>
      <c r="Z305" s="17"/>
      <c r="AA305" s="17"/>
      <c r="AB305" s="18"/>
      <c r="AC305" s="17"/>
      <c r="AD305" s="17"/>
    </row>
    <row r="306" spans="1:30" ht="25.5">
      <c r="A306" s="6">
        <f>ROW()</f>
        <v>306</v>
      </c>
      <c r="B306" s="7" t="s">
        <v>306</v>
      </c>
      <c r="C306" s="5" t="s">
        <v>479</v>
      </c>
      <c r="D306" s="8" t="s">
        <v>773</v>
      </c>
      <c r="E306" s="5" t="s">
        <v>897</v>
      </c>
      <c r="G306" s="5" t="str">
        <f t="shared" si="22"/>
        <v>SD TAYLOR MV TRAP5</v>
      </c>
      <c r="H306" s="5" t="str">
        <f t="shared" si="23"/>
        <v>[1/MPa]</v>
      </c>
      <c r="I306" s="5" t="s">
        <v>2462</v>
      </c>
      <c r="J306" s="5" t="s">
        <v>2463</v>
      </c>
      <c r="L306" s="9"/>
      <c r="M306" s="5" t="s">
        <v>2966</v>
      </c>
      <c r="P306" s="16"/>
      <c r="Q306" s="17"/>
      <c r="R306" s="17"/>
      <c r="S306" s="18"/>
      <c r="T306" s="18"/>
      <c r="U306" s="17"/>
      <c r="V306" s="18"/>
      <c r="W306" s="17"/>
      <c r="X306" s="17"/>
      <c r="Y306" s="17"/>
      <c r="Z306" s="17"/>
      <c r="AA306" s="17"/>
      <c r="AB306" s="18"/>
      <c r="AC306" s="17"/>
      <c r="AD306" s="17"/>
    </row>
    <row r="307" spans="1:30" ht="25.5">
      <c r="A307" s="6">
        <f>ROW()</f>
        <v>307</v>
      </c>
      <c r="B307" s="7" t="s">
        <v>307</v>
      </c>
      <c r="C307" s="5" t="s">
        <v>479</v>
      </c>
      <c r="D307" s="8" t="s">
        <v>774</v>
      </c>
      <c r="E307" s="5" t="s">
        <v>897</v>
      </c>
      <c r="G307" s="5" t="str">
        <f t="shared" si="22"/>
        <v>SD TAYLOR MV TRAP6</v>
      </c>
      <c r="H307" s="5" t="str">
        <f t="shared" si="23"/>
        <v>[1/MPa]</v>
      </c>
      <c r="I307" s="5" t="s">
        <v>2462</v>
      </c>
      <c r="J307" s="5" t="s">
        <v>2463</v>
      </c>
      <c r="L307" s="9"/>
      <c r="M307" s="5" t="s">
        <v>2967</v>
      </c>
      <c r="P307" s="16"/>
      <c r="Q307" s="17"/>
      <c r="R307" s="17"/>
      <c r="S307" s="18"/>
      <c r="T307" s="18"/>
      <c r="U307" s="17"/>
      <c r="V307" s="18"/>
      <c r="W307" s="17"/>
      <c r="X307" s="17"/>
      <c r="Y307" s="17"/>
      <c r="Z307" s="17"/>
      <c r="AA307" s="17"/>
      <c r="AB307" s="18"/>
      <c r="AC307" s="17"/>
      <c r="AD307" s="17"/>
    </row>
    <row r="308" spans="1:30" ht="25.5">
      <c r="A308" s="6">
        <f>ROW()</f>
        <v>308</v>
      </c>
      <c r="B308" s="7" t="s">
        <v>308</v>
      </c>
      <c r="C308" s="5" t="s">
        <v>479</v>
      </c>
      <c r="D308" s="8" t="s">
        <v>775</v>
      </c>
      <c r="E308" s="5" t="s">
        <v>897</v>
      </c>
      <c r="G308" s="5" t="str">
        <f t="shared" si="22"/>
        <v>SD TAYLOR MV TRAP7</v>
      </c>
      <c r="H308" s="5" t="str">
        <f t="shared" si="23"/>
        <v>[1/MPa]</v>
      </c>
      <c r="I308" s="5" t="s">
        <v>2462</v>
      </c>
      <c r="J308" s="5" t="s">
        <v>2463</v>
      </c>
      <c r="L308" s="9"/>
      <c r="M308" s="5" t="s">
        <v>2711</v>
      </c>
      <c r="P308" s="16"/>
      <c r="Q308" s="17"/>
      <c r="R308" s="17"/>
      <c r="S308" s="18"/>
      <c r="T308" s="18"/>
      <c r="U308" s="17"/>
      <c r="V308" s="18"/>
      <c r="W308" s="17"/>
      <c r="X308" s="17"/>
      <c r="Y308" s="17"/>
      <c r="Z308" s="17"/>
      <c r="AA308" s="17"/>
      <c r="AB308" s="18"/>
      <c r="AC308" s="17"/>
      <c r="AD308" s="17"/>
    </row>
    <row r="309" spans="1:30" ht="25.5">
      <c r="A309" s="6">
        <f>ROW()</f>
        <v>309</v>
      </c>
      <c r="B309" s="7" t="s">
        <v>309</v>
      </c>
      <c r="C309" s="5" t="s">
        <v>479</v>
      </c>
      <c r="D309" s="8" t="s">
        <v>776</v>
      </c>
      <c r="E309" s="5" t="s">
        <v>897</v>
      </c>
      <c r="G309" s="5" t="str">
        <f t="shared" si="22"/>
        <v>SD TAYLOR MV TRAP8</v>
      </c>
      <c r="H309" s="5" t="str">
        <f t="shared" si="23"/>
        <v>[1/MPa]</v>
      </c>
      <c r="I309" s="5" t="s">
        <v>2462</v>
      </c>
      <c r="J309" s="5" t="s">
        <v>2463</v>
      </c>
      <c r="L309" s="9"/>
      <c r="M309" s="5" t="s">
        <v>2968</v>
      </c>
      <c r="P309" s="16"/>
      <c r="Q309" s="17"/>
      <c r="R309" s="17"/>
      <c r="S309" s="18"/>
      <c r="T309" s="18"/>
      <c r="U309" s="17"/>
      <c r="V309" s="18"/>
      <c r="W309" s="17"/>
      <c r="X309" s="17"/>
      <c r="Y309" s="17"/>
      <c r="Z309" s="17"/>
      <c r="AA309" s="17"/>
      <c r="AB309" s="18"/>
      <c r="AC309" s="17"/>
      <c r="AD309" s="17"/>
    </row>
    <row r="310" spans="1:30" ht="25.5">
      <c r="A310" s="6">
        <f>ROW()</f>
        <v>310</v>
      </c>
      <c r="B310" s="7" t="s">
        <v>310</v>
      </c>
      <c r="C310" s="5" t="s">
        <v>479</v>
      </c>
      <c r="D310" s="8" t="s">
        <v>777</v>
      </c>
      <c r="E310" s="5" t="s">
        <v>897</v>
      </c>
      <c r="G310" s="5" t="str">
        <f t="shared" si="22"/>
        <v>SD TAYLOR MV TRAP9</v>
      </c>
      <c r="H310" s="5" t="str">
        <f t="shared" si="23"/>
        <v>[1/MPa]</v>
      </c>
      <c r="I310" s="5" t="s">
        <v>2462</v>
      </c>
      <c r="J310" s="5" t="s">
        <v>2463</v>
      </c>
      <c r="L310" s="9"/>
      <c r="M310" s="5" t="s">
        <v>2969</v>
      </c>
      <c r="P310" s="16"/>
      <c r="Q310" s="17"/>
      <c r="R310" s="17"/>
      <c r="S310" s="18"/>
      <c r="T310" s="18"/>
      <c r="U310" s="17"/>
      <c r="V310" s="18"/>
      <c r="W310" s="17"/>
      <c r="X310" s="17"/>
      <c r="Y310" s="17"/>
      <c r="Z310" s="17"/>
      <c r="AA310" s="17"/>
      <c r="AB310" s="18"/>
      <c r="AC310" s="17"/>
      <c r="AD310" s="17"/>
    </row>
    <row r="311" spans="1:30">
      <c r="A311" s="6">
        <f>ROW()</f>
        <v>311</v>
      </c>
      <c r="B311" s="7" t="s">
        <v>311</v>
      </c>
      <c r="C311" s="7" t="s">
        <v>470</v>
      </c>
      <c r="D311" s="10" t="s">
        <v>746</v>
      </c>
      <c r="E311" s="5" t="s">
        <v>897</v>
      </c>
      <c r="G311" s="5" t="str">
        <f t="shared" si="22"/>
        <v>SD TAYLOR SPANNING CV10 TRAP2</v>
      </c>
      <c r="H311" s="5" t="str">
        <f t="shared" si="23"/>
        <v>[kPa]</v>
      </c>
      <c r="I311" s="5" t="s">
        <v>2462</v>
      </c>
      <c r="J311" s="5" t="s">
        <v>2463</v>
      </c>
      <c r="L311" s="9"/>
      <c r="M311" s="5" t="s">
        <v>2970</v>
      </c>
      <c r="P311" s="16"/>
      <c r="Q311" s="17"/>
      <c r="R311" s="17"/>
      <c r="S311" s="18"/>
      <c r="T311" s="18"/>
      <c r="U311" s="17"/>
      <c r="V311" s="18"/>
      <c r="W311" s="17"/>
      <c r="X311" s="17"/>
      <c r="Y311" s="17"/>
      <c r="Z311" s="17"/>
      <c r="AA311" s="17"/>
      <c r="AB311" s="18"/>
      <c r="AC311" s="17"/>
      <c r="AD311" s="17"/>
    </row>
    <row r="312" spans="1:30">
      <c r="A312" s="6">
        <f>ROW()</f>
        <v>312</v>
      </c>
      <c r="B312" s="7" t="s">
        <v>312</v>
      </c>
      <c r="C312" s="7" t="s">
        <v>470</v>
      </c>
      <c r="D312" s="10" t="s">
        <v>747</v>
      </c>
      <c r="E312" s="5" t="s">
        <v>897</v>
      </c>
      <c r="G312" s="5" t="str">
        <f t="shared" si="22"/>
        <v>SD TAYLOR SPANNING CV10 TRAP3</v>
      </c>
      <c r="H312" s="5" t="str">
        <f t="shared" si="23"/>
        <v>[kPa]</v>
      </c>
      <c r="I312" s="5" t="s">
        <v>2462</v>
      </c>
      <c r="J312" s="5" t="s">
        <v>2463</v>
      </c>
      <c r="L312" s="9"/>
      <c r="M312" s="5" t="s">
        <v>2971</v>
      </c>
      <c r="P312" s="16"/>
      <c r="Q312" s="17"/>
      <c r="R312" s="17"/>
      <c r="S312" s="18"/>
      <c r="T312" s="18"/>
      <c r="U312" s="17"/>
      <c r="V312" s="18"/>
      <c r="W312" s="17"/>
      <c r="X312" s="17"/>
      <c r="Y312" s="17"/>
      <c r="Z312" s="17"/>
      <c r="AA312" s="17"/>
      <c r="AB312" s="18"/>
      <c r="AC312" s="17"/>
      <c r="AD312" s="17"/>
    </row>
    <row r="313" spans="1:30">
      <c r="A313" s="6">
        <f>ROW()</f>
        <v>313</v>
      </c>
      <c r="B313" s="7" t="s">
        <v>313</v>
      </c>
      <c r="C313" s="7" t="s">
        <v>470</v>
      </c>
      <c r="D313" s="10" t="s">
        <v>748</v>
      </c>
      <c r="E313" s="5" t="s">
        <v>897</v>
      </c>
      <c r="G313" s="5" t="str">
        <f t="shared" si="22"/>
        <v>SD TAYLOR SPANNING CV10 TRAP4</v>
      </c>
      <c r="H313" s="5" t="str">
        <f t="shared" si="23"/>
        <v>[kPa]</v>
      </c>
      <c r="I313" s="5" t="s">
        <v>2462</v>
      </c>
      <c r="J313" s="5" t="s">
        <v>2463</v>
      </c>
      <c r="L313" s="9"/>
      <c r="M313" s="5" t="s">
        <v>2972</v>
      </c>
      <c r="P313" s="16"/>
      <c r="Q313" s="17"/>
      <c r="R313" s="17"/>
      <c r="S313" s="18"/>
      <c r="T313" s="18"/>
      <c r="U313" s="17"/>
      <c r="V313" s="18"/>
      <c r="W313" s="17"/>
      <c r="X313" s="17"/>
      <c r="Y313" s="17"/>
      <c r="Z313" s="17"/>
      <c r="AA313" s="17"/>
      <c r="AB313" s="18"/>
      <c r="AC313" s="17"/>
      <c r="AD313" s="17"/>
    </row>
    <row r="314" spans="1:30">
      <c r="A314" s="6">
        <f>ROW()</f>
        <v>314</v>
      </c>
      <c r="B314" s="7" t="s">
        <v>314</v>
      </c>
      <c r="C314" s="7" t="s">
        <v>470</v>
      </c>
      <c r="D314" s="10" t="s">
        <v>749</v>
      </c>
      <c r="E314" s="5" t="s">
        <v>897</v>
      </c>
      <c r="G314" s="5" t="str">
        <f t="shared" si="22"/>
        <v>SD TAYLOR SPANNING CV10 TRAP5</v>
      </c>
      <c r="H314" s="5" t="str">
        <f t="shared" si="23"/>
        <v>[kPa]</v>
      </c>
      <c r="I314" s="5" t="s">
        <v>2462</v>
      </c>
      <c r="J314" s="5" t="s">
        <v>2463</v>
      </c>
      <c r="L314" s="9"/>
      <c r="M314" s="5" t="s">
        <v>2973</v>
      </c>
      <c r="P314" s="16"/>
      <c r="Q314" s="17"/>
      <c r="R314" s="17"/>
      <c r="S314" s="18"/>
      <c r="T314" s="18"/>
      <c r="U314" s="17"/>
      <c r="V314" s="18"/>
      <c r="W314" s="17"/>
      <c r="X314" s="17"/>
      <c r="Y314" s="17"/>
      <c r="Z314" s="17"/>
      <c r="AA314" s="17"/>
      <c r="AB314" s="18"/>
      <c r="AC314" s="17"/>
      <c r="AD314" s="17"/>
    </row>
    <row r="315" spans="1:30">
      <c r="A315" s="6">
        <f>ROW()</f>
        <v>315</v>
      </c>
      <c r="B315" s="7" t="s">
        <v>315</v>
      </c>
      <c r="C315" s="7" t="s">
        <v>470</v>
      </c>
      <c r="D315" s="10" t="s">
        <v>750</v>
      </c>
      <c r="E315" s="5" t="s">
        <v>897</v>
      </c>
      <c r="G315" s="5" t="str">
        <f t="shared" si="22"/>
        <v>SD TAYLOR SPANNING CV10 TRAP6</v>
      </c>
      <c r="H315" s="5" t="str">
        <f t="shared" si="23"/>
        <v>[kPa]</v>
      </c>
      <c r="I315" s="5" t="s">
        <v>2462</v>
      </c>
      <c r="J315" s="5" t="s">
        <v>2463</v>
      </c>
      <c r="L315" s="9"/>
      <c r="M315" s="5" t="s">
        <v>2974</v>
      </c>
      <c r="P315" s="16"/>
      <c r="Q315" s="17"/>
      <c r="R315" s="17"/>
      <c r="S315" s="18"/>
      <c r="T315" s="18"/>
      <c r="U315" s="17"/>
      <c r="V315" s="18"/>
      <c r="W315" s="17"/>
      <c r="X315" s="17"/>
      <c r="Y315" s="17"/>
      <c r="Z315" s="17"/>
      <c r="AA315" s="17"/>
      <c r="AB315" s="18"/>
      <c r="AC315" s="17"/>
      <c r="AD315" s="17"/>
    </row>
    <row r="316" spans="1:30">
      <c r="A316" s="6">
        <f>ROW()</f>
        <v>316</v>
      </c>
      <c r="B316" s="7" t="s">
        <v>316</v>
      </c>
      <c r="C316" s="7" t="s">
        <v>470</v>
      </c>
      <c r="D316" s="10" t="s">
        <v>751</v>
      </c>
      <c r="E316" s="5" t="s">
        <v>897</v>
      </c>
      <c r="G316" s="5" t="str">
        <f t="shared" si="22"/>
        <v>SD TAYLOR SPANNING CV10 TRAP7</v>
      </c>
      <c r="H316" s="5" t="str">
        <f t="shared" si="23"/>
        <v>[kPa]</v>
      </c>
      <c r="I316" s="5" t="s">
        <v>2462</v>
      </c>
      <c r="J316" s="5" t="s">
        <v>2463</v>
      </c>
      <c r="L316" s="9"/>
      <c r="M316" s="5" t="s">
        <v>2711</v>
      </c>
      <c r="P316" s="16"/>
      <c r="Q316" s="17"/>
      <c r="R316" s="17"/>
      <c r="S316" s="18"/>
      <c r="T316" s="18"/>
      <c r="U316" s="17"/>
      <c r="V316" s="18"/>
      <c r="W316" s="17"/>
      <c r="X316" s="17"/>
      <c r="Y316" s="17"/>
      <c r="Z316" s="17"/>
      <c r="AA316" s="17"/>
      <c r="AB316" s="18"/>
      <c r="AC316" s="17"/>
      <c r="AD316" s="17"/>
    </row>
    <row r="317" spans="1:30">
      <c r="A317" s="6">
        <f>ROW()</f>
        <v>317</v>
      </c>
      <c r="B317" s="7" t="s">
        <v>317</v>
      </c>
      <c r="C317" s="7" t="s">
        <v>470</v>
      </c>
      <c r="D317" s="10" t="s">
        <v>752</v>
      </c>
      <c r="E317" s="5" t="s">
        <v>897</v>
      </c>
      <c r="G317" s="5" t="str">
        <f t="shared" si="22"/>
        <v>SD TAYLOR SPANNING CV10 TRAP8</v>
      </c>
      <c r="H317" s="5" t="str">
        <f t="shared" si="23"/>
        <v>[kPa]</v>
      </c>
      <c r="I317" s="5" t="s">
        <v>2462</v>
      </c>
      <c r="J317" s="5" t="s">
        <v>2463</v>
      </c>
      <c r="L317" s="9"/>
      <c r="M317" s="5" t="s">
        <v>2975</v>
      </c>
      <c r="P317" s="16"/>
      <c r="Q317" s="17"/>
      <c r="R317" s="17"/>
      <c r="S317" s="18"/>
      <c r="T317" s="18"/>
      <c r="U317" s="17"/>
      <c r="V317" s="18"/>
      <c r="W317" s="17"/>
      <c r="X317" s="17"/>
      <c r="Y317" s="17"/>
      <c r="Z317" s="17"/>
      <c r="AA317" s="17"/>
      <c r="AB317" s="18"/>
      <c r="AC317" s="17"/>
      <c r="AD317" s="17"/>
    </row>
    <row r="318" spans="1:30">
      <c r="A318" s="6">
        <f>ROW()</f>
        <v>318</v>
      </c>
      <c r="B318" s="7" t="s">
        <v>318</v>
      </c>
      <c r="C318" s="7" t="s">
        <v>470</v>
      </c>
      <c r="D318" s="10" t="s">
        <v>753</v>
      </c>
      <c r="E318" s="5" t="s">
        <v>897</v>
      </c>
      <c r="G318" s="5" t="str">
        <f t="shared" si="22"/>
        <v>SD TAYLOR SPANNING CV10 TRAP9</v>
      </c>
      <c r="H318" s="5" t="str">
        <f t="shared" si="23"/>
        <v>[kPa]</v>
      </c>
      <c r="I318" s="5" t="s">
        <v>2462</v>
      </c>
      <c r="J318" s="5" t="s">
        <v>2463</v>
      </c>
      <c r="L318" s="9"/>
      <c r="M318" s="5" t="s">
        <v>2976</v>
      </c>
      <c r="P318" s="16"/>
      <c r="Q318" s="17"/>
      <c r="R318" s="17"/>
      <c r="S318" s="18"/>
      <c r="T318" s="18"/>
      <c r="U318" s="17"/>
      <c r="V318" s="18"/>
      <c r="W318" s="17"/>
      <c r="X318" s="17"/>
      <c r="Y318" s="17"/>
      <c r="Z318" s="17"/>
      <c r="AA318" s="17"/>
      <c r="AB318" s="18"/>
      <c r="AC318" s="17"/>
      <c r="AD318" s="17"/>
    </row>
    <row r="319" spans="1:30">
      <c r="A319" s="6">
        <f>ROW()</f>
        <v>319</v>
      </c>
      <c r="B319" s="7" t="s">
        <v>319</v>
      </c>
      <c r="C319" s="5" t="s">
        <v>463</v>
      </c>
      <c r="D319" s="8" t="s">
        <v>778</v>
      </c>
      <c r="E319" s="5" t="s">
        <v>896</v>
      </c>
      <c r="G319" s="5" t="str">
        <f t="shared" si="22"/>
        <v>DSS FILENAAM PDF</v>
      </c>
      <c r="H319" s="5" t="str">
        <f t="shared" si="23"/>
        <v>[-]</v>
      </c>
      <c r="I319" s="5" t="s">
        <v>2602</v>
      </c>
      <c r="J319" s="5" t="s">
        <v>2603</v>
      </c>
      <c r="K319" s="6">
        <v>1</v>
      </c>
      <c r="L319" s="9"/>
      <c r="M319" s="5" t="s">
        <v>2977</v>
      </c>
      <c r="P319" s="16"/>
      <c r="Q319" s="17"/>
      <c r="R319" s="17"/>
      <c r="S319" s="18"/>
      <c r="T319" s="18"/>
      <c r="U319" s="17"/>
      <c r="V319" s="18"/>
      <c r="W319" s="17"/>
      <c r="X319" s="17"/>
      <c r="Y319" s="17"/>
      <c r="Z319" s="17"/>
      <c r="AA319" s="17"/>
      <c r="AB319" s="18"/>
      <c r="AC319" s="17"/>
      <c r="AD319" s="17"/>
    </row>
    <row r="320" spans="1:30" ht="25.5">
      <c r="A320" s="6">
        <f>ROW()</f>
        <v>320</v>
      </c>
      <c r="B320" s="5" t="s">
        <v>320</v>
      </c>
      <c r="C320" s="5" t="s">
        <v>463</v>
      </c>
      <c r="D320" s="8" t="s">
        <v>612</v>
      </c>
      <c r="E320" s="5" t="s">
        <v>896</v>
      </c>
      <c r="G320" s="5" t="str">
        <f t="shared" si="22"/>
        <v>DSS FILENAAM SPANNINGSPAD</v>
      </c>
      <c r="H320" s="5" t="str">
        <f t="shared" si="23"/>
        <v>[-]</v>
      </c>
      <c r="I320" s="5" t="s">
        <v>2602</v>
      </c>
      <c r="J320" s="5" t="s">
        <v>2603</v>
      </c>
      <c r="K320" s="6">
        <v>1</v>
      </c>
      <c r="L320" s="9"/>
      <c r="M320" s="5" t="s">
        <v>2711</v>
      </c>
      <c r="P320" s="16"/>
      <c r="Q320" s="17"/>
      <c r="R320" s="17"/>
      <c r="S320" s="18"/>
      <c r="T320" s="18"/>
      <c r="U320" s="17"/>
      <c r="V320" s="18"/>
      <c r="W320" s="17"/>
      <c r="X320" s="17"/>
      <c r="Y320" s="17"/>
      <c r="Z320" s="17"/>
      <c r="AA320" s="17"/>
      <c r="AB320" s="18"/>
      <c r="AC320" s="17"/>
      <c r="AD320" s="17"/>
    </row>
    <row r="321" spans="1:30">
      <c r="A321" s="6">
        <f>ROW()</f>
        <v>321</v>
      </c>
      <c r="B321" s="7" t="s">
        <v>321</v>
      </c>
      <c r="C321" s="5" t="s">
        <v>463</v>
      </c>
      <c r="D321" s="8" t="s">
        <v>779</v>
      </c>
      <c r="E321" s="5" t="s">
        <v>896</v>
      </c>
      <c r="G321" s="5" t="str">
        <f t="shared" si="22"/>
        <v>DSS MONSTERID</v>
      </c>
      <c r="H321" s="5" t="str">
        <f t="shared" si="23"/>
        <v>[-]</v>
      </c>
      <c r="I321" s="5" t="s">
        <v>2602</v>
      </c>
      <c r="J321" s="5" t="s">
        <v>2603</v>
      </c>
      <c r="K321" s="6">
        <v>1</v>
      </c>
      <c r="L321" s="9"/>
      <c r="M321" s="5" t="s">
        <v>2978</v>
      </c>
      <c r="P321" s="16"/>
      <c r="Q321" s="17"/>
      <c r="R321" s="17"/>
      <c r="S321" s="18"/>
      <c r="T321" s="18"/>
      <c r="U321" s="17"/>
      <c r="V321" s="18"/>
      <c r="W321" s="17"/>
      <c r="X321" s="17"/>
      <c r="Y321" s="17"/>
      <c r="Z321" s="17"/>
      <c r="AA321" s="17"/>
      <c r="AB321" s="18"/>
      <c r="AC321" s="17"/>
      <c r="AD321" s="17"/>
    </row>
    <row r="322" spans="1:30">
      <c r="A322" s="6">
        <f>ROW()</f>
        <v>322</v>
      </c>
      <c r="B322" s="7" t="s">
        <v>322</v>
      </c>
      <c r="C322" s="5" t="s">
        <v>463</v>
      </c>
      <c r="D322" s="8" t="s">
        <v>780</v>
      </c>
      <c r="E322" s="5" t="s">
        <v>896</v>
      </c>
      <c r="G322" s="5" t="str">
        <f t="shared" ref="G322:G324" si="24">SUBSTITUTE(B322,"_"," ")</f>
        <v>DSS LABORATORIUM</v>
      </c>
      <c r="H322" s="5" t="str">
        <f t="shared" ref="H322:H324" si="25">CONCATENATE("[",C322,"]")</f>
        <v>[-]</v>
      </c>
      <c r="I322" s="5" t="s">
        <v>2602</v>
      </c>
      <c r="J322" s="5" t="s">
        <v>2603</v>
      </c>
      <c r="K322" s="6">
        <v>1</v>
      </c>
      <c r="L322" s="9"/>
      <c r="M322" s="5" t="s">
        <v>2979</v>
      </c>
      <c r="P322" s="16"/>
      <c r="Q322" s="17"/>
      <c r="R322" s="17"/>
      <c r="S322" s="18"/>
      <c r="T322" s="18"/>
      <c r="U322" s="17"/>
      <c r="V322" s="18"/>
      <c r="W322" s="17"/>
      <c r="X322" s="17"/>
      <c r="Y322" s="17"/>
      <c r="Z322" s="17"/>
      <c r="AA322" s="17"/>
      <c r="AB322" s="18"/>
      <c r="AC322" s="17"/>
      <c r="AD322" s="17"/>
    </row>
    <row r="323" spans="1:30">
      <c r="A323" s="6">
        <f>ROW()</f>
        <v>323</v>
      </c>
      <c r="B323" s="7" t="s">
        <v>323</v>
      </c>
      <c r="C323" s="5" t="s">
        <v>463</v>
      </c>
      <c r="D323" s="8" t="s">
        <v>781</v>
      </c>
      <c r="E323" s="5" t="s">
        <v>896</v>
      </c>
      <c r="G323" s="5" t="str">
        <f t="shared" si="24"/>
        <v>DSS NORM</v>
      </c>
      <c r="H323" s="5" t="str">
        <f t="shared" si="25"/>
        <v>[-]</v>
      </c>
      <c r="I323" s="5" t="s">
        <v>2602</v>
      </c>
      <c r="J323" s="5" t="s">
        <v>2603</v>
      </c>
      <c r="K323" s="6">
        <v>1</v>
      </c>
      <c r="L323" s="9"/>
      <c r="M323" s="5" t="s">
        <v>2980</v>
      </c>
      <c r="P323" s="16"/>
      <c r="Q323" s="17"/>
      <c r="R323" s="17"/>
      <c r="S323" s="18"/>
      <c r="T323" s="18"/>
      <c r="U323" s="17"/>
      <c r="V323" s="18"/>
      <c r="W323" s="17"/>
      <c r="X323" s="17"/>
      <c r="Y323" s="17"/>
      <c r="Z323" s="17"/>
      <c r="AA323" s="17"/>
      <c r="AB323" s="18"/>
      <c r="AC323" s="17"/>
      <c r="AD323" s="17"/>
    </row>
    <row r="324" spans="1:30">
      <c r="A324" s="6">
        <f>ROW()</f>
        <v>324</v>
      </c>
      <c r="B324" s="7" t="s">
        <v>324</v>
      </c>
      <c r="C324" s="5" t="s">
        <v>466</v>
      </c>
      <c r="D324" s="8" t="s">
        <v>782</v>
      </c>
      <c r="E324" s="5" t="s">
        <v>898</v>
      </c>
      <c r="G324" s="5" t="str">
        <f t="shared" si="24"/>
        <v>DSS DATUM</v>
      </c>
      <c r="H324" s="5" t="str">
        <f t="shared" si="25"/>
        <v>[DD-MM-JJJJ]</v>
      </c>
      <c r="I324" s="5" t="s">
        <v>2602</v>
      </c>
      <c r="J324" s="5" t="s">
        <v>2603</v>
      </c>
      <c r="K324" s="6">
        <v>1</v>
      </c>
      <c r="L324" s="9"/>
      <c r="M324" s="5" t="s">
        <v>2981</v>
      </c>
      <c r="P324" s="16"/>
      <c r="Q324" s="17"/>
      <c r="R324" s="17"/>
      <c r="S324" s="18"/>
      <c r="T324" s="18"/>
      <c r="U324" s="17"/>
      <c r="V324" s="18"/>
      <c r="W324" s="17"/>
      <c r="X324" s="17"/>
      <c r="Y324" s="17"/>
      <c r="Z324" s="17"/>
      <c r="AA324" s="17"/>
      <c r="AB324" s="18"/>
      <c r="AC324" s="17"/>
      <c r="AD324" s="17"/>
    </row>
    <row r="325" spans="1:30">
      <c r="A325" s="6">
        <f>ROW()</f>
        <v>325</v>
      </c>
      <c r="B325" s="7" t="s">
        <v>2982</v>
      </c>
      <c r="C325" s="5" t="s">
        <v>463</v>
      </c>
      <c r="D325" s="8" t="s">
        <v>532</v>
      </c>
      <c r="E325" s="5" t="s">
        <v>896</v>
      </c>
      <c r="G325" s="5" t="str">
        <f t="shared" si="22"/>
        <v>DSS CLASSIFICATIE</v>
      </c>
      <c r="H325" s="5" t="str">
        <f t="shared" si="23"/>
        <v>[-]</v>
      </c>
      <c r="I325" s="5" t="s">
        <v>2602</v>
      </c>
      <c r="J325" s="5" t="s">
        <v>2603</v>
      </c>
      <c r="K325" s="6">
        <v>1</v>
      </c>
      <c r="L325" s="9"/>
      <c r="M325" s="5" t="s">
        <v>2983</v>
      </c>
      <c r="P325" s="16"/>
      <c r="Q325" s="17"/>
      <c r="R325" s="17"/>
      <c r="S325" s="18"/>
      <c r="T325" s="18"/>
      <c r="U325" s="17"/>
      <c r="V325" s="18"/>
      <c r="W325" s="17"/>
      <c r="X325" s="17"/>
      <c r="Y325" s="17"/>
      <c r="Z325" s="17"/>
      <c r="AA325" s="17"/>
      <c r="AB325" s="18"/>
      <c r="AC325" s="17"/>
      <c r="AD325" s="17"/>
    </row>
    <row r="326" spans="1:30" ht="25.5">
      <c r="A326" s="6">
        <f>ROW()</f>
        <v>326</v>
      </c>
      <c r="B326" s="5" t="s">
        <v>2984</v>
      </c>
      <c r="C326" s="5" t="s">
        <v>463</v>
      </c>
      <c r="D326" s="8" t="s">
        <v>533</v>
      </c>
      <c r="E326" s="5" t="s">
        <v>896</v>
      </c>
      <c r="G326" s="5" t="str">
        <f t="shared" si="22"/>
        <v>DSS CLASSIFICATIE BIJMENGING</v>
      </c>
      <c r="H326" s="5" t="str">
        <f t="shared" si="23"/>
        <v>[-]</v>
      </c>
      <c r="I326" s="5" t="s">
        <v>2602</v>
      </c>
      <c r="J326" s="5" t="s">
        <v>2603</v>
      </c>
      <c r="K326" s="6">
        <v>1</v>
      </c>
      <c r="L326" s="9"/>
      <c r="M326" s="5" t="s">
        <v>2711</v>
      </c>
      <c r="P326" s="16"/>
      <c r="Q326" s="17"/>
      <c r="R326" s="17"/>
      <c r="S326" s="18"/>
      <c r="T326" s="18"/>
      <c r="U326" s="17"/>
      <c r="V326" s="18"/>
      <c r="W326" s="17"/>
      <c r="X326" s="17"/>
      <c r="Y326" s="17"/>
      <c r="Z326" s="17"/>
      <c r="AA326" s="17"/>
      <c r="AB326" s="18"/>
      <c r="AC326" s="17"/>
      <c r="AD326" s="17"/>
    </row>
    <row r="327" spans="1:30">
      <c r="A327" s="6">
        <f>ROW()</f>
        <v>327</v>
      </c>
      <c r="B327" s="7" t="s">
        <v>327</v>
      </c>
      <c r="C327" s="5" t="s">
        <v>465</v>
      </c>
      <c r="D327" s="8" t="s">
        <v>783</v>
      </c>
      <c r="E327" s="5" t="s">
        <v>897</v>
      </c>
      <c r="F327" s="11" t="s">
        <v>907</v>
      </c>
      <c r="G327" s="5" t="str">
        <f t="shared" si="22"/>
        <v>DSS MONSTERNIVEAU</v>
      </c>
      <c r="H327" s="5" t="str">
        <f t="shared" si="23"/>
        <v>[m NAP]</v>
      </c>
      <c r="I327" s="5" t="s">
        <v>2602</v>
      </c>
      <c r="J327" s="5" t="s">
        <v>2603</v>
      </c>
      <c r="K327" s="6">
        <v>1</v>
      </c>
      <c r="L327" s="9"/>
      <c r="M327" s="5" t="s">
        <v>2985</v>
      </c>
      <c r="P327" s="16"/>
      <c r="Q327" s="17"/>
      <c r="R327" s="17"/>
      <c r="S327" s="18"/>
      <c r="T327" s="18"/>
      <c r="U327" s="17"/>
      <c r="V327" s="19"/>
      <c r="W327" s="17"/>
      <c r="X327" s="17"/>
      <c r="Y327" s="17"/>
      <c r="Z327" s="17"/>
      <c r="AA327" s="17"/>
      <c r="AB327" s="18"/>
      <c r="AC327" s="17"/>
      <c r="AD327" s="17"/>
    </row>
    <row r="328" spans="1:30" ht="25.5">
      <c r="A328" s="6">
        <f>ROW()</f>
        <v>328</v>
      </c>
      <c r="B328" s="7" t="s">
        <v>328</v>
      </c>
      <c r="C328" s="5" t="s">
        <v>470</v>
      </c>
      <c r="D328" s="8" t="s">
        <v>784</v>
      </c>
      <c r="E328" s="5" t="s">
        <v>897</v>
      </c>
      <c r="G328" s="5" t="str">
        <f t="shared" si="22"/>
        <v>DSS TERREINSPANNING</v>
      </c>
      <c r="H328" s="5" t="str">
        <f t="shared" si="23"/>
        <v>[kPa]</v>
      </c>
      <c r="I328" s="5" t="s">
        <v>2602</v>
      </c>
      <c r="J328" s="5" t="s">
        <v>2603</v>
      </c>
      <c r="K328" s="6">
        <v>1</v>
      </c>
      <c r="L328" s="9"/>
      <c r="M328" s="5" t="s">
        <v>2986</v>
      </c>
      <c r="P328" s="16"/>
      <c r="Q328" s="17"/>
      <c r="R328" s="17"/>
      <c r="S328" s="18"/>
      <c r="T328" s="18"/>
      <c r="U328" s="17"/>
      <c r="V328" s="18"/>
      <c r="W328" s="17"/>
      <c r="X328" s="17"/>
      <c r="Y328" s="17"/>
      <c r="Z328" s="17"/>
      <c r="AA328" s="17"/>
      <c r="AB328" s="18"/>
      <c r="AC328" s="17"/>
      <c r="AD328" s="17"/>
    </row>
    <row r="329" spans="1:30" ht="25.5">
      <c r="A329" s="6">
        <f>ROW()</f>
        <v>329</v>
      </c>
      <c r="B329" s="7" t="s">
        <v>329</v>
      </c>
      <c r="C329" s="5" t="s">
        <v>467</v>
      </c>
      <c r="D329" s="8" t="s">
        <v>619</v>
      </c>
      <c r="E329" s="5" t="s">
        <v>897</v>
      </c>
      <c r="F329" s="11" t="s">
        <v>908</v>
      </c>
      <c r="G329" s="5" t="str">
        <f t="shared" ref="G329:G393" si="26">SUBSTITUTE(B329,"_"," ")</f>
        <v>DSS VOLUMEGEWICHT NAT</v>
      </c>
      <c r="H329" s="5" t="str">
        <f t="shared" ref="H329:H393" si="27">CONCATENATE("[",C329,"]")</f>
        <v>[kN/m3]</v>
      </c>
      <c r="I329" s="5" t="s">
        <v>2602</v>
      </c>
      <c r="J329" s="5" t="s">
        <v>2603</v>
      </c>
      <c r="K329" s="6">
        <v>1</v>
      </c>
      <c r="L329" s="9"/>
      <c r="M329" s="5" t="s">
        <v>2987</v>
      </c>
      <c r="P329" s="16"/>
      <c r="Q329" s="17"/>
      <c r="R329" s="17"/>
      <c r="S329" s="18"/>
      <c r="T329" s="18"/>
      <c r="U329" s="17"/>
      <c r="V329" s="19"/>
      <c r="W329" s="17"/>
      <c r="X329" s="17"/>
      <c r="Y329" s="17"/>
      <c r="Z329" s="17"/>
      <c r="AA329" s="17"/>
      <c r="AB329" s="18"/>
      <c r="AC329" s="17"/>
      <c r="AD329" s="17"/>
    </row>
    <row r="330" spans="1:30" ht="25.5">
      <c r="A330" s="6">
        <f>ROW()</f>
        <v>330</v>
      </c>
      <c r="B330" s="7" t="s">
        <v>330</v>
      </c>
      <c r="C330" s="5" t="s">
        <v>467</v>
      </c>
      <c r="D330" s="8" t="s">
        <v>620</v>
      </c>
      <c r="E330" s="5" t="s">
        <v>897</v>
      </c>
      <c r="F330" s="11" t="s">
        <v>909</v>
      </c>
      <c r="G330" s="5" t="str">
        <f t="shared" si="26"/>
        <v>DSS VOLUMEGEWICHT DRG</v>
      </c>
      <c r="H330" s="5" t="str">
        <f t="shared" si="27"/>
        <v>[kN/m3]</v>
      </c>
      <c r="I330" s="5" t="s">
        <v>2602</v>
      </c>
      <c r="J330" s="5" t="s">
        <v>2603</v>
      </c>
      <c r="K330" s="6">
        <v>1</v>
      </c>
      <c r="L330" s="9"/>
      <c r="M330" s="5" t="s">
        <v>2988</v>
      </c>
      <c r="P330" s="16"/>
      <c r="Q330" s="17"/>
      <c r="R330" s="17"/>
      <c r="S330" s="18"/>
      <c r="T330" s="18"/>
      <c r="U330" s="17"/>
      <c r="V330" s="19"/>
      <c r="W330" s="17"/>
      <c r="X330" s="17"/>
      <c r="Y330" s="17"/>
      <c r="Z330" s="17"/>
      <c r="AA330" s="17"/>
      <c r="AB330" s="18"/>
      <c r="AC330" s="17"/>
      <c r="AD330" s="17"/>
    </row>
    <row r="331" spans="1:30" ht="25.5">
      <c r="A331" s="6">
        <f>ROW()</f>
        <v>331</v>
      </c>
      <c r="B331" s="7" t="s">
        <v>331</v>
      </c>
      <c r="C331" s="5" t="s">
        <v>468</v>
      </c>
      <c r="D331" s="8" t="s">
        <v>621</v>
      </c>
      <c r="E331" s="5" t="s">
        <v>897</v>
      </c>
      <c r="F331" s="11" t="s">
        <v>910</v>
      </c>
      <c r="G331" s="5" t="str">
        <f t="shared" si="26"/>
        <v>DSS WATERGEHALTE VOOR</v>
      </c>
      <c r="H331" s="5" t="str">
        <f t="shared" si="27"/>
        <v>[%]</v>
      </c>
      <c r="I331" s="5" t="s">
        <v>2602</v>
      </c>
      <c r="J331" s="5" t="s">
        <v>2603</v>
      </c>
      <c r="K331" s="6">
        <v>1</v>
      </c>
      <c r="L331" s="9"/>
      <c r="M331" s="5" t="s">
        <v>2989</v>
      </c>
      <c r="P331" s="16"/>
      <c r="Q331" s="17"/>
      <c r="R331" s="17"/>
      <c r="S331" s="18"/>
      <c r="T331" s="18"/>
      <c r="U331" s="17"/>
      <c r="V331" s="19"/>
      <c r="W331" s="17"/>
      <c r="X331" s="17"/>
      <c r="Y331" s="17"/>
      <c r="Z331" s="17"/>
      <c r="AA331" s="17"/>
      <c r="AB331" s="18"/>
      <c r="AC331" s="17"/>
      <c r="AD331" s="17"/>
    </row>
    <row r="332" spans="1:30" ht="25.5">
      <c r="A332" s="6">
        <f>ROW()</f>
        <v>332</v>
      </c>
      <c r="B332" s="7" t="s">
        <v>332</v>
      </c>
      <c r="C332" s="5" t="s">
        <v>468</v>
      </c>
      <c r="D332" s="8" t="s">
        <v>622</v>
      </c>
      <c r="E332" s="5" t="s">
        <v>897</v>
      </c>
      <c r="F332" s="11" t="s">
        <v>910</v>
      </c>
      <c r="G332" s="5" t="str">
        <f t="shared" si="26"/>
        <v>DSS WATERGEHALTE NA PROEF</v>
      </c>
      <c r="H332" s="5" t="str">
        <f t="shared" si="27"/>
        <v>[%]</v>
      </c>
      <c r="I332" s="5" t="s">
        <v>2602</v>
      </c>
      <c r="J332" s="5" t="s">
        <v>2603</v>
      </c>
      <c r="K332" s="6">
        <v>1</v>
      </c>
      <c r="L332" s="9"/>
      <c r="M332" s="5" t="s">
        <v>2990</v>
      </c>
      <c r="P332" s="16"/>
      <c r="Q332" s="17"/>
      <c r="R332" s="17"/>
      <c r="S332" s="18"/>
      <c r="T332" s="18"/>
      <c r="U332" s="17"/>
      <c r="V332" s="19"/>
      <c r="W332" s="17"/>
      <c r="X332" s="17"/>
      <c r="Y332" s="17"/>
      <c r="Z332" s="17"/>
      <c r="AA332" s="17"/>
      <c r="AB332" s="18"/>
      <c r="AC332" s="17"/>
      <c r="AD332" s="17"/>
    </row>
    <row r="333" spans="1:30" ht="25.5">
      <c r="A333" s="6">
        <f>ROW()</f>
        <v>333</v>
      </c>
      <c r="B333" s="7" t="s">
        <v>333</v>
      </c>
      <c r="C333" s="5" t="s">
        <v>468</v>
      </c>
      <c r="D333" s="8" t="s">
        <v>785</v>
      </c>
      <c r="E333" s="5" t="s">
        <v>897</v>
      </c>
      <c r="F333" s="8" t="s">
        <v>911</v>
      </c>
      <c r="G333" s="5" t="str">
        <f t="shared" si="26"/>
        <v>DSS VERZADIGINGGRAAD VOOR</v>
      </c>
      <c r="H333" s="5" t="str">
        <f t="shared" si="27"/>
        <v>[%]</v>
      </c>
      <c r="I333" s="5" t="s">
        <v>2602</v>
      </c>
      <c r="J333" s="5" t="s">
        <v>2603</v>
      </c>
      <c r="K333" s="6">
        <v>1</v>
      </c>
      <c r="L333" s="9"/>
      <c r="M333" s="5" t="s">
        <v>2991</v>
      </c>
      <c r="P333" s="16"/>
      <c r="Q333" s="17"/>
      <c r="R333" s="17"/>
      <c r="S333" s="18"/>
      <c r="T333" s="18"/>
      <c r="U333" s="17"/>
      <c r="V333" s="18"/>
      <c r="W333" s="17"/>
      <c r="X333" s="17"/>
      <c r="Y333" s="17"/>
      <c r="Z333" s="17"/>
      <c r="AA333" s="17"/>
      <c r="AB333" s="18"/>
      <c r="AC333" s="17"/>
      <c r="AD333" s="17"/>
    </row>
    <row r="334" spans="1:30" ht="25.5">
      <c r="A334" s="6">
        <f>ROW()</f>
        <v>334</v>
      </c>
      <c r="B334" s="7" t="s">
        <v>334</v>
      </c>
      <c r="C334" s="5" t="s">
        <v>463</v>
      </c>
      <c r="D334" s="8" t="s">
        <v>786</v>
      </c>
      <c r="E334" s="5" t="s">
        <v>897</v>
      </c>
      <c r="F334" s="8" t="s">
        <v>912</v>
      </c>
      <c r="G334" s="5" t="str">
        <f t="shared" si="26"/>
        <v>DSS PORIENGETAL VOOR</v>
      </c>
      <c r="H334" s="5" t="str">
        <f t="shared" si="27"/>
        <v>[-]</v>
      </c>
      <c r="I334" s="5" t="s">
        <v>2602</v>
      </c>
      <c r="J334" s="5" t="s">
        <v>2603</v>
      </c>
      <c r="K334" s="6">
        <v>1</v>
      </c>
      <c r="L334" s="9"/>
      <c r="M334" s="5" t="s">
        <v>2992</v>
      </c>
      <c r="P334" s="16"/>
      <c r="Q334" s="17"/>
      <c r="R334" s="17"/>
      <c r="S334" s="18"/>
      <c r="T334" s="18"/>
      <c r="U334" s="17"/>
      <c r="V334" s="18"/>
      <c r="W334" s="17"/>
      <c r="X334" s="17"/>
      <c r="Y334" s="17"/>
      <c r="Z334" s="17"/>
      <c r="AA334" s="17"/>
      <c r="AB334" s="18"/>
      <c r="AC334" s="17"/>
      <c r="AD334" s="17"/>
    </row>
    <row r="335" spans="1:30">
      <c r="A335" s="6">
        <f>ROW()</f>
        <v>335</v>
      </c>
      <c r="B335" s="7" t="s">
        <v>335</v>
      </c>
      <c r="C335" s="5" t="s">
        <v>463</v>
      </c>
      <c r="D335" s="8" t="s">
        <v>787</v>
      </c>
      <c r="E335" s="5" t="s">
        <v>897</v>
      </c>
      <c r="F335" s="8" t="s">
        <v>912</v>
      </c>
      <c r="G335" s="5" t="str">
        <f t="shared" si="26"/>
        <v>DSS PORIENGETAL EINDE CONSOLIDATIE</v>
      </c>
      <c r="H335" s="5" t="str">
        <f t="shared" si="27"/>
        <v>[-]</v>
      </c>
      <c r="I335" s="5" t="s">
        <v>2602</v>
      </c>
      <c r="J335" s="5" t="s">
        <v>2603</v>
      </c>
      <c r="K335" s="6">
        <v>1</v>
      </c>
      <c r="L335" s="9"/>
      <c r="M335" s="5" t="s">
        <v>2993</v>
      </c>
      <c r="P335" s="16"/>
      <c r="Q335" s="17"/>
      <c r="R335" s="17"/>
      <c r="S335" s="18"/>
      <c r="T335" s="18"/>
      <c r="U335" s="17"/>
      <c r="V335" s="18"/>
      <c r="W335" s="17"/>
      <c r="X335" s="17"/>
      <c r="Y335" s="17"/>
      <c r="Z335" s="17"/>
      <c r="AA335" s="17"/>
      <c r="AB335" s="18"/>
      <c r="AC335" s="17"/>
      <c r="AD335" s="17"/>
    </row>
    <row r="336" spans="1:30" ht="25.5">
      <c r="A336" s="6">
        <f>ROW()</f>
        <v>336</v>
      </c>
      <c r="B336" s="7" t="s">
        <v>336</v>
      </c>
      <c r="C336" s="5" t="s">
        <v>469</v>
      </c>
      <c r="D336" s="8" t="s">
        <v>788</v>
      </c>
      <c r="E336" s="5" t="s">
        <v>897</v>
      </c>
      <c r="F336" s="8" t="s">
        <v>925</v>
      </c>
      <c r="G336" s="5" t="str">
        <f t="shared" si="26"/>
        <v>DSS SPECIFIEKE MASSA</v>
      </c>
      <c r="H336" s="5" t="str">
        <f t="shared" si="27"/>
        <v>[kg/m3]</v>
      </c>
      <c r="I336" s="5" t="s">
        <v>2602</v>
      </c>
      <c r="J336" s="5" t="s">
        <v>2603</v>
      </c>
      <c r="K336" s="6">
        <v>1</v>
      </c>
      <c r="L336" s="9"/>
      <c r="M336" s="5" t="s">
        <v>2994</v>
      </c>
      <c r="P336" s="16"/>
      <c r="Q336" s="17"/>
      <c r="R336" s="17"/>
      <c r="S336" s="18"/>
      <c r="T336" s="18"/>
      <c r="U336" s="17"/>
      <c r="V336" s="18"/>
      <c r="W336" s="17"/>
      <c r="X336" s="17"/>
      <c r="Y336" s="17"/>
      <c r="Z336" s="17"/>
      <c r="AA336" s="17"/>
      <c r="AB336" s="18"/>
      <c r="AC336" s="17"/>
      <c r="AD336" s="17"/>
    </row>
    <row r="337" spans="1:30" ht="25.5">
      <c r="A337" s="6">
        <f>ROW()</f>
        <v>337</v>
      </c>
      <c r="B337" s="7" t="s">
        <v>337</v>
      </c>
      <c r="C337" s="5" t="s">
        <v>474</v>
      </c>
      <c r="D337" s="8" t="s">
        <v>624</v>
      </c>
      <c r="E337" s="5" t="s">
        <v>897</v>
      </c>
      <c r="F337" s="8" t="s">
        <v>926</v>
      </c>
      <c r="G337" s="5" t="str">
        <f t="shared" si="26"/>
        <v>DSS TEMPERATUUR PROEF MAX</v>
      </c>
      <c r="H337" s="5" t="str">
        <f t="shared" si="27"/>
        <v>[°C]</v>
      </c>
      <c r="I337" s="5" t="s">
        <v>2602</v>
      </c>
      <c r="J337" s="5" t="s">
        <v>2603</v>
      </c>
      <c r="K337" s="6">
        <v>1</v>
      </c>
      <c r="L337" s="9"/>
      <c r="M337" s="5" t="s">
        <v>2995</v>
      </c>
      <c r="P337" s="16"/>
      <c r="Q337" s="17"/>
      <c r="R337" s="17"/>
      <c r="S337" s="18"/>
      <c r="T337" s="18"/>
      <c r="U337" s="17"/>
      <c r="V337" s="18"/>
      <c r="W337" s="17"/>
      <c r="X337" s="17"/>
      <c r="Y337" s="17"/>
      <c r="Z337" s="17"/>
      <c r="AA337" s="17"/>
      <c r="AB337" s="18"/>
      <c r="AC337" s="17"/>
      <c r="AD337" s="17"/>
    </row>
    <row r="338" spans="1:30" ht="25.5">
      <c r="A338" s="6">
        <f>ROW()</f>
        <v>338</v>
      </c>
      <c r="B338" s="7" t="s">
        <v>338</v>
      </c>
      <c r="C338" s="5" t="s">
        <v>474</v>
      </c>
      <c r="D338" s="8" t="s">
        <v>625</v>
      </c>
      <c r="E338" s="5" t="s">
        <v>897</v>
      </c>
      <c r="F338" s="8" t="s">
        <v>926</v>
      </c>
      <c r="G338" s="5" t="str">
        <f t="shared" si="26"/>
        <v>DSS TEMPERATUUR PROEF MIN</v>
      </c>
      <c r="H338" s="5" t="str">
        <f t="shared" si="27"/>
        <v>[°C]</v>
      </c>
      <c r="I338" s="5" t="s">
        <v>2602</v>
      </c>
      <c r="J338" s="5" t="s">
        <v>2603</v>
      </c>
      <c r="K338" s="6">
        <v>1</v>
      </c>
      <c r="L338" s="9"/>
      <c r="M338" s="5" t="s">
        <v>2996</v>
      </c>
      <c r="P338" s="16"/>
      <c r="Q338" s="17"/>
      <c r="R338" s="17"/>
      <c r="S338" s="18"/>
      <c r="T338" s="18"/>
      <c r="U338" s="17"/>
      <c r="V338" s="18"/>
      <c r="W338" s="17"/>
      <c r="X338" s="17"/>
      <c r="Y338" s="17"/>
      <c r="Z338" s="17"/>
      <c r="AA338" s="17"/>
      <c r="AB338" s="18"/>
      <c r="AC338" s="17"/>
      <c r="AD338" s="17"/>
    </row>
    <row r="339" spans="1:30" ht="25.5">
      <c r="A339" s="6">
        <f>ROW()</f>
        <v>339</v>
      </c>
      <c r="B339" s="7" t="s">
        <v>339</v>
      </c>
      <c r="C339" s="5" t="s">
        <v>475</v>
      </c>
      <c r="D339" s="8" t="s">
        <v>789</v>
      </c>
      <c r="E339" s="5" t="s">
        <v>897</v>
      </c>
      <c r="F339" s="8" t="s">
        <v>915</v>
      </c>
      <c r="G339" s="5" t="str">
        <f t="shared" si="26"/>
        <v>DSS PROEFSTUKDIAMETER VOOR</v>
      </c>
      <c r="H339" s="5" t="str">
        <f t="shared" si="27"/>
        <v>[mm]</v>
      </c>
      <c r="I339" s="5" t="s">
        <v>2602</v>
      </c>
      <c r="J339" s="5" t="s">
        <v>2603</v>
      </c>
      <c r="K339" s="6">
        <v>1</v>
      </c>
      <c r="L339" s="9"/>
      <c r="M339" s="5" t="s">
        <v>2997</v>
      </c>
      <c r="P339" s="16"/>
      <c r="Q339" s="17"/>
      <c r="R339" s="17"/>
      <c r="S339" s="18"/>
      <c r="T339" s="18"/>
      <c r="U339" s="17"/>
      <c r="V339" s="18"/>
      <c r="W339" s="17"/>
      <c r="X339" s="17"/>
      <c r="Y339" s="17"/>
      <c r="Z339" s="17"/>
      <c r="AA339" s="17"/>
      <c r="AB339" s="18"/>
      <c r="AC339" s="17"/>
      <c r="AD339" s="17"/>
    </row>
    <row r="340" spans="1:30" ht="25.5">
      <c r="A340" s="6">
        <f>ROW()</f>
        <v>340</v>
      </c>
      <c r="B340" s="7" t="s">
        <v>340</v>
      </c>
      <c r="C340" s="5" t="s">
        <v>475</v>
      </c>
      <c r="D340" s="8" t="s">
        <v>790</v>
      </c>
      <c r="E340" s="5" t="s">
        <v>897</v>
      </c>
      <c r="F340" s="8" t="s">
        <v>915</v>
      </c>
      <c r="G340" s="5" t="str">
        <f t="shared" si="26"/>
        <v>DSS PROEFSTUKHOOGTE VOOR</v>
      </c>
      <c r="H340" s="5" t="str">
        <f t="shared" si="27"/>
        <v>[mm]</v>
      </c>
      <c r="I340" s="5" t="s">
        <v>2602</v>
      </c>
      <c r="J340" s="5" t="s">
        <v>2603</v>
      </c>
      <c r="K340" s="6">
        <v>1</v>
      </c>
      <c r="L340" s="9"/>
      <c r="M340" s="5" t="s">
        <v>2998</v>
      </c>
      <c r="P340" s="16"/>
      <c r="Q340" s="17"/>
      <c r="R340" s="17"/>
      <c r="S340" s="18"/>
      <c r="T340" s="18"/>
      <c r="U340" s="17"/>
      <c r="V340" s="18"/>
      <c r="W340" s="17"/>
      <c r="X340" s="17"/>
      <c r="Y340" s="17"/>
      <c r="Z340" s="17"/>
      <c r="AA340" s="17"/>
      <c r="AB340" s="18"/>
      <c r="AC340" s="17"/>
      <c r="AD340" s="17"/>
    </row>
    <row r="341" spans="1:30">
      <c r="A341" s="6">
        <f>ROW()</f>
        <v>341</v>
      </c>
      <c r="B341" s="7" t="s">
        <v>341</v>
      </c>
      <c r="C341" s="5" t="s">
        <v>475</v>
      </c>
      <c r="D341" s="8" t="s">
        <v>791</v>
      </c>
      <c r="E341" s="5" t="s">
        <v>897</v>
      </c>
      <c r="F341" s="8" t="s">
        <v>915</v>
      </c>
      <c r="G341" s="5" t="str">
        <f t="shared" si="26"/>
        <v>DSS PROEFSTUKHOOGTE NA CONSOLIDATIE</v>
      </c>
      <c r="H341" s="5" t="str">
        <f t="shared" si="27"/>
        <v>[mm]</v>
      </c>
      <c r="I341" s="5" t="s">
        <v>2602</v>
      </c>
      <c r="J341" s="5" t="s">
        <v>2603</v>
      </c>
      <c r="K341" s="6">
        <v>1</v>
      </c>
      <c r="L341" s="9"/>
      <c r="M341" s="5" t="s">
        <v>2999</v>
      </c>
      <c r="P341" s="16"/>
      <c r="Q341" s="17"/>
      <c r="R341" s="17"/>
      <c r="S341" s="18"/>
      <c r="T341" s="18"/>
      <c r="U341" s="17"/>
      <c r="V341" s="18"/>
      <c r="W341" s="17"/>
      <c r="X341" s="17"/>
      <c r="Y341" s="17"/>
      <c r="Z341" s="17"/>
      <c r="AA341" s="17"/>
      <c r="AB341" s="18"/>
      <c r="AC341" s="17"/>
      <c r="AD341" s="17"/>
    </row>
    <row r="342" spans="1:30" ht="25.5">
      <c r="A342" s="6">
        <f>ROW()</f>
        <v>342</v>
      </c>
      <c r="B342" s="7" t="s">
        <v>342</v>
      </c>
      <c r="C342" s="5" t="s">
        <v>463</v>
      </c>
      <c r="D342" s="8" t="s">
        <v>792</v>
      </c>
      <c r="E342" s="5" t="s">
        <v>896</v>
      </c>
      <c r="G342" s="5" t="str">
        <f t="shared" si="26"/>
        <v>DSS UITGEVOERDE CORRECTIES</v>
      </c>
      <c r="H342" s="5" t="str">
        <f t="shared" si="27"/>
        <v>[-]</v>
      </c>
      <c r="I342" s="5" t="s">
        <v>2602</v>
      </c>
      <c r="J342" s="5" t="s">
        <v>2603</v>
      </c>
      <c r="K342" s="6">
        <v>1</v>
      </c>
      <c r="L342" s="9"/>
      <c r="M342" s="5" t="s">
        <v>3000</v>
      </c>
      <c r="P342" s="16"/>
      <c r="Q342" s="17"/>
      <c r="R342" s="17"/>
      <c r="S342" s="18"/>
      <c r="T342" s="18"/>
      <c r="U342" s="17"/>
      <c r="V342" s="18"/>
      <c r="W342" s="17"/>
      <c r="X342" s="17"/>
      <c r="Y342" s="17"/>
      <c r="Z342" s="17"/>
      <c r="AA342" s="17"/>
      <c r="AB342" s="18"/>
      <c r="AC342" s="17"/>
      <c r="AD342" s="17"/>
    </row>
    <row r="343" spans="1:30" ht="51">
      <c r="A343" s="6">
        <f>ROW()</f>
        <v>343</v>
      </c>
      <c r="B343" s="7" t="s">
        <v>343</v>
      </c>
      <c r="C343" s="5" t="s">
        <v>463</v>
      </c>
      <c r="D343" s="8" t="s">
        <v>793</v>
      </c>
      <c r="E343" s="5" t="s">
        <v>896</v>
      </c>
      <c r="F343" s="8" t="s">
        <v>927</v>
      </c>
      <c r="G343" s="5" t="str">
        <f t="shared" si="26"/>
        <v>DSS UITVOERINGSWIJZE</v>
      </c>
      <c r="H343" s="5" t="str">
        <f t="shared" si="27"/>
        <v>[-]</v>
      </c>
      <c r="I343" s="5" t="s">
        <v>2602</v>
      </c>
      <c r="J343" s="5" t="s">
        <v>2603</v>
      </c>
      <c r="K343" s="6">
        <v>1</v>
      </c>
      <c r="L343" s="9"/>
      <c r="M343" s="5" t="s">
        <v>3001</v>
      </c>
      <c r="P343" s="16"/>
      <c r="Q343" s="17"/>
      <c r="R343" s="17"/>
      <c r="S343" s="18"/>
      <c r="T343" s="18"/>
      <c r="U343" s="17"/>
      <c r="V343" s="18"/>
      <c r="W343" s="17"/>
      <c r="X343" s="17"/>
      <c r="Y343" s="17"/>
      <c r="Z343" s="17"/>
      <c r="AA343" s="17"/>
      <c r="AB343" s="18"/>
      <c r="AC343" s="17"/>
      <c r="AD343" s="17"/>
    </row>
    <row r="344" spans="1:30" ht="38.25">
      <c r="A344" s="6">
        <f>ROW()</f>
        <v>344</v>
      </c>
      <c r="B344" s="7" t="s">
        <v>344</v>
      </c>
      <c r="C344" s="5" t="s">
        <v>470</v>
      </c>
      <c r="D344" s="8" t="s">
        <v>794</v>
      </c>
      <c r="E344" s="5" t="s">
        <v>897</v>
      </c>
      <c r="G344" s="5" t="str">
        <f t="shared" si="26"/>
        <v>DSS MAX EFF VERT SPANNING CONSOLIDATIE</v>
      </c>
      <c r="H344" s="5" t="str">
        <f t="shared" si="27"/>
        <v>[kPa]</v>
      </c>
      <c r="I344" s="5" t="s">
        <v>2602</v>
      </c>
      <c r="J344" s="5" t="s">
        <v>2603</v>
      </c>
      <c r="K344" s="6">
        <v>1</v>
      </c>
      <c r="L344" s="9"/>
      <c r="M344" s="5" t="s">
        <v>3002</v>
      </c>
      <c r="P344" s="16"/>
      <c r="Q344" s="17"/>
      <c r="R344" s="17"/>
      <c r="S344" s="18"/>
      <c r="T344" s="18"/>
      <c r="U344" s="17"/>
      <c r="V344" s="18"/>
      <c r="W344" s="17"/>
      <c r="X344" s="17"/>
      <c r="Y344" s="17"/>
      <c r="Z344" s="17"/>
      <c r="AA344" s="17"/>
      <c r="AB344" s="18"/>
      <c r="AC344" s="17"/>
      <c r="AD344" s="17"/>
    </row>
    <row r="345" spans="1:30" ht="38.25">
      <c r="A345" s="6">
        <f>ROW()</f>
        <v>345</v>
      </c>
      <c r="B345" s="7" t="s">
        <v>345</v>
      </c>
      <c r="C345" s="5" t="s">
        <v>470</v>
      </c>
      <c r="D345" s="8" t="s">
        <v>795</v>
      </c>
      <c r="E345" s="5" t="s">
        <v>897</v>
      </c>
      <c r="G345" s="5" t="str">
        <f t="shared" si="26"/>
        <v>DSS EFF VERT SPANNING EINDE CONSOLIDATIE</v>
      </c>
      <c r="H345" s="5" t="str">
        <f t="shared" si="27"/>
        <v>[kPa]</v>
      </c>
      <c r="I345" s="5" t="s">
        <v>2602</v>
      </c>
      <c r="J345" s="5" t="s">
        <v>2603</v>
      </c>
      <c r="K345" s="6">
        <v>1</v>
      </c>
      <c r="L345" s="9"/>
      <c r="M345" s="5" t="s">
        <v>3003</v>
      </c>
      <c r="P345" s="16"/>
      <c r="Q345" s="17"/>
      <c r="R345" s="17"/>
      <c r="S345" s="18"/>
      <c r="T345" s="18"/>
      <c r="U345" s="17"/>
      <c r="V345" s="18"/>
      <c r="W345" s="17"/>
      <c r="X345" s="17"/>
      <c r="Y345" s="17"/>
      <c r="Z345" s="17"/>
      <c r="AA345" s="17"/>
      <c r="AB345" s="18"/>
      <c r="AC345" s="17"/>
      <c r="AD345" s="17"/>
    </row>
    <row r="346" spans="1:30" ht="38.25">
      <c r="A346" s="6">
        <f>ROW()</f>
        <v>346</v>
      </c>
      <c r="B346" s="7" t="s">
        <v>346</v>
      </c>
      <c r="C346" s="5" t="s">
        <v>463</v>
      </c>
      <c r="D346" s="8" t="s">
        <v>796</v>
      </c>
      <c r="E346" s="5" t="s">
        <v>897</v>
      </c>
      <c r="F346" s="11" t="s">
        <v>928</v>
      </c>
      <c r="G346" s="5" t="str">
        <f t="shared" si="26"/>
        <v>DSS OCR</v>
      </c>
      <c r="H346" s="5" t="str">
        <f t="shared" si="27"/>
        <v>[-]</v>
      </c>
      <c r="I346" s="5" t="s">
        <v>2602</v>
      </c>
      <c r="J346" s="5" t="s">
        <v>2603</v>
      </c>
      <c r="K346" s="6">
        <v>1</v>
      </c>
      <c r="L346" s="9"/>
      <c r="M346" s="5" t="s">
        <v>2711</v>
      </c>
      <c r="P346" s="16"/>
      <c r="Q346" s="17"/>
      <c r="R346" s="17"/>
      <c r="S346" s="18"/>
      <c r="T346" s="18"/>
      <c r="U346" s="17"/>
      <c r="V346" s="19"/>
      <c r="W346" s="17"/>
      <c r="X346" s="17"/>
      <c r="Y346" s="17"/>
      <c r="Z346" s="17"/>
      <c r="AA346" s="17"/>
      <c r="AB346" s="18"/>
      <c r="AC346" s="17"/>
      <c r="AD346" s="17"/>
    </row>
    <row r="347" spans="1:30">
      <c r="A347" s="6">
        <f>ROW()</f>
        <v>347</v>
      </c>
      <c r="B347" s="7" t="s">
        <v>347</v>
      </c>
      <c r="C347" s="5" t="s">
        <v>468</v>
      </c>
      <c r="D347" s="8" t="s">
        <v>797</v>
      </c>
      <c r="E347" s="5" t="s">
        <v>897</v>
      </c>
      <c r="F347" s="8" t="s">
        <v>911</v>
      </c>
      <c r="G347" s="5" t="str">
        <f t="shared" si="26"/>
        <v>DSS AXIALEREK EINDE CONSOLIDATIE</v>
      </c>
      <c r="H347" s="5" t="str">
        <f t="shared" si="27"/>
        <v>[%]</v>
      </c>
      <c r="I347" s="5" t="s">
        <v>2602</v>
      </c>
      <c r="J347" s="5" t="s">
        <v>2603</v>
      </c>
      <c r="K347" s="6">
        <v>1</v>
      </c>
      <c r="L347" s="9"/>
      <c r="M347" s="5" t="s">
        <v>3004</v>
      </c>
      <c r="P347" s="16"/>
      <c r="Q347" s="17"/>
      <c r="R347" s="17"/>
      <c r="S347" s="18"/>
      <c r="T347" s="18"/>
      <c r="U347" s="17"/>
      <c r="V347" s="18"/>
      <c r="W347" s="17"/>
      <c r="X347" s="17"/>
      <c r="Y347" s="17"/>
      <c r="Z347" s="17"/>
      <c r="AA347" s="17"/>
      <c r="AB347" s="18"/>
      <c r="AC347" s="17"/>
      <c r="AD347" s="17"/>
    </row>
    <row r="348" spans="1:30">
      <c r="A348" s="6">
        <f>ROW()</f>
        <v>348</v>
      </c>
      <c r="B348" s="7" t="s">
        <v>348</v>
      </c>
      <c r="C348" s="5" t="s">
        <v>463</v>
      </c>
      <c r="D348" s="8" t="s">
        <v>798</v>
      </c>
      <c r="E348" s="5" t="s">
        <v>896</v>
      </c>
      <c r="G348" s="5" t="str">
        <f t="shared" si="26"/>
        <v>DSS BELASTINGSSTAPPEN CONSOLIDATIE</v>
      </c>
      <c r="H348" s="5" t="str">
        <f t="shared" si="27"/>
        <v>[-]</v>
      </c>
      <c r="I348" s="5" t="s">
        <v>2602</v>
      </c>
      <c r="J348" s="5" t="s">
        <v>2603</v>
      </c>
      <c r="K348" s="6">
        <v>1</v>
      </c>
      <c r="L348" s="9"/>
      <c r="M348" s="5" t="s">
        <v>3005</v>
      </c>
      <c r="P348" s="16"/>
      <c r="Q348" s="17"/>
      <c r="R348" s="17"/>
      <c r="S348" s="18"/>
      <c r="T348" s="18"/>
      <c r="U348" s="17"/>
      <c r="V348" s="18"/>
      <c r="W348" s="17"/>
      <c r="X348" s="17"/>
      <c r="Y348" s="17"/>
      <c r="Z348" s="17"/>
      <c r="AA348" s="17"/>
      <c r="AB348" s="18"/>
      <c r="AC348" s="17"/>
      <c r="AD348" s="17"/>
    </row>
    <row r="349" spans="1:30">
      <c r="A349" s="6">
        <f>ROW()</f>
        <v>349</v>
      </c>
      <c r="B349" s="7" t="s">
        <v>349</v>
      </c>
      <c r="C349" s="5" t="s">
        <v>477</v>
      </c>
      <c r="D349" s="8" t="s">
        <v>799</v>
      </c>
      <c r="E349" s="5" t="s">
        <v>897</v>
      </c>
      <c r="G349" s="5" t="str">
        <f t="shared" si="26"/>
        <v>DSS DUUR CONSOLIDATIE</v>
      </c>
      <c r="H349" s="5" t="str">
        <f t="shared" si="27"/>
        <v>[uur]</v>
      </c>
      <c r="I349" s="5" t="s">
        <v>2602</v>
      </c>
      <c r="J349" s="5" t="s">
        <v>2603</v>
      </c>
      <c r="K349" s="6">
        <v>1</v>
      </c>
      <c r="L349" s="9"/>
      <c r="M349" s="5" t="s">
        <v>3006</v>
      </c>
      <c r="P349" s="16"/>
      <c r="Q349" s="17"/>
      <c r="R349" s="17"/>
      <c r="S349" s="18"/>
      <c r="T349" s="18"/>
      <c r="U349" s="17"/>
      <c r="V349" s="18"/>
      <c r="W349" s="17"/>
      <c r="X349" s="17"/>
      <c r="Y349" s="17"/>
      <c r="Z349" s="17"/>
      <c r="AA349" s="17"/>
      <c r="AB349" s="18"/>
      <c r="AC349" s="17"/>
      <c r="AD349" s="17"/>
    </row>
    <row r="350" spans="1:30">
      <c r="A350" s="6">
        <f>ROW()</f>
        <v>350</v>
      </c>
      <c r="B350" s="7" t="s">
        <v>350</v>
      </c>
      <c r="C350" s="5" t="s">
        <v>476</v>
      </c>
      <c r="D350" s="8" t="s">
        <v>800</v>
      </c>
      <c r="E350" s="5" t="s">
        <v>897</v>
      </c>
      <c r="G350" s="5" t="str">
        <f t="shared" si="26"/>
        <v>DSS AFSCHUIFSNELHEID %UUR</v>
      </c>
      <c r="H350" s="5" t="str">
        <f t="shared" si="27"/>
        <v>[%/uur]</v>
      </c>
      <c r="I350" s="5" t="s">
        <v>2602</v>
      </c>
      <c r="J350" s="5" t="s">
        <v>2603</v>
      </c>
      <c r="K350" s="6">
        <v>1</v>
      </c>
      <c r="L350" s="9"/>
      <c r="M350" s="5" t="s">
        <v>3007</v>
      </c>
      <c r="P350" s="16"/>
      <c r="Q350" s="17"/>
      <c r="R350" s="17"/>
      <c r="S350" s="18"/>
      <c r="T350" s="18"/>
      <c r="U350" s="17"/>
      <c r="V350" s="18"/>
      <c r="W350" s="17"/>
      <c r="X350" s="17"/>
      <c r="Y350" s="17"/>
      <c r="Z350" s="17"/>
      <c r="AA350" s="17"/>
      <c r="AB350" s="18"/>
      <c r="AC350" s="17"/>
      <c r="AD350" s="17"/>
    </row>
    <row r="351" spans="1:30">
      <c r="A351" s="6">
        <f>ROW()</f>
        <v>351</v>
      </c>
      <c r="B351" s="7" t="s">
        <v>351</v>
      </c>
      <c r="C351" s="5" t="s">
        <v>480</v>
      </c>
      <c r="D351" s="8" t="s">
        <v>801</v>
      </c>
      <c r="E351" s="5" t="s">
        <v>897</v>
      </c>
      <c r="G351" s="5" t="str">
        <f t="shared" si="26"/>
        <v>DSS AFSCHUIFSNELHEID MMUUR</v>
      </c>
      <c r="H351" s="5" t="str">
        <f t="shared" si="27"/>
        <v>[mm/uur]</v>
      </c>
      <c r="I351" s="5" t="s">
        <v>2602</v>
      </c>
      <c r="J351" s="5" t="s">
        <v>2603</v>
      </c>
      <c r="K351" s="6">
        <v>1</v>
      </c>
      <c r="L351" s="9"/>
      <c r="M351" s="5" t="s">
        <v>2711</v>
      </c>
      <c r="P351" s="16"/>
      <c r="Q351" s="17"/>
      <c r="R351" s="17"/>
      <c r="S351" s="18"/>
      <c r="T351" s="18"/>
      <c r="U351" s="17"/>
      <c r="V351" s="18"/>
      <c r="W351" s="17"/>
      <c r="X351" s="17"/>
      <c r="Y351" s="17"/>
      <c r="Z351" s="17"/>
      <c r="AA351" s="17"/>
      <c r="AB351" s="18"/>
      <c r="AC351" s="17"/>
      <c r="AD351" s="17"/>
    </row>
    <row r="352" spans="1:30">
      <c r="A352" s="6">
        <f>ROW()</f>
        <v>352</v>
      </c>
      <c r="B352" s="7" t="s">
        <v>352</v>
      </c>
      <c r="C352" s="5" t="s">
        <v>470</v>
      </c>
      <c r="D352" s="8" t="s">
        <v>802</v>
      </c>
      <c r="E352" s="5" t="s">
        <v>897</v>
      </c>
      <c r="G352" s="5" t="str">
        <f t="shared" si="26"/>
        <v>DSS S 2%</v>
      </c>
      <c r="H352" s="5" t="str">
        <f t="shared" si="27"/>
        <v>[kPa]</v>
      </c>
      <c r="I352" s="5" t="s">
        <v>2602</v>
      </c>
      <c r="J352" s="5" t="s">
        <v>2603</v>
      </c>
      <c r="K352" s="6">
        <v>2</v>
      </c>
      <c r="L352" s="9"/>
      <c r="M352" s="5" t="s">
        <v>3008</v>
      </c>
      <c r="P352" s="16"/>
      <c r="Q352" s="17"/>
      <c r="R352" s="17"/>
      <c r="S352" s="18"/>
      <c r="T352" s="18"/>
      <c r="U352" s="17"/>
      <c r="V352" s="18"/>
      <c r="W352" s="17"/>
      <c r="X352" s="17"/>
      <c r="Y352" s="17"/>
      <c r="Z352" s="17"/>
      <c r="AA352" s="17"/>
      <c r="AB352" s="18"/>
      <c r="AC352" s="17"/>
      <c r="AD352" s="17"/>
    </row>
    <row r="353" spans="1:30">
      <c r="A353" s="6">
        <f>ROW()</f>
        <v>353</v>
      </c>
      <c r="B353" s="7" t="s">
        <v>353</v>
      </c>
      <c r="C353" s="5" t="s">
        <v>470</v>
      </c>
      <c r="D353" s="8" t="s">
        <v>803</v>
      </c>
      <c r="E353" s="5" t="s">
        <v>897</v>
      </c>
      <c r="G353" s="5" t="str">
        <f t="shared" si="26"/>
        <v>DSS T 2%</v>
      </c>
      <c r="H353" s="5" t="str">
        <f t="shared" si="27"/>
        <v>[kPa]</v>
      </c>
      <c r="I353" s="5" t="s">
        <v>2602</v>
      </c>
      <c r="J353" s="5" t="s">
        <v>2603</v>
      </c>
      <c r="K353" s="6">
        <v>2</v>
      </c>
      <c r="L353" s="9"/>
      <c r="M353" s="5" t="s">
        <v>3009</v>
      </c>
      <c r="P353" s="16"/>
      <c r="Q353" s="17"/>
      <c r="R353" s="17"/>
      <c r="S353" s="18"/>
      <c r="T353" s="18"/>
      <c r="U353" s="17"/>
      <c r="V353" s="18"/>
      <c r="W353" s="17"/>
      <c r="X353" s="17"/>
      <c r="Y353" s="17"/>
      <c r="Z353" s="17"/>
      <c r="AA353" s="17"/>
      <c r="AB353" s="18"/>
      <c r="AC353" s="17"/>
      <c r="AD353" s="17"/>
    </row>
    <row r="354" spans="1:30">
      <c r="A354" s="6">
        <f>ROW()</f>
        <v>354</v>
      </c>
      <c r="B354" s="7" t="s">
        <v>354</v>
      </c>
      <c r="C354" s="5" t="s">
        <v>470</v>
      </c>
      <c r="D354" s="8" t="s">
        <v>804</v>
      </c>
      <c r="E354" s="5" t="s">
        <v>897</v>
      </c>
      <c r="G354" s="5" t="str">
        <f t="shared" si="26"/>
        <v>DSS S 5%</v>
      </c>
      <c r="H354" s="5" t="str">
        <f t="shared" si="27"/>
        <v>[kPa]</v>
      </c>
      <c r="I354" s="5" t="s">
        <v>2602</v>
      </c>
      <c r="J354" s="5" t="s">
        <v>2603</v>
      </c>
      <c r="K354" s="6">
        <v>2</v>
      </c>
      <c r="L354" s="9"/>
      <c r="M354" s="5" t="s">
        <v>3010</v>
      </c>
      <c r="P354" s="16"/>
      <c r="Q354" s="17"/>
      <c r="R354" s="17"/>
      <c r="S354" s="18"/>
      <c r="T354" s="18"/>
      <c r="U354" s="17"/>
      <c r="V354" s="18"/>
      <c r="W354" s="17"/>
      <c r="X354" s="17"/>
      <c r="Y354" s="17"/>
      <c r="Z354" s="17"/>
      <c r="AA354" s="17"/>
      <c r="AB354" s="18"/>
      <c r="AC354" s="17"/>
      <c r="AD354" s="17"/>
    </row>
    <row r="355" spans="1:30">
      <c r="A355" s="6">
        <f>ROW()</f>
        <v>355</v>
      </c>
      <c r="B355" s="7" t="s">
        <v>355</v>
      </c>
      <c r="C355" s="5" t="s">
        <v>470</v>
      </c>
      <c r="D355" s="8" t="s">
        <v>805</v>
      </c>
      <c r="E355" s="5" t="s">
        <v>897</v>
      </c>
      <c r="G355" s="5" t="str">
        <f t="shared" si="26"/>
        <v>DSS T 5%</v>
      </c>
      <c r="H355" s="5" t="str">
        <f t="shared" si="27"/>
        <v>[kPa]</v>
      </c>
      <c r="I355" s="5" t="s">
        <v>2602</v>
      </c>
      <c r="J355" s="5" t="s">
        <v>2603</v>
      </c>
      <c r="K355" s="6">
        <v>2</v>
      </c>
      <c r="L355" s="9"/>
      <c r="M355" s="5" t="s">
        <v>3011</v>
      </c>
      <c r="P355" s="16"/>
      <c r="Q355" s="17"/>
      <c r="R355" s="17"/>
      <c r="S355" s="18"/>
      <c r="T355" s="18"/>
      <c r="U355" s="17"/>
      <c r="V355" s="18"/>
      <c r="W355" s="17"/>
      <c r="X355" s="17"/>
      <c r="Y355" s="17"/>
      <c r="Z355" s="17"/>
      <c r="AA355" s="17"/>
      <c r="AB355" s="18"/>
      <c r="AC355" s="17"/>
      <c r="AD355" s="17"/>
    </row>
    <row r="356" spans="1:30">
      <c r="A356" s="6">
        <f>ROW()</f>
        <v>356</v>
      </c>
      <c r="B356" s="7" t="s">
        <v>356</v>
      </c>
      <c r="C356" s="5" t="s">
        <v>470</v>
      </c>
      <c r="D356" s="8" t="s">
        <v>806</v>
      </c>
      <c r="E356" s="5" t="s">
        <v>897</v>
      </c>
      <c r="G356" s="5" t="str">
        <f t="shared" si="26"/>
        <v>DSS S 10%</v>
      </c>
      <c r="H356" s="5" t="str">
        <f t="shared" si="27"/>
        <v>[kPa]</v>
      </c>
      <c r="I356" s="5" t="s">
        <v>2602</v>
      </c>
      <c r="J356" s="5" t="s">
        <v>2603</v>
      </c>
      <c r="K356" s="6">
        <v>2</v>
      </c>
      <c r="L356" s="9"/>
      <c r="M356" s="5" t="s">
        <v>3012</v>
      </c>
      <c r="P356" s="16"/>
      <c r="Q356" s="17"/>
      <c r="R356" s="17"/>
      <c r="S356" s="18"/>
      <c r="T356" s="18"/>
      <c r="U356" s="17"/>
      <c r="V356" s="21"/>
      <c r="W356" s="17"/>
      <c r="X356" s="17"/>
      <c r="Y356" s="17"/>
      <c r="Z356" s="17"/>
      <c r="AA356" s="17"/>
      <c r="AB356" s="18"/>
      <c r="AC356" s="17"/>
      <c r="AD356" s="17"/>
    </row>
    <row r="357" spans="1:30">
      <c r="A357" s="6">
        <f>ROW()</f>
        <v>357</v>
      </c>
      <c r="B357" s="7" t="s">
        <v>357</v>
      </c>
      <c r="C357" s="5" t="s">
        <v>470</v>
      </c>
      <c r="D357" s="8" t="s">
        <v>807</v>
      </c>
      <c r="E357" s="5" t="s">
        <v>897</v>
      </c>
      <c r="G357" s="5" t="str">
        <f t="shared" si="26"/>
        <v>DSS T 10%</v>
      </c>
      <c r="H357" s="5" t="str">
        <f t="shared" si="27"/>
        <v>[kPa]</v>
      </c>
      <c r="I357" s="5" t="s">
        <v>2602</v>
      </c>
      <c r="J357" s="5" t="s">
        <v>2603</v>
      </c>
      <c r="K357" s="6">
        <v>2</v>
      </c>
      <c r="L357" s="9"/>
      <c r="M357" s="5" t="s">
        <v>3013</v>
      </c>
      <c r="P357" s="16"/>
      <c r="Q357" s="17"/>
      <c r="R357" s="17"/>
      <c r="S357" s="18"/>
      <c r="T357" s="18"/>
      <c r="U357" s="17"/>
      <c r="V357" s="18"/>
      <c r="W357" s="17"/>
      <c r="X357" s="17"/>
      <c r="Y357" s="17"/>
      <c r="Z357" s="17"/>
      <c r="AA357" s="17"/>
      <c r="AB357" s="18"/>
      <c r="AC357" s="17"/>
      <c r="AD357" s="17"/>
    </row>
    <row r="358" spans="1:30">
      <c r="A358" s="6">
        <f>ROW()</f>
        <v>358</v>
      </c>
      <c r="B358" s="7" t="s">
        <v>358</v>
      </c>
      <c r="C358" s="5" t="s">
        <v>470</v>
      </c>
      <c r="D358" s="8" t="s">
        <v>808</v>
      </c>
      <c r="E358" s="5" t="s">
        <v>897</v>
      </c>
      <c r="G358" s="5" t="str">
        <f t="shared" si="26"/>
        <v>DSS S 15%</v>
      </c>
      <c r="H358" s="5" t="str">
        <f t="shared" si="27"/>
        <v>[kPa]</v>
      </c>
      <c r="I358" s="5" t="s">
        <v>2602</v>
      </c>
      <c r="J358" s="5" t="s">
        <v>2603</v>
      </c>
      <c r="K358" s="6">
        <v>2</v>
      </c>
      <c r="L358" s="9"/>
      <c r="M358" s="5" t="s">
        <v>3014</v>
      </c>
      <c r="P358" s="16"/>
      <c r="Q358" s="17"/>
      <c r="R358" s="17"/>
      <c r="S358" s="18"/>
      <c r="T358" s="18"/>
      <c r="U358" s="17"/>
      <c r="V358" s="18"/>
      <c r="W358" s="17"/>
      <c r="X358" s="17"/>
      <c r="Y358" s="17"/>
      <c r="Z358" s="17"/>
      <c r="AA358" s="17"/>
      <c r="AB358" s="18"/>
      <c r="AC358" s="17"/>
      <c r="AD358" s="17"/>
    </row>
    <row r="359" spans="1:30">
      <c r="A359" s="6">
        <f>ROW()</f>
        <v>359</v>
      </c>
      <c r="B359" s="7" t="s">
        <v>359</v>
      </c>
      <c r="C359" s="5" t="s">
        <v>470</v>
      </c>
      <c r="D359" s="8" t="s">
        <v>809</v>
      </c>
      <c r="E359" s="5" t="s">
        <v>897</v>
      </c>
      <c r="G359" s="5" t="str">
        <f t="shared" si="26"/>
        <v>DSS T 15%</v>
      </c>
      <c r="H359" s="5" t="str">
        <f t="shared" si="27"/>
        <v>[kPa]</v>
      </c>
      <c r="I359" s="5" t="s">
        <v>2602</v>
      </c>
      <c r="J359" s="5" t="s">
        <v>2603</v>
      </c>
      <c r="K359" s="6">
        <v>2</v>
      </c>
      <c r="L359" s="9"/>
      <c r="M359" s="5" t="s">
        <v>3015</v>
      </c>
      <c r="P359" s="16"/>
      <c r="Q359" s="17"/>
      <c r="R359" s="17"/>
      <c r="S359" s="18"/>
      <c r="T359" s="18"/>
      <c r="U359" s="17"/>
      <c r="V359" s="18"/>
      <c r="W359" s="17"/>
      <c r="X359" s="17"/>
      <c r="Y359" s="17"/>
      <c r="Z359" s="17"/>
      <c r="AA359" s="17"/>
      <c r="AB359" s="18"/>
      <c r="AC359" s="17"/>
      <c r="AD359" s="17"/>
    </row>
    <row r="360" spans="1:30">
      <c r="A360" s="6">
        <f>ROW()</f>
        <v>360</v>
      </c>
      <c r="B360" s="7" t="s">
        <v>360</v>
      </c>
      <c r="C360" s="5" t="s">
        <v>470</v>
      </c>
      <c r="D360" s="8" t="s">
        <v>810</v>
      </c>
      <c r="E360" s="5" t="s">
        <v>897</v>
      </c>
      <c r="G360" s="5" t="str">
        <f t="shared" si="26"/>
        <v>DSS S 20%</v>
      </c>
      <c r="H360" s="5" t="str">
        <f t="shared" si="27"/>
        <v>[kPa]</v>
      </c>
      <c r="I360" s="5" t="s">
        <v>2602</v>
      </c>
      <c r="J360" s="5" t="s">
        <v>2603</v>
      </c>
      <c r="K360" s="6">
        <v>2</v>
      </c>
      <c r="L360" s="9"/>
      <c r="M360" s="5" t="s">
        <v>3016</v>
      </c>
      <c r="P360" s="16"/>
      <c r="Q360" s="17"/>
      <c r="R360" s="17"/>
      <c r="S360" s="18"/>
      <c r="T360" s="18"/>
      <c r="U360" s="17"/>
      <c r="V360" s="18"/>
      <c r="W360" s="17"/>
      <c r="X360" s="17"/>
      <c r="Y360" s="17"/>
      <c r="Z360" s="17"/>
      <c r="AA360" s="17"/>
      <c r="AB360" s="18"/>
      <c r="AC360" s="17"/>
      <c r="AD360" s="17"/>
    </row>
    <row r="361" spans="1:30">
      <c r="A361" s="6">
        <f>ROW()</f>
        <v>361</v>
      </c>
      <c r="B361" s="7" t="s">
        <v>361</v>
      </c>
      <c r="C361" s="5" t="s">
        <v>470</v>
      </c>
      <c r="D361" s="8" t="s">
        <v>811</v>
      </c>
      <c r="E361" s="5" t="s">
        <v>897</v>
      </c>
      <c r="G361" s="5" t="str">
        <f t="shared" si="26"/>
        <v>DSS T 20%</v>
      </c>
      <c r="H361" s="5" t="str">
        <f t="shared" si="27"/>
        <v>[kPa]</v>
      </c>
      <c r="I361" s="5" t="s">
        <v>2602</v>
      </c>
      <c r="J361" s="5" t="s">
        <v>2603</v>
      </c>
      <c r="K361" s="6">
        <v>2</v>
      </c>
      <c r="L361" s="9"/>
      <c r="M361" s="5" t="s">
        <v>3017</v>
      </c>
      <c r="P361" s="16"/>
      <c r="Q361" s="17"/>
      <c r="R361" s="17"/>
      <c r="S361" s="18"/>
      <c r="T361" s="18"/>
      <c r="U361" s="17"/>
      <c r="V361" s="18"/>
      <c r="W361" s="17"/>
      <c r="X361" s="17"/>
      <c r="Y361" s="17"/>
      <c r="Z361" s="17"/>
      <c r="AA361" s="17"/>
      <c r="AB361" s="18"/>
      <c r="AC361" s="17"/>
      <c r="AD361" s="17"/>
    </row>
    <row r="362" spans="1:30" ht="25.5">
      <c r="A362" s="6">
        <f>ROW()</f>
        <v>362</v>
      </c>
      <c r="B362" s="7" t="s">
        <v>362</v>
      </c>
      <c r="C362" s="5" t="s">
        <v>470</v>
      </c>
      <c r="D362" s="8" t="s">
        <v>812</v>
      </c>
      <c r="E362" s="5" t="s">
        <v>897</v>
      </c>
      <c r="G362" s="5" t="str">
        <f t="shared" si="26"/>
        <v>DSS S BIJ T MAX</v>
      </c>
      <c r="H362" s="5" t="str">
        <f t="shared" si="27"/>
        <v>[kPa]</v>
      </c>
      <c r="I362" s="5" t="s">
        <v>2602</v>
      </c>
      <c r="J362" s="5" t="s">
        <v>2603</v>
      </c>
      <c r="K362" s="6">
        <v>2</v>
      </c>
      <c r="L362" s="9"/>
      <c r="M362" s="5" t="s">
        <v>3018</v>
      </c>
      <c r="P362" s="16"/>
      <c r="Q362" s="17"/>
      <c r="R362" s="17"/>
      <c r="S362" s="18"/>
      <c r="T362" s="18"/>
      <c r="U362" s="17"/>
      <c r="V362" s="18"/>
      <c r="W362" s="17"/>
      <c r="X362" s="17"/>
      <c r="Y362" s="17"/>
      <c r="Z362" s="17"/>
      <c r="AA362" s="17"/>
      <c r="AB362" s="18"/>
      <c r="AC362" s="17"/>
      <c r="AD362" s="17"/>
    </row>
    <row r="363" spans="1:30">
      <c r="A363" s="6">
        <f>ROW()</f>
        <v>363</v>
      </c>
      <c r="B363" s="7" t="s">
        <v>363</v>
      </c>
      <c r="C363" s="5" t="s">
        <v>470</v>
      </c>
      <c r="D363" s="8" t="s">
        <v>813</v>
      </c>
      <c r="E363" s="5" t="s">
        <v>897</v>
      </c>
      <c r="G363" s="5" t="str">
        <f t="shared" si="26"/>
        <v>DSS T MAX</v>
      </c>
      <c r="H363" s="5" t="str">
        <f t="shared" si="27"/>
        <v>[kPa]</v>
      </c>
      <c r="I363" s="5" t="s">
        <v>2602</v>
      </c>
      <c r="J363" s="5" t="s">
        <v>2603</v>
      </c>
      <c r="K363" s="6">
        <v>2</v>
      </c>
      <c r="L363" s="9"/>
      <c r="M363" s="5" t="s">
        <v>3019</v>
      </c>
      <c r="P363" s="16"/>
      <c r="Q363" s="17"/>
      <c r="R363" s="17"/>
      <c r="S363" s="18"/>
      <c r="T363" s="18"/>
      <c r="U363" s="17"/>
      <c r="V363" s="18"/>
      <c r="W363" s="17"/>
      <c r="X363" s="17"/>
      <c r="Y363" s="17"/>
      <c r="Z363" s="17"/>
      <c r="AA363" s="17"/>
      <c r="AB363" s="18"/>
      <c r="AC363" s="17"/>
      <c r="AD363" s="17"/>
    </row>
    <row r="364" spans="1:30">
      <c r="A364" s="6">
        <f>ROW()</f>
        <v>364</v>
      </c>
      <c r="B364" s="7" t="s">
        <v>364</v>
      </c>
      <c r="C364" s="5" t="s">
        <v>468</v>
      </c>
      <c r="D364" s="8" t="s">
        <v>814</v>
      </c>
      <c r="E364" s="5" t="s">
        <v>897</v>
      </c>
      <c r="F364" s="8" t="s">
        <v>911</v>
      </c>
      <c r="G364" s="5" t="str">
        <f t="shared" si="26"/>
        <v>DSS REK BIJ T MAX</v>
      </c>
      <c r="H364" s="5" t="str">
        <f t="shared" si="27"/>
        <v>[%]</v>
      </c>
      <c r="I364" s="5" t="s">
        <v>2602</v>
      </c>
      <c r="J364" s="5" t="s">
        <v>2603</v>
      </c>
      <c r="K364" s="6">
        <v>2</v>
      </c>
      <c r="L364" s="9"/>
      <c r="M364" s="5" t="s">
        <v>3020</v>
      </c>
      <c r="P364" s="16"/>
      <c r="Q364" s="17"/>
      <c r="R364" s="17"/>
      <c r="S364" s="18"/>
      <c r="T364" s="18"/>
      <c r="U364" s="17"/>
      <c r="V364" s="18"/>
      <c r="W364" s="17"/>
      <c r="X364" s="17"/>
      <c r="Y364" s="17"/>
      <c r="Z364" s="17"/>
      <c r="AA364" s="17"/>
      <c r="AB364" s="18"/>
      <c r="AC364" s="17"/>
      <c r="AD364" s="17"/>
    </row>
    <row r="365" spans="1:30" ht="25.5">
      <c r="A365" s="6">
        <f>ROW()</f>
        <v>365</v>
      </c>
      <c r="B365" s="7" t="s">
        <v>365</v>
      </c>
      <c r="C365" s="5" t="s">
        <v>470</v>
      </c>
      <c r="D365" s="8" t="s">
        <v>815</v>
      </c>
      <c r="E365" s="5" t="s">
        <v>897</v>
      </c>
      <c r="G365" s="5" t="str">
        <f t="shared" si="26"/>
        <v>DSS S BIJ T EIND</v>
      </c>
      <c r="H365" s="5" t="str">
        <f t="shared" si="27"/>
        <v>[kPa]</v>
      </c>
      <c r="I365" s="5" t="s">
        <v>2602</v>
      </c>
      <c r="J365" s="5" t="s">
        <v>2603</v>
      </c>
      <c r="K365" s="6">
        <v>2</v>
      </c>
      <c r="L365" s="9"/>
      <c r="M365" s="5" t="s">
        <v>3021</v>
      </c>
      <c r="P365" s="16"/>
      <c r="Q365" s="17"/>
      <c r="R365" s="17"/>
      <c r="S365" s="18"/>
      <c r="T365" s="18"/>
      <c r="U365" s="17"/>
      <c r="V365" s="18"/>
      <c r="W365" s="17"/>
      <c r="X365" s="17"/>
      <c r="Y365" s="17"/>
      <c r="Z365" s="17"/>
      <c r="AA365" s="17"/>
      <c r="AB365" s="18"/>
      <c r="AC365" s="17"/>
      <c r="AD365" s="17"/>
    </row>
    <row r="366" spans="1:30">
      <c r="A366" s="6">
        <f>ROW()</f>
        <v>366</v>
      </c>
      <c r="B366" s="7" t="s">
        <v>366</v>
      </c>
      <c r="C366" s="5" t="s">
        <v>470</v>
      </c>
      <c r="D366" s="8" t="s">
        <v>816</v>
      </c>
      <c r="E366" s="5" t="s">
        <v>897</v>
      </c>
      <c r="G366" s="5" t="str">
        <f t="shared" si="26"/>
        <v>DSS T EIND</v>
      </c>
      <c r="H366" s="5" t="str">
        <f t="shared" si="27"/>
        <v>[kPa]</v>
      </c>
      <c r="I366" s="5" t="s">
        <v>2602</v>
      </c>
      <c r="J366" s="5" t="s">
        <v>2603</v>
      </c>
      <c r="K366" s="6">
        <v>2</v>
      </c>
      <c r="L366" s="9"/>
      <c r="M366" s="5" t="s">
        <v>3022</v>
      </c>
      <c r="P366" s="16"/>
      <c r="Q366" s="17"/>
      <c r="R366" s="17"/>
      <c r="S366" s="18"/>
      <c r="T366" s="18"/>
      <c r="U366" s="17"/>
      <c r="V366" s="18"/>
      <c r="W366" s="17"/>
      <c r="X366" s="17"/>
      <c r="Y366" s="17"/>
      <c r="Z366" s="17"/>
      <c r="AA366" s="17"/>
      <c r="AB366" s="18"/>
      <c r="AC366" s="17"/>
      <c r="AD366" s="17"/>
    </row>
    <row r="367" spans="1:30">
      <c r="A367" s="6">
        <f>ROW()</f>
        <v>367</v>
      </c>
      <c r="B367" s="7" t="s">
        <v>367</v>
      </c>
      <c r="C367" s="5" t="s">
        <v>468</v>
      </c>
      <c r="D367" s="8" t="s">
        <v>817</v>
      </c>
      <c r="E367" s="5" t="s">
        <v>897</v>
      </c>
      <c r="G367" s="5" t="str">
        <f t="shared" si="26"/>
        <v>DSS REK BIJ T EIND</v>
      </c>
      <c r="H367" s="5" t="str">
        <f t="shared" si="27"/>
        <v>[%]</v>
      </c>
      <c r="I367" s="5" t="s">
        <v>2602</v>
      </c>
      <c r="J367" s="5" t="s">
        <v>2603</v>
      </c>
      <c r="K367" s="6">
        <v>2</v>
      </c>
      <c r="L367" s="9"/>
      <c r="M367" s="5" t="s">
        <v>3023</v>
      </c>
      <c r="P367" s="16"/>
      <c r="Q367" s="17"/>
      <c r="R367" s="17"/>
      <c r="S367" s="18"/>
      <c r="T367" s="18"/>
      <c r="U367" s="17"/>
      <c r="V367" s="18"/>
      <c r="W367" s="17"/>
      <c r="X367" s="17"/>
      <c r="Y367" s="17"/>
      <c r="Z367" s="17"/>
      <c r="AA367" s="17"/>
      <c r="AB367" s="18"/>
      <c r="AC367" s="17"/>
      <c r="AD367" s="17"/>
    </row>
    <row r="368" spans="1:30">
      <c r="A368" s="6">
        <f>ROW()</f>
        <v>368</v>
      </c>
      <c r="B368" s="7" t="s">
        <v>368</v>
      </c>
      <c r="C368" s="5" t="s">
        <v>481</v>
      </c>
      <c r="D368" s="10" t="s">
        <v>818</v>
      </c>
      <c r="E368" s="5" t="s">
        <v>897</v>
      </c>
      <c r="F368" s="8" t="s">
        <v>481</v>
      </c>
      <c r="G368" s="5" t="str">
        <f t="shared" si="26"/>
        <v>DSS S BIJ MAX S1S3</v>
      </c>
      <c r="H368" s="5" t="str">
        <f t="shared" si="27"/>
        <v>[NVT]</v>
      </c>
      <c r="I368" s="5" t="s">
        <v>2602</v>
      </c>
      <c r="J368" s="5" t="s">
        <v>2603</v>
      </c>
      <c r="K368" s="6">
        <v>2</v>
      </c>
      <c r="L368" s="9"/>
      <c r="M368" s="5" t="s">
        <v>3024</v>
      </c>
      <c r="P368" s="22"/>
      <c r="Q368" s="23"/>
      <c r="R368" s="23"/>
      <c r="S368" s="24"/>
      <c r="T368" s="24"/>
      <c r="U368" s="23"/>
      <c r="V368" s="24"/>
      <c r="W368" s="23"/>
      <c r="X368" s="23"/>
      <c r="Y368" s="23"/>
      <c r="Z368" s="23"/>
      <c r="AA368" s="23"/>
      <c r="AB368" s="24"/>
      <c r="AC368" s="23"/>
      <c r="AD368" s="23"/>
    </row>
    <row r="369" spans="1:30">
      <c r="A369" s="6">
        <f>ROW()</f>
        <v>369</v>
      </c>
      <c r="B369" s="7" t="s">
        <v>369</v>
      </c>
      <c r="C369" s="5" t="s">
        <v>481</v>
      </c>
      <c r="D369" s="10" t="s">
        <v>818</v>
      </c>
      <c r="E369" s="5" t="s">
        <v>897</v>
      </c>
      <c r="F369" s="8" t="s">
        <v>481</v>
      </c>
      <c r="G369" s="5" t="str">
        <f t="shared" si="26"/>
        <v>DSS T BIJ MAX S1S3</v>
      </c>
      <c r="H369" s="5" t="str">
        <f t="shared" si="27"/>
        <v>[NVT]</v>
      </c>
      <c r="I369" s="5" t="s">
        <v>2602</v>
      </c>
      <c r="J369" s="5" t="s">
        <v>2603</v>
      </c>
      <c r="K369" s="6">
        <v>2</v>
      </c>
      <c r="L369" s="9"/>
      <c r="M369" s="5" t="s">
        <v>3025</v>
      </c>
      <c r="P369" s="22"/>
      <c r="Q369" s="23"/>
      <c r="R369" s="23"/>
      <c r="S369" s="24"/>
      <c r="T369" s="24"/>
      <c r="U369" s="23"/>
      <c r="V369" s="24"/>
      <c r="W369" s="23"/>
      <c r="X369" s="23"/>
      <c r="Y369" s="23"/>
      <c r="Z369" s="23"/>
      <c r="AA369" s="23"/>
      <c r="AB369" s="24"/>
      <c r="AC369" s="23"/>
      <c r="AD369" s="23"/>
    </row>
    <row r="370" spans="1:30">
      <c r="A370" s="6">
        <f>ROW()</f>
        <v>370</v>
      </c>
      <c r="B370" s="7" t="s">
        <v>370</v>
      </c>
      <c r="C370" s="5" t="s">
        <v>481</v>
      </c>
      <c r="D370" s="10" t="s">
        <v>818</v>
      </c>
      <c r="E370" s="5" t="s">
        <v>897</v>
      </c>
      <c r="F370" s="8" t="s">
        <v>481</v>
      </c>
      <c r="G370" s="5" t="str">
        <f t="shared" si="26"/>
        <v>DSS REK BIJ MAX S1S3</v>
      </c>
      <c r="H370" s="5" t="str">
        <f t="shared" si="27"/>
        <v>[NVT]</v>
      </c>
      <c r="I370" s="5" t="s">
        <v>2602</v>
      </c>
      <c r="J370" s="5" t="s">
        <v>2603</v>
      </c>
      <c r="K370" s="6">
        <v>2</v>
      </c>
      <c r="L370" s="9"/>
      <c r="M370" s="5" t="s">
        <v>3026</v>
      </c>
      <c r="P370" s="22"/>
      <c r="Q370" s="23"/>
      <c r="R370" s="23"/>
      <c r="S370" s="24"/>
      <c r="T370" s="24"/>
      <c r="U370" s="23"/>
      <c r="V370" s="24"/>
      <c r="W370" s="23"/>
      <c r="X370" s="23"/>
      <c r="Y370" s="23"/>
      <c r="Z370" s="23"/>
      <c r="AA370" s="23"/>
      <c r="AB370" s="24"/>
      <c r="AC370" s="23"/>
      <c r="AD370" s="23"/>
    </row>
    <row r="371" spans="1:30" ht="38.25">
      <c r="A371" s="6">
        <f>ROW()</f>
        <v>371</v>
      </c>
      <c r="B371" s="7" t="s">
        <v>371</v>
      </c>
      <c r="C371" s="5" t="s">
        <v>470</v>
      </c>
      <c r="D371" s="8" t="s">
        <v>819</v>
      </c>
      <c r="E371" s="5" t="s">
        <v>897</v>
      </c>
      <c r="G371" s="5" t="str">
        <f t="shared" si="26"/>
        <v>DSS SCHUIFMODULUS G50</v>
      </c>
      <c r="H371" s="5" t="str">
        <f t="shared" si="27"/>
        <v>[kPa]</v>
      </c>
      <c r="I371" s="5" t="s">
        <v>2602</v>
      </c>
      <c r="J371" s="5" t="s">
        <v>2603</v>
      </c>
      <c r="K371" s="6">
        <v>2</v>
      </c>
      <c r="L371" s="9"/>
      <c r="M371" s="5" t="s">
        <v>3027</v>
      </c>
      <c r="P371" s="16"/>
      <c r="Q371" s="17"/>
      <c r="R371" s="17"/>
      <c r="S371" s="18"/>
      <c r="T371" s="18"/>
      <c r="U371" s="17"/>
      <c r="V371" s="18"/>
      <c r="W371" s="17"/>
      <c r="X371" s="17"/>
      <c r="Y371" s="17"/>
      <c r="Z371" s="17"/>
      <c r="AA371" s="17"/>
      <c r="AB371" s="18"/>
      <c r="AC371" s="17"/>
      <c r="AD371" s="17"/>
    </row>
    <row r="372" spans="1:30" ht="25.5">
      <c r="A372" s="6">
        <f>ROW()</f>
        <v>372</v>
      </c>
      <c r="B372" s="7" t="s">
        <v>372</v>
      </c>
      <c r="C372" s="5" t="s">
        <v>463</v>
      </c>
      <c r="D372" s="8" t="s">
        <v>820</v>
      </c>
      <c r="E372" s="5" t="s">
        <v>896</v>
      </c>
      <c r="G372" s="5" t="str">
        <f t="shared" si="26"/>
        <v>TXT SS FILENAAM PDF</v>
      </c>
      <c r="H372" s="5" t="str">
        <f t="shared" si="27"/>
        <v>[-]</v>
      </c>
      <c r="I372" s="5" t="s">
        <v>2639</v>
      </c>
      <c r="J372" s="5" t="s">
        <v>2640</v>
      </c>
      <c r="K372" s="6">
        <v>1</v>
      </c>
      <c r="L372" s="9"/>
      <c r="M372" s="5" t="s">
        <v>3028</v>
      </c>
      <c r="P372" s="17"/>
      <c r="Q372" s="17"/>
      <c r="R372" s="17"/>
      <c r="S372" s="18"/>
      <c r="T372" s="18"/>
      <c r="U372" s="17"/>
      <c r="V372" s="18"/>
      <c r="W372" s="17"/>
      <c r="X372" s="17"/>
      <c r="Y372" s="17"/>
      <c r="Z372" s="17"/>
      <c r="AA372" s="17"/>
      <c r="AB372" s="18"/>
      <c r="AC372" s="17"/>
      <c r="AD372" s="17"/>
    </row>
    <row r="373" spans="1:30" ht="25.5">
      <c r="A373" s="6">
        <f>ROW()</f>
        <v>373</v>
      </c>
      <c r="B373" s="5" t="s">
        <v>373</v>
      </c>
      <c r="C373" s="5" t="s">
        <v>463</v>
      </c>
      <c r="D373" s="8" t="s">
        <v>612</v>
      </c>
      <c r="E373" s="5" t="s">
        <v>896</v>
      </c>
      <c r="G373" s="5" t="str">
        <f t="shared" si="26"/>
        <v>TXT SS FILENAAM SPANNINGSPAD</v>
      </c>
      <c r="H373" s="5" t="str">
        <f t="shared" si="27"/>
        <v>[-]</v>
      </c>
      <c r="I373" s="5" t="s">
        <v>2639</v>
      </c>
      <c r="J373" s="5" t="s">
        <v>2640</v>
      </c>
      <c r="K373" s="6">
        <v>1</v>
      </c>
      <c r="L373" s="9"/>
      <c r="M373" s="5" t="s">
        <v>2711</v>
      </c>
      <c r="P373" s="17"/>
      <c r="Q373" s="17"/>
      <c r="R373" s="17"/>
      <c r="S373" s="18"/>
      <c r="T373" s="18"/>
      <c r="U373" s="17"/>
      <c r="V373" s="18"/>
      <c r="W373" s="17"/>
      <c r="X373" s="17"/>
      <c r="Y373" s="17"/>
      <c r="Z373" s="17"/>
      <c r="AA373" s="17"/>
      <c r="AB373" s="18"/>
      <c r="AC373" s="17"/>
      <c r="AD373" s="17"/>
    </row>
    <row r="374" spans="1:30">
      <c r="A374" s="6">
        <f>ROW()</f>
        <v>374</v>
      </c>
      <c r="B374" s="7" t="s">
        <v>374</v>
      </c>
      <c r="C374" s="5" t="s">
        <v>463</v>
      </c>
      <c r="D374" s="8" t="s">
        <v>821</v>
      </c>
      <c r="E374" s="5" t="s">
        <v>896</v>
      </c>
      <c r="G374" s="5" t="str">
        <f t="shared" si="26"/>
        <v>TXT SS MONSTERID</v>
      </c>
      <c r="H374" s="5" t="str">
        <f t="shared" si="27"/>
        <v>[-]</v>
      </c>
      <c r="I374" s="5" t="s">
        <v>2639</v>
      </c>
      <c r="J374" s="5" t="s">
        <v>2640</v>
      </c>
      <c r="K374" s="6">
        <v>1</v>
      </c>
      <c r="L374" s="9"/>
      <c r="M374" s="5" t="s">
        <v>3029</v>
      </c>
      <c r="P374" s="17"/>
      <c r="Q374" s="17"/>
      <c r="R374" s="17"/>
      <c r="S374" s="18"/>
      <c r="T374" s="18"/>
      <c r="U374" s="17"/>
      <c r="V374" s="18"/>
      <c r="W374" s="17"/>
      <c r="X374" s="17"/>
      <c r="Y374" s="17"/>
      <c r="Z374" s="17"/>
      <c r="AA374" s="17"/>
      <c r="AB374" s="18"/>
      <c r="AC374" s="17"/>
      <c r="AD374" s="17"/>
    </row>
    <row r="375" spans="1:30">
      <c r="A375" s="6">
        <f>ROW()</f>
        <v>375</v>
      </c>
      <c r="B375" s="7" t="s">
        <v>375</v>
      </c>
      <c r="C375" s="5" t="s">
        <v>463</v>
      </c>
      <c r="D375" s="8" t="s">
        <v>822</v>
      </c>
      <c r="E375" s="5" t="s">
        <v>896</v>
      </c>
      <c r="G375" s="5" t="str">
        <f t="shared" ref="G375:G377" si="28">SUBSTITUTE(B375,"_"," ")</f>
        <v>TXT SS LABORATORIUM</v>
      </c>
      <c r="H375" s="5" t="str">
        <f t="shared" ref="H375:H377" si="29">CONCATENATE("[",C375,"]")</f>
        <v>[-]</v>
      </c>
      <c r="I375" s="5" t="s">
        <v>2639</v>
      </c>
      <c r="J375" s="5" t="s">
        <v>2640</v>
      </c>
      <c r="K375" s="6">
        <v>1</v>
      </c>
      <c r="L375" s="9"/>
      <c r="M375" s="5" t="s">
        <v>3030</v>
      </c>
      <c r="P375" s="17"/>
      <c r="Q375" s="17"/>
      <c r="R375" s="17"/>
      <c r="S375" s="18"/>
      <c r="T375" s="18"/>
      <c r="U375" s="17"/>
      <c r="V375" s="18"/>
      <c r="W375" s="17"/>
      <c r="X375" s="17"/>
      <c r="Y375" s="17"/>
      <c r="Z375" s="17"/>
      <c r="AA375" s="17"/>
      <c r="AB375" s="18"/>
      <c r="AC375" s="17"/>
      <c r="AD375" s="17"/>
    </row>
    <row r="376" spans="1:30">
      <c r="A376" s="6">
        <f>ROW()</f>
        <v>376</v>
      </c>
      <c r="B376" s="7" t="s">
        <v>376</v>
      </c>
      <c r="C376" s="5" t="s">
        <v>463</v>
      </c>
      <c r="D376" s="8" t="s">
        <v>823</v>
      </c>
      <c r="E376" s="5" t="s">
        <v>896</v>
      </c>
      <c r="G376" s="5" t="str">
        <f t="shared" si="28"/>
        <v>TXT SS NORM</v>
      </c>
      <c r="H376" s="5" t="str">
        <f t="shared" si="29"/>
        <v>[-]</v>
      </c>
      <c r="I376" s="5" t="s">
        <v>2639</v>
      </c>
      <c r="J376" s="5" t="s">
        <v>2640</v>
      </c>
      <c r="L376" s="9"/>
      <c r="M376" s="5" t="s">
        <v>3031</v>
      </c>
      <c r="P376" s="17"/>
      <c r="Q376" s="17"/>
      <c r="R376" s="17"/>
      <c r="S376" s="18"/>
      <c r="T376" s="18"/>
      <c r="U376" s="17"/>
      <c r="V376" s="18"/>
      <c r="W376" s="17"/>
      <c r="X376" s="17"/>
      <c r="Y376" s="17"/>
      <c r="Z376" s="17"/>
      <c r="AA376" s="17"/>
      <c r="AB376" s="18"/>
      <c r="AC376" s="17"/>
      <c r="AD376" s="17"/>
    </row>
    <row r="377" spans="1:30">
      <c r="A377" s="6">
        <f>ROW()</f>
        <v>377</v>
      </c>
      <c r="B377" s="7" t="s">
        <v>377</v>
      </c>
      <c r="C377" s="5" t="s">
        <v>466</v>
      </c>
      <c r="D377" s="8" t="s">
        <v>824</v>
      </c>
      <c r="E377" s="5" t="s">
        <v>898</v>
      </c>
      <c r="G377" s="5" t="str">
        <f t="shared" si="28"/>
        <v>TXT SS DATUM</v>
      </c>
      <c r="H377" s="5" t="str">
        <f t="shared" si="29"/>
        <v>[DD-MM-JJJJ]</v>
      </c>
      <c r="I377" s="5" t="s">
        <v>2639</v>
      </c>
      <c r="J377" s="5" t="s">
        <v>2640</v>
      </c>
      <c r="K377" s="6">
        <v>1</v>
      </c>
      <c r="L377" s="9"/>
      <c r="M377" s="5" t="s">
        <v>3032</v>
      </c>
      <c r="P377" s="17"/>
      <c r="Q377" s="17"/>
      <c r="R377" s="17"/>
      <c r="S377" s="18"/>
      <c r="T377" s="18"/>
      <c r="U377" s="17"/>
      <c r="V377" s="18"/>
      <c r="W377" s="17"/>
      <c r="X377" s="17"/>
      <c r="Y377" s="17"/>
      <c r="Z377" s="17"/>
      <c r="AA377" s="17"/>
      <c r="AB377" s="18"/>
      <c r="AC377" s="17"/>
      <c r="AD377" s="17"/>
    </row>
    <row r="378" spans="1:30">
      <c r="A378" s="6">
        <f>ROW()</f>
        <v>378</v>
      </c>
      <c r="B378" s="7" t="s">
        <v>3033</v>
      </c>
      <c r="C378" s="5" t="s">
        <v>463</v>
      </c>
      <c r="D378" s="8" t="s">
        <v>532</v>
      </c>
      <c r="E378" s="5" t="s">
        <v>896</v>
      </c>
      <c r="G378" s="5" t="str">
        <f t="shared" si="26"/>
        <v>TXT SS CLASSIFICATIE</v>
      </c>
      <c r="H378" s="5" t="str">
        <f t="shared" si="27"/>
        <v>[-]</v>
      </c>
      <c r="I378" s="5" t="s">
        <v>2639</v>
      </c>
      <c r="J378" s="5" t="s">
        <v>2640</v>
      </c>
      <c r="K378" s="6">
        <v>1</v>
      </c>
      <c r="L378" s="9"/>
      <c r="M378" s="5" t="s">
        <v>3034</v>
      </c>
      <c r="P378" s="17"/>
      <c r="Q378" s="17"/>
      <c r="R378" s="17"/>
      <c r="S378" s="18"/>
      <c r="T378" s="18"/>
      <c r="U378" s="17"/>
      <c r="V378" s="18"/>
      <c r="W378" s="17"/>
      <c r="X378" s="17"/>
      <c r="Y378" s="17"/>
      <c r="Z378" s="17"/>
      <c r="AA378" s="17"/>
      <c r="AB378" s="18"/>
      <c r="AC378" s="17"/>
      <c r="AD378" s="17"/>
    </row>
    <row r="379" spans="1:30" ht="25.5">
      <c r="A379" s="6">
        <f>ROW()</f>
        <v>379</v>
      </c>
      <c r="B379" s="5" t="s">
        <v>3035</v>
      </c>
      <c r="C379" s="5" t="s">
        <v>463</v>
      </c>
      <c r="D379" s="8" t="s">
        <v>533</v>
      </c>
      <c r="E379" s="5" t="s">
        <v>896</v>
      </c>
      <c r="G379" s="5" t="str">
        <f t="shared" si="26"/>
        <v>TXT SS CLASSIFICATIE BIJMENGING</v>
      </c>
      <c r="H379" s="5" t="str">
        <f t="shared" si="27"/>
        <v>[-]</v>
      </c>
      <c r="I379" s="5" t="s">
        <v>2639</v>
      </c>
      <c r="J379" s="5" t="s">
        <v>2640</v>
      </c>
      <c r="K379" s="6">
        <v>1</v>
      </c>
      <c r="L379" s="9"/>
      <c r="M379" s="5" t="s">
        <v>2711</v>
      </c>
      <c r="P379" s="17"/>
      <c r="Q379" s="17"/>
      <c r="R379" s="17"/>
      <c r="S379" s="18"/>
      <c r="T379" s="18"/>
      <c r="U379" s="17"/>
      <c r="V379" s="18"/>
      <c r="W379" s="17"/>
      <c r="X379" s="17"/>
      <c r="Y379" s="17"/>
      <c r="Z379" s="17"/>
      <c r="AA379" s="17"/>
      <c r="AB379" s="18"/>
      <c r="AC379" s="17"/>
      <c r="AD379" s="17"/>
    </row>
    <row r="380" spans="1:30">
      <c r="A380" s="6">
        <f>ROW()</f>
        <v>380</v>
      </c>
      <c r="B380" s="7" t="s">
        <v>380</v>
      </c>
      <c r="C380" s="5" t="s">
        <v>465</v>
      </c>
      <c r="D380" s="8" t="s">
        <v>825</v>
      </c>
      <c r="E380" s="5" t="s">
        <v>897</v>
      </c>
      <c r="F380" s="11" t="s">
        <v>907</v>
      </c>
      <c r="G380" s="5" t="str">
        <f t="shared" si="26"/>
        <v>TXT SS MONSTERNIVEAU</v>
      </c>
      <c r="H380" s="5" t="str">
        <f t="shared" si="27"/>
        <v>[m NAP]</v>
      </c>
      <c r="I380" s="5" t="s">
        <v>2639</v>
      </c>
      <c r="J380" s="5" t="s">
        <v>2640</v>
      </c>
      <c r="K380" s="6">
        <v>1</v>
      </c>
      <c r="L380" s="9"/>
      <c r="M380" s="5" t="s">
        <v>3036</v>
      </c>
      <c r="P380" s="17"/>
      <c r="Q380" s="17"/>
      <c r="R380" s="17"/>
      <c r="S380" s="18"/>
      <c r="T380" s="18"/>
      <c r="U380" s="17"/>
      <c r="V380" s="19"/>
      <c r="W380" s="17"/>
      <c r="X380" s="17"/>
      <c r="Y380" s="17"/>
      <c r="Z380" s="17"/>
      <c r="AA380" s="17"/>
      <c r="AB380" s="18"/>
      <c r="AC380" s="17"/>
      <c r="AD380" s="17"/>
    </row>
    <row r="381" spans="1:30" ht="25.5">
      <c r="A381" s="6">
        <f>ROW()</f>
        <v>381</v>
      </c>
      <c r="B381" s="7" t="s">
        <v>381</v>
      </c>
      <c r="C381" s="5" t="s">
        <v>470</v>
      </c>
      <c r="D381" s="8" t="s">
        <v>784</v>
      </c>
      <c r="E381" s="5" t="s">
        <v>897</v>
      </c>
      <c r="G381" s="5" t="str">
        <f t="shared" si="26"/>
        <v>TXT SS TERREINSPANNING</v>
      </c>
      <c r="H381" s="5" t="str">
        <f t="shared" si="27"/>
        <v>[kPa]</v>
      </c>
      <c r="I381" s="5" t="s">
        <v>2639</v>
      </c>
      <c r="J381" s="5" t="s">
        <v>2640</v>
      </c>
      <c r="K381" s="6">
        <v>1</v>
      </c>
      <c r="L381" s="9"/>
      <c r="M381" s="5" t="s">
        <v>3037</v>
      </c>
      <c r="P381" s="17"/>
      <c r="Q381" s="17"/>
      <c r="R381" s="17"/>
      <c r="S381" s="18"/>
      <c r="T381" s="18"/>
      <c r="U381" s="17"/>
      <c r="V381" s="18"/>
      <c r="W381" s="17"/>
      <c r="X381" s="17"/>
      <c r="Y381" s="17"/>
      <c r="Z381" s="17"/>
      <c r="AA381" s="17"/>
      <c r="AB381" s="18"/>
      <c r="AC381" s="17"/>
      <c r="AD381" s="17"/>
    </row>
    <row r="382" spans="1:30" ht="25.5">
      <c r="A382" s="6">
        <f>ROW()</f>
        <v>382</v>
      </c>
      <c r="B382" s="7" t="s">
        <v>382</v>
      </c>
      <c r="C382" s="5" t="s">
        <v>467</v>
      </c>
      <c r="D382" s="8" t="s">
        <v>619</v>
      </c>
      <c r="E382" s="5" t="s">
        <v>897</v>
      </c>
      <c r="F382" s="11" t="s">
        <v>908</v>
      </c>
      <c r="G382" s="5" t="str">
        <f t="shared" si="26"/>
        <v>TXT SS VOLUMEGEWICHT NAT</v>
      </c>
      <c r="H382" s="5" t="str">
        <f t="shared" si="27"/>
        <v>[kN/m3]</v>
      </c>
      <c r="I382" s="5" t="s">
        <v>2639</v>
      </c>
      <c r="J382" s="5" t="s">
        <v>2640</v>
      </c>
      <c r="K382" s="6">
        <v>1</v>
      </c>
      <c r="L382" s="9"/>
      <c r="M382" s="5" t="s">
        <v>3038</v>
      </c>
      <c r="P382" s="17"/>
      <c r="Q382" s="17"/>
      <c r="R382" s="17"/>
      <c r="S382" s="18"/>
      <c r="T382" s="18"/>
      <c r="U382" s="17"/>
      <c r="V382" s="19"/>
      <c r="W382" s="17"/>
      <c r="X382" s="17"/>
      <c r="Y382" s="17"/>
      <c r="Z382" s="17"/>
      <c r="AA382" s="17"/>
      <c r="AB382" s="18"/>
      <c r="AC382" s="17"/>
      <c r="AD382" s="17"/>
    </row>
    <row r="383" spans="1:30" ht="25.5">
      <c r="A383" s="6">
        <f>ROW()</f>
        <v>383</v>
      </c>
      <c r="B383" s="7" t="s">
        <v>383</v>
      </c>
      <c r="C383" s="5" t="s">
        <v>467</v>
      </c>
      <c r="D383" s="8" t="s">
        <v>620</v>
      </c>
      <c r="E383" s="5" t="s">
        <v>897</v>
      </c>
      <c r="F383" s="11" t="s">
        <v>909</v>
      </c>
      <c r="G383" s="5" t="str">
        <f t="shared" si="26"/>
        <v>TXT SS VOLUMEGEWICHT DRG</v>
      </c>
      <c r="H383" s="5" t="str">
        <f t="shared" si="27"/>
        <v>[kN/m3]</v>
      </c>
      <c r="I383" s="5" t="s">
        <v>2639</v>
      </c>
      <c r="J383" s="5" t="s">
        <v>2640</v>
      </c>
      <c r="K383" s="6">
        <v>1</v>
      </c>
      <c r="L383" s="9"/>
      <c r="M383" s="5" t="s">
        <v>3039</v>
      </c>
      <c r="P383" s="17"/>
      <c r="Q383" s="17"/>
      <c r="R383" s="17"/>
      <c r="S383" s="18"/>
      <c r="T383" s="18"/>
      <c r="U383" s="17"/>
      <c r="V383" s="19"/>
      <c r="W383" s="17"/>
      <c r="X383" s="17"/>
      <c r="Y383" s="17"/>
      <c r="Z383" s="17"/>
      <c r="AA383" s="17"/>
      <c r="AB383" s="18"/>
      <c r="AC383" s="17"/>
      <c r="AD383" s="17"/>
    </row>
    <row r="384" spans="1:30" ht="25.5">
      <c r="A384" s="6">
        <f>ROW()</f>
        <v>384</v>
      </c>
      <c r="B384" s="7" t="s">
        <v>384</v>
      </c>
      <c r="C384" s="5" t="s">
        <v>468</v>
      </c>
      <c r="D384" s="8" t="s">
        <v>622</v>
      </c>
      <c r="E384" s="5" t="s">
        <v>897</v>
      </c>
      <c r="F384" s="11" t="s">
        <v>910</v>
      </c>
      <c r="G384" s="5" t="str">
        <f t="shared" si="26"/>
        <v>TXT SS WATERGEHALTE NA PROEF</v>
      </c>
      <c r="H384" s="5" t="str">
        <f t="shared" si="27"/>
        <v>[%]</v>
      </c>
      <c r="I384" s="5" t="s">
        <v>2639</v>
      </c>
      <c r="J384" s="5" t="s">
        <v>2640</v>
      </c>
      <c r="K384" s="6">
        <v>1</v>
      </c>
      <c r="L384" s="9"/>
      <c r="M384" s="5" t="s">
        <v>3040</v>
      </c>
      <c r="P384" s="17"/>
      <c r="Q384" s="17"/>
      <c r="R384" s="17"/>
      <c r="S384" s="18"/>
      <c r="T384" s="18"/>
      <c r="U384" s="17"/>
      <c r="V384" s="19"/>
      <c r="W384" s="17"/>
      <c r="X384" s="17"/>
      <c r="Y384" s="17"/>
      <c r="Z384" s="17"/>
      <c r="AA384" s="17"/>
      <c r="AB384" s="18"/>
      <c r="AC384" s="17"/>
      <c r="AD384" s="17"/>
    </row>
    <row r="385" spans="1:30" ht="25.5">
      <c r="A385" s="6">
        <f>ROW()</f>
        <v>385</v>
      </c>
      <c r="B385" s="7" t="s">
        <v>385</v>
      </c>
      <c r="C385" s="5" t="s">
        <v>468</v>
      </c>
      <c r="D385" s="8" t="s">
        <v>621</v>
      </c>
      <c r="E385" s="5" t="s">
        <v>897</v>
      </c>
      <c r="F385" s="11" t="s">
        <v>910</v>
      </c>
      <c r="G385" s="5" t="str">
        <f t="shared" si="26"/>
        <v>TXT SS WATERGEHALTE VOOR</v>
      </c>
      <c r="H385" s="5" t="str">
        <f t="shared" si="27"/>
        <v>[%]</v>
      </c>
      <c r="I385" s="5" t="s">
        <v>2639</v>
      </c>
      <c r="J385" s="5" t="s">
        <v>2640</v>
      </c>
      <c r="K385" s="6">
        <v>1</v>
      </c>
      <c r="L385" s="9"/>
      <c r="M385" s="5" t="s">
        <v>3041</v>
      </c>
      <c r="P385" s="17"/>
      <c r="Q385" s="17"/>
      <c r="R385" s="17"/>
      <c r="S385" s="18"/>
      <c r="T385" s="18"/>
      <c r="U385" s="17"/>
      <c r="V385" s="19"/>
      <c r="W385" s="17"/>
      <c r="X385" s="17"/>
      <c r="Y385" s="17"/>
      <c r="Z385" s="17"/>
      <c r="AA385" s="17"/>
      <c r="AB385" s="18"/>
      <c r="AC385" s="17"/>
      <c r="AD385" s="17"/>
    </row>
    <row r="386" spans="1:30" ht="25.5">
      <c r="A386" s="6">
        <f>ROW()</f>
        <v>386</v>
      </c>
      <c r="B386" s="7" t="s">
        <v>386</v>
      </c>
      <c r="C386" s="5" t="s">
        <v>468</v>
      </c>
      <c r="D386" s="8" t="s">
        <v>785</v>
      </c>
      <c r="E386" s="5" t="s">
        <v>897</v>
      </c>
      <c r="F386" s="8" t="s">
        <v>911</v>
      </c>
      <c r="G386" s="5" t="str">
        <f t="shared" si="26"/>
        <v>TXT SS VERZADIGINGSGRAAD VOOR</v>
      </c>
      <c r="H386" s="5" t="str">
        <f t="shared" si="27"/>
        <v>[%]</v>
      </c>
      <c r="I386" s="5" t="s">
        <v>2639</v>
      </c>
      <c r="J386" s="5" t="s">
        <v>2640</v>
      </c>
      <c r="K386" s="6">
        <v>1</v>
      </c>
      <c r="L386" s="9"/>
      <c r="M386" s="5" t="s">
        <v>2711</v>
      </c>
      <c r="P386" s="17"/>
      <c r="Q386" s="17"/>
      <c r="R386" s="17"/>
      <c r="S386" s="18"/>
      <c r="T386" s="18"/>
      <c r="U386" s="17"/>
      <c r="V386" s="18"/>
      <c r="W386" s="17"/>
      <c r="X386" s="17"/>
      <c r="Y386" s="17"/>
      <c r="Z386" s="17"/>
      <c r="AA386" s="17"/>
      <c r="AB386" s="18"/>
      <c r="AC386" s="17"/>
      <c r="AD386" s="17"/>
    </row>
    <row r="387" spans="1:30" ht="25.5">
      <c r="A387" s="6">
        <f>ROW()</f>
        <v>387</v>
      </c>
      <c r="B387" s="7" t="s">
        <v>387</v>
      </c>
      <c r="C387" s="5" t="s">
        <v>463</v>
      </c>
      <c r="D387" s="8" t="s">
        <v>786</v>
      </c>
      <c r="E387" s="5" t="s">
        <v>897</v>
      </c>
      <c r="F387" s="8" t="s">
        <v>912</v>
      </c>
      <c r="G387" s="5" t="str">
        <f t="shared" si="26"/>
        <v>TXT SS PORIENGETAL VOOR</v>
      </c>
      <c r="H387" s="5" t="str">
        <f t="shared" si="27"/>
        <v>[-]</v>
      </c>
      <c r="I387" s="5" t="s">
        <v>2639</v>
      </c>
      <c r="J387" s="5" t="s">
        <v>2640</v>
      </c>
      <c r="K387" s="6">
        <v>1</v>
      </c>
      <c r="L387" s="9"/>
      <c r="M387" s="5" t="s">
        <v>2711</v>
      </c>
      <c r="P387" s="17"/>
      <c r="Q387" s="17"/>
      <c r="R387" s="17"/>
      <c r="S387" s="18"/>
      <c r="T387" s="18"/>
      <c r="U387" s="17"/>
      <c r="V387" s="18"/>
      <c r="W387" s="17"/>
      <c r="X387" s="17"/>
      <c r="Y387" s="17"/>
      <c r="Z387" s="17"/>
      <c r="AA387" s="17"/>
      <c r="AB387" s="18"/>
      <c r="AC387" s="17"/>
      <c r="AD387" s="17"/>
    </row>
    <row r="388" spans="1:30" ht="25.5">
      <c r="A388" s="6">
        <f>ROW()</f>
        <v>388</v>
      </c>
      <c r="B388" s="7" t="s">
        <v>388</v>
      </c>
      <c r="C388" s="5" t="s">
        <v>469</v>
      </c>
      <c r="D388" s="8" t="s">
        <v>788</v>
      </c>
      <c r="E388" s="5" t="s">
        <v>897</v>
      </c>
      <c r="F388" s="8" t="s">
        <v>925</v>
      </c>
      <c r="G388" s="5" t="str">
        <f t="shared" ref="G388" si="30">SUBSTITUTE(B388,"_"," ")</f>
        <v>TXT SS SPECIFIEKE MASSA</v>
      </c>
      <c r="H388" s="5" t="str">
        <f t="shared" ref="H388" si="31">CONCATENATE("[",C388,"]")</f>
        <v>[kg/m3]</v>
      </c>
      <c r="I388" s="5" t="s">
        <v>2639</v>
      </c>
      <c r="J388" s="5" t="s">
        <v>2640</v>
      </c>
      <c r="K388" s="6">
        <v>1</v>
      </c>
      <c r="L388" s="9"/>
      <c r="M388" s="5" t="s">
        <v>2711</v>
      </c>
      <c r="P388" s="17"/>
      <c r="Q388" s="17"/>
      <c r="R388" s="17"/>
      <c r="S388" s="18"/>
      <c r="T388" s="18"/>
      <c r="U388" s="17"/>
      <c r="V388" s="18"/>
      <c r="W388" s="17"/>
      <c r="X388" s="17"/>
      <c r="Y388" s="17"/>
      <c r="Z388" s="17"/>
      <c r="AA388" s="17"/>
      <c r="AB388" s="18"/>
      <c r="AC388" s="17"/>
      <c r="AD388" s="17"/>
    </row>
    <row r="389" spans="1:30" ht="25.5">
      <c r="A389" s="6">
        <f>ROW()</f>
        <v>389</v>
      </c>
      <c r="B389" s="7" t="s">
        <v>389</v>
      </c>
      <c r="C389" s="5" t="s">
        <v>474</v>
      </c>
      <c r="D389" s="8" t="s">
        <v>624</v>
      </c>
      <c r="E389" s="5" t="s">
        <v>897</v>
      </c>
      <c r="F389" s="8" t="s">
        <v>929</v>
      </c>
      <c r="G389" s="5" t="str">
        <f t="shared" si="26"/>
        <v>TXT SS TEMPERATUUR PROEF MAX</v>
      </c>
      <c r="H389" s="5" t="str">
        <f t="shared" si="27"/>
        <v>[°C]</v>
      </c>
      <c r="I389" s="5" t="s">
        <v>2639</v>
      </c>
      <c r="J389" s="5" t="s">
        <v>2640</v>
      </c>
      <c r="K389" s="6">
        <v>1</v>
      </c>
      <c r="L389" s="9"/>
      <c r="M389" s="5" t="s">
        <v>3042</v>
      </c>
      <c r="P389" s="17"/>
      <c r="Q389" s="17"/>
      <c r="R389" s="17"/>
      <c r="S389" s="18"/>
      <c r="T389" s="18"/>
      <c r="U389" s="17"/>
      <c r="V389" s="18"/>
      <c r="W389" s="17"/>
      <c r="X389" s="17"/>
      <c r="Y389" s="17"/>
      <c r="Z389" s="17"/>
      <c r="AA389" s="17"/>
      <c r="AB389" s="18"/>
      <c r="AC389" s="17"/>
      <c r="AD389" s="17"/>
    </row>
    <row r="390" spans="1:30" ht="25.5">
      <c r="A390" s="6">
        <f>ROW()</f>
        <v>390</v>
      </c>
      <c r="B390" s="7" t="s">
        <v>390</v>
      </c>
      <c r="C390" s="5" t="s">
        <v>474</v>
      </c>
      <c r="D390" s="8" t="s">
        <v>625</v>
      </c>
      <c r="E390" s="5" t="s">
        <v>897</v>
      </c>
      <c r="F390" s="8" t="s">
        <v>929</v>
      </c>
      <c r="G390" s="5" t="str">
        <f t="shared" si="26"/>
        <v>TXT SS TEMPERATUUR PROEF MIN</v>
      </c>
      <c r="H390" s="5" t="str">
        <f t="shared" si="27"/>
        <v>[°C]</v>
      </c>
      <c r="I390" s="5" t="s">
        <v>2639</v>
      </c>
      <c r="J390" s="5" t="s">
        <v>2640</v>
      </c>
      <c r="K390" s="6">
        <v>1</v>
      </c>
      <c r="L390" s="9"/>
      <c r="M390" s="5" t="s">
        <v>3043</v>
      </c>
      <c r="P390" s="17"/>
      <c r="Q390" s="17"/>
      <c r="R390" s="17"/>
      <c r="S390" s="18"/>
      <c r="T390" s="18"/>
      <c r="U390" s="17"/>
      <c r="V390" s="18"/>
      <c r="W390" s="17"/>
      <c r="X390" s="17"/>
      <c r="Y390" s="17"/>
      <c r="Z390" s="17"/>
      <c r="AA390" s="17"/>
      <c r="AB390" s="18"/>
      <c r="AC390" s="17"/>
      <c r="AD390" s="17"/>
    </row>
    <row r="391" spans="1:30" ht="25.5">
      <c r="A391" s="6">
        <f>ROW()</f>
        <v>391</v>
      </c>
      <c r="B391" s="7" t="s">
        <v>391</v>
      </c>
      <c r="C391" s="5" t="s">
        <v>475</v>
      </c>
      <c r="D391" s="8" t="s">
        <v>826</v>
      </c>
      <c r="E391" s="5" t="s">
        <v>897</v>
      </c>
      <c r="F391" s="8" t="s">
        <v>915</v>
      </c>
      <c r="G391" s="5" t="str">
        <f t="shared" si="26"/>
        <v>TXT SS PROEFSTUKDIAMETER VOOR</v>
      </c>
      <c r="H391" s="5" t="str">
        <f t="shared" si="27"/>
        <v>[mm]</v>
      </c>
      <c r="I391" s="5" t="s">
        <v>2639</v>
      </c>
      <c r="J391" s="5" t="s">
        <v>2640</v>
      </c>
      <c r="K391" s="6">
        <v>1</v>
      </c>
      <c r="L391" s="9"/>
      <c r="M391" s="5" t="s">
        <v>3044</v>
      </c>
      <c r="P391" s="17"/>
      <c r="Q391" s="17"/>
      <c r="R391" s="17"/>
      <c r="S391" s="18"/>
      <c r="T391" s="18"/>
      <c r="U391" s="17"/>
      <c r="V391" s="18"/>
      <c r="W391" s="17"/>
      <c r="X391" s="17"/>
      <c r="Y391" s="17"/>
      <c r="Z391" s="17"/>
      <c r="AA391" s="17"/>
      <c r="AB391" s="18"/>
      <c r="AC391" s="17"/>
      <c r="AD391" s="17"/>
    </row>
    <row r="392" spans="1:30" ht="25.5">
      <c r="A392" s="6">
        <f>ROW()</f>
        <v>392</v>
      </c>
      <c r="B392" s="7" t="s">
        <v>392</v>
      </c>
      <c r="C392" s="5" t="s">
        <v>475</v>
      </c>
      <c r="D392" s="8" t="s">
        <v>827</v>
      </c>
      <c r="E392" s="5" t="s">
        <v>897</v>
      </c>
      <c r="F392" s="8" t="s">
        <v>915</v>
      </c>
      <c r="G392" s="5" t="str">
        <f t="shared" si="26"/>
        <v>TXT SS PROEFSTUKHOOGTE VOOR</v>
      </c>
      <c r="H392" s="5" t="str">
        <f t="shared" si="27"/>
        <v>[mm]</v>
      </c>
      <c r="I392" s="5" t="s">
        <v>2639</v>
      </c>
      <c r="J392" s="5" t="s">
        <v>2640</v>
      </c>
      <c r="K392" s="6">
        <v>1</v>
      </c>
      <c r="L392" s="9"/>
      <c r="M392" s="5" t="s">
        <v>3045</v>
      </c>
      <c r="P392" s="17"/>
      <c r="Q392" s="17"/>
      <c r="R392" s="17"/>
      <c r="S392" s="18"/>
      <c r="T392" s="18"/>
      <c r="U392" s="17"/>
      <c r="V392" s="18"/>
      <c r="W392" s="17"/>
      <c r="X392" s="17"/>
      <c r="Y392" s="17"/>
      <c r="Z392" s="17"/>
      <c r="AA392" s="17"/>
      <c r="AB392" s="18"/>
      <c r="AC392" s="17"/>
      <c r="AD392" s="17"/>
    </row>
    <row r="393" spans="1:30" ht="25.5">
      <c r="A393" s="6">
        <f>ROW()</f>
        <v>393</v>
      </c>
      <c r="B393" s="7" t="s">
        <v>393</v>
      </c>
      <c r="C393" s="5" t="s">
        <v>463</v>
      </c>
      <c r="D393" s="8" t="s">
        <v>828</v>
      </c>
      <c r="E393" s="5" t="s">
        <v>896</v>
      </c>
      <c r="G393" s="5" t="str">
        <f t="shared" si="26"/>
        <v>TXT SS TYPE PROEF</v>
      </c>
      <c r="H393" s="5" t="str">
        <f t="shared" si="27"/>
        <v>[-]</v>
      </c>
      <c r="I393" s="5" t="s">
        <v>2639</v>
      </c>
      <c r="J393" s="5" t="s">
        <v>2640</v>
      </c>
      <c r="K393" s="6">
        <v>1</v>
      </c>
      <c r="L393" s="9"/>
      <c r="M393" s="5" t="s">
        <v>3046</v>
      </c>
      <c r="P393" s="17"/>
      <c r="Q393" s="17"/>
      <c r="R393" s="17"/>
      <c r="S393" s="18"/>
      <c r="T393" s="18"/>
      <c r="U393" s="17"/>
      <c r="V393" s="18"/>
      <c r="W393" s="17"/>
      <c r="X393" s="17"/>
      <c r="Y393" s="17"/>
      <c r="Z393" s="17"/>
      <c r="AA393" s="17"/>
      <c r="AB393" s="18"/>
      <c r="AC393" s="17"/>
      <c r="AD393" s="17"/>
    </row>
    <row r="394" spans="1:30">
      <c r="A394" s="6">
        <f>ROW()</f>
        <v>394</v>
      </c>
      <c r="B394" s="7" t="s">
        <v>394</v>
      </c>
      <c r="C394" s="5" t="s">
        <v>463</v>
      </c>
      <c r="D394" s="8" t="s">
        <v>829</v>
      </c>
      <c r="E394" s="5" t="s">
        <v>896</v>
      </c>
      <c r="G394" s="5" t="str">
        <f t="shared" ref="G394:G457" si="32">SUBSTITUTE(B394,"_"," ")</f>
        <v>TXT SS MEMBRAANCORRECTIE</v>
      </c>
      <c r="H394" s="5" t="str">
        <f t="shared" ref="H394:H457" si="33">CONCATENATE("[",C394,"]")</f>
        <v>[-]</v>
      </c>
      <c r="I394" s="5" t="s">
        <v>2639</v>
      </c>
      <c r="J394" s="5" t="s">
        <v>2640</v>
      </c>
      <c r="K394" s="6">
        <v>1</v>
      </c>
      <c r="L394" s="9"/>
      <c r="M394" s="5" t="s">
        <v>3047</v>
      </c>
      <c r="P394" s="17"/>
      <c r="Q394" s="17"/>
      <c r="R394" s="17"/>
      <c r="S394" s="18"/>
      <c r="T394" s="18"/>
      <c r="U394" s="17"/>
      <c r="V394" s="18"/>
      <c r="W394" s="17"/>
      <c r="X394" s="17"/>
      <c r="Y394" s="17"/>
      <c r="Z394" s="17"/>
      <c r="AA394" s="17"/>
      <c r="AB394" s="18"/>
      <c r="AC394" s="17"/>
      <c r="AD394" s="17"/>
    </row>
    <row r="395" spans="1:30">
      <c r="A395" s="6">
        <f>ROW()</f>
        <v>395</v>
      </c>
      <c r="B395" s="7" t="s">
        <v>395</v>
      </c>
      <c r="C395" s="5" t="s">
        <v>463</v>
      </c>
      <c r="D395" s="8" t="s">
        <v>830</v>
      </c>
      <c r="E395" s="5" t="s">
        <v>896</v>
      </c>
      <c r="G395" s="5" t="str">
        <f t="shared" si="32"/>
        <v>TXT SS OVERIGECORRECTIES</v>
      </c>
      <c r="H395" s="5" t="str">
        <f t="shared" si="33"/>
        <v>[-]</v>
      </c>
      <c r="I395" s="5" t="s">
        <v>2639</v>
      </c>
      <c r="J395" s="5" t="s">
        <v>2640</v>
      </c>
      <c r="K395" s="6">
        <v>1</v>
      </c>
      <c r="L395" s="9"/>
      <c r="M395" s="5" t="s">
        <v>3048</v>
      </c>
      <c r="P395" s="17"/>
      <c r="Q395" s="17"/>
      <c r="R395" s="17"/>
      <c r="S395" s="18"/>
      <c r="T395" s="18"/>
      <c r="U395" s="17"/>
      <c r="V395" s="18"/>
      <c r="W395" s="17"/>
      <c r="X395" s="17"/>
      <c r="Y395" s="17"/>
      <c r="Z395" s="17"/>
      <c r="AA395" s="17"/>
      <c r="AB395" s="18"/>
      <c r="AC395" s="17"/>
      <c r="AD395" s="17"/>
    </row>
    <row r="396" spans="1:30">
      <c r="A396" s="6">
        <f>ROW()</f>
        <v>396</v>
      </c>
      <c r="B396" s="7" t="s">
        <v>396</v>
      </c>
      <c r="C396" s="5" t="s">
        <v>470</v>
      </c>
      <c r="D396" s="8" t="s">
        <v>831</v>
      </c>
      <c r="E396" s="5" t="s">
        <v>897</v>
      </c>
      <c r="G396" s="5" t="str">
        <f t="shared" si="32"/>
        <v>TXT SS BACKPRESSURE</v>
      </c>
      <c r="H396" s="5" t="str">
        <f t="shared" si="33"/>
        <v>[kPa]</v>
      </c>
      <c r="I396" s="5" t="s">
        <v>2639</v>
      </c>
      <c r="J396" s="5" t="s">
        <v>2640</v>
      </c>
      <c r="K396" s="6">
        <v>1</v>
      </c>
      <c r="L396" s="9"/>
      <c r="M396" s="5" t="s">
        <v>3049</v>
      </c>
      <c r="P396" s="17"/>
      <c r="Q396" s="17"/>
      <c r="R396" s="17"/>
      <c r="S396" s="18"/>
      <c r="T396" s="18"/>
      <c r="U396" s="17"/>
      <c r="V396" s="18"/>
      <c r="W396" s="17"/>
      <c r="X396" s="17"/>
      <c r="Y396" s="17"/>
      <c r="Z396" s="17"/>
      <c r="AA396" s="17"/>
      <c r="AB396" s="18"/>
      <c r="AC396" s="17"/>
      <c r="AD396" s="17"/>
    </row>
    <row r="397" spans="1:30" ht="51">
      <c r="A397" s="6">
        <f>ROW()</f>
        <v>397</v>
      </c>
      <c r="B397" s="7" t="s">
        <v>397</v>
      </c>
      <c r="C397" s="5" t="s">
        <v>463</v>
      </c>
      <c r="D397" s="8" t="s">
        <v>832</v>
      </c>
      <c r="E397" s="5" t="s">
        <v>896</v>
      </c>
      <c r="F397" s="8" t="s">
        <v>930</v>
      </c>
      <c r="G397" s="5" t="str">
        <f t="shared" si="32"/>
        <v>TXT SS CONSOLIDATIEWIJZE</v>
      </c>
      <c r="H397" s="5" t="str">
        <f t="shared" si="33"/>
        <v>[-]</v>
      </c>
      <c r="I397" s="5" t="s">
        <v>2639</v>
      </c>
      <c r="J397" s="5" t="s">
        <v>2640</v>
      </c>
      <c r="K397" s="6">
        <v>1</v>
      </c>
      <c r="L397" s="9"/>
      <c r="M397" s="5" t="s">
        <v>3050</v>
      </c>
      <c r="P397" s="17"/>
      <c r="Q397" s="17"/>
      <c r="R397" s="17"/>
      <c r="S397" s="18"/>
      <c r="T397" s="18"/>
      <c r="U397" s="17"/>
      <c r="V397" s="18"/>
      <c r="W397" s="17"/>
      <c r="X397" s="17"/>
      <c r="Y397" s="17"/>
      <c r="Z397" s="17"/>
      <c r="AA397" s="17"/>
      <c r="AB397" s="18"/>
      <c r="AC397" s="17"/>
      <c r="AD397" s="17"/>
    </row>
    <row r="398" spans="1:30">
      <c r="A398" s="6">
        <f>ROW()</f>
        <v>398</v>
      </c>
      <c r="B398" s="7" t="s">
        <v>398</v>
      </c>
      <c r="C398" s="5" t="s">
        <v>463</v>
      </c>
      <c r="D398" s="8" t="s">
        <v>833</v>
      </c>
      <c r="E398" s="5" t="s">
        <v>896</v>
      </c>
      <c r="G398" s="5" t="str">
        <f t="shared" si="32"/>
        <v>TXT SS SPANNINGSVERHOUDING STOPCR K</v>
      </c>
      <c r="H398" s="5" t="str">
        <f t="shared" si="33"/>
        <v>[-]</v>
      </c>
      <c r="I398" s="5" t="s">
        <v>2639</v>
      </c>
      <c r="J398" s="5" t="s">
        <v>2640</v>
      </c>
      <c r="K398" s="6">
        <v>1</v>
      </c>
      <c r="L398" s="9"/>
      <c r="M398" s="5" t="s">
        <v>3051</v>
      </c>
      <c r="P398" s="17"/>
      <c r="Q398" s="17"/>
      <c r="R398" s="17"/>
      <c r="S398" s="18"/>
      <c r="T398" s="18"/>
      <c r="U398" s="17"/>
      <c r="V398" s="18"/>
      <c r="W398" s="17"/>
      <c r="X398" s="17"/>
      <c r="Y398" s="17"/>
      <c r="Z398" s="17"/>
      <c r="AA398" s="17"/>
      <c r="AB398" s="18"/>
      <c r="AC398" s="17"/>
      <c r="AD398" s="17"/>
    </row>
    <row r="399" spans="1:30">
      <c r="A399" s="6">
        <f>ROW()</f>
        <v>399</v>
      </c>
      <c r="B399" s="7" t="s">
        <v>399</v>
      </c>
      <c r="C399" s="5" t="s">
        <v>463</v>
      </c>
      <c r="D399" s="8" t="s">
        <v>834</v>
      </c>
      <c r="E399" s="5" t="s">
        <v>896</v>
      </c>
      <c r="G399" s="5" t="str">
        <f t="shared" si="32"/>
        <v>TXT SS STOPCRITERIUM CONSOLIDATIE</v>
      </c>
      <c r="H399" s="5" t="str">
        <f t="shared" si="33"/>
        <v>[-]</v>
      </c>
      <c r="I399" s="5" t="s">
        <v>2639</v>
      </c>
      <c r="J399" s="5" t="s">
        <v>2640</v>
      </c>
      <c r="K399" s="6">
        <v>1</v>
      </c>
      <c r="L399" s="9"/>
      <c r="M399" s="5" t="s">
        <v>3052</v>
      </c>
      <c r="P399" s="17"/>
      <c r="Q399" s="17"/>
      <c r="R399" s="17"/>
      <c r="S399" s="18"/>
      <c r="T399" s="18"/>
      <c r="U399" s="17"/>
      <c r="V399" s="18"/>
      <c r="W399" s="17"/>
      <c r="X399" s="17"/>
      <c r="Y399" s="17"/>
      <c r="Z399" s="17"/>
      <c r="AA399" s="17"/>
      <c r="AB399" s="18"/>
      <c r="AC399" s="17"/>
      <c r="AD399" s="17"/>
    </row>
    <row r="400" spans="1:30" ht="25.5">
      <c r="A400" s="6">
        <f>ROW()</f>
        <v>400</v>
      </c>
      <c r="B400" s="7" t="s">
        <v>400</v>
      </c>
      <c r="C400" s="5" t="s">
        <v>470</v>
      </c>
      <c r="D400" s="8" t="s">
        <v>835</v>
      </c>
      <c r="E400" s="5" t="s">
        <v>897</v>
      </c>
      <c r="G400" s="5" t="str">
        <f t="shared" si="32"/>
        <v>TXT SS S' ISOTROOP CONSOLIDATIE</v>
      </c>
      <c r="H400" s="5" t="str">
        <f t="shared" si="33"/>
        <v>[kPa]</v>
      </c>
      <c r="I400" s="5" t="s">
        <v>2639</v>
      </c>
      <c r="J400" s="5" t="s">
        <v>2640</v>
      </c>
      <c r="K400" s="6">
        <v>1</v>
      </c>
      <c r="L400" s="9"/>
      <c r="M400" s="5" t="s">
        <v>3053</v>
      </c>
      <c r="P400" s="17"/>
      <c r="Q400" s="17"/>
      <c r="R400" s="17"/>
      <c r="S400" s="18"/>
      <c r="T400" s="18"/>
      <c r="U400" s="17"/>
      <c r="V400" s="18"/>
      <c r="W400" s="17"/>
      <c r="X400" s="17"/>
      <c r="Y400" s="17"/>
      <c r="Z400" s="17"/>
      <c r="AA400" s="17"/>
      <c r="AB400" s="18"/>
      <c r="AC400" s="17"/>
      <c r="AD400" s="17"/>
    </row>
    <row r="401" spans="1:30" ht="25.5">
      <c r="A401" s="6">
        <f>ROW()</f>
        <v>401</v>
      </c>
      <c r="B401" s="7" t="s">
        <v>401</v>
      </c>
      <c r="C401" s="5" t="s">
        <v>470</v>
      </c>
      <c r="D401" s="8" t="s">
        <v>836</v>
      </c>
      <c r="E401" s="5" t="s">
        <v>897</v>
      </c>
      <c r="G401" s="5" t="str">
        <f t="shared" si="32"/>
        <v>TXT SS T ISOTROOP CONSOLIDATIE</v>
      </c>
      <c r="H401" s="5" t="str">
        <f t="shared" si="33"/>
        <v>[kPa]</v>
      </c>
      <c r="I401" s="5" t="s">
        <v>2639</v>
      </c>
      <c r="J401" s="5" t="s">
        <v>2640</v>
      </c>
      <c r="K401" s="6">
        <v>1</v>
      </c>
      <c r="L401" s="9"/>
      <c r="M401" s="5" t="s">
        <v>3054</v>
      </c>
      <c r="P401" s="17"/>
      <c r="Q401" s="17"/>
      <c r="R401" s="17"/>
      <c r="S401" s="18"/>
      <c r="T401" s="18"/>
      <c r="U401" s="17"/>
      <c r="V401" s="18"/>
      <c r="W401" s="17"/>
      <c r="X401" s="17"/>
      <c r="Y401" s="17"/>
      <c r="Z401" s="17"/>
      <c r="AA401" s="17"/>
      <c r="AB401" s="18"/>
      <c r="AC401" s="17"/>
      <c r="AD401" s="17"/>
    </row>
    <row r="402" spans="1:30" ht="38.25">
      <c r="A402" s="6">
        <f>ROW()</f>
        <v>402</v>
      </c>
      <c r="B402" s="7" t="s">
        <v>402</v>
      </c>
      <c r="C402" s="5" t="s">
        <v>470</v>
      </c>
      <c r="D402" s="8" t="s">
        <v>837</v>
      </c>
      <c r="E402" s="5" t="s">
        <v>897</v>
      </c>
      <c r="G402" s="5" t="str">
        <f t="shared" si="32"/>
        <v>TXT SS S' MAX CONSOLIDATIE</v>
      </c>
      <c r="H402" s="5" t="str">
        <f t="shared" si="33"/>
        <v>[kPa]</v>
      </c>
      <c r="I402" s="5" t="s">
        <v>2639</v>
      </c>
      <c r="J402" s="5" t="s">
        <v>2640</v>
      </c>
      <c r="K402" s="6">
        <v>1</v>
      </c>
      <c r="L402" s="9"/>
      <c r="M402" s="5" t="s">
        <v>3055</v>
      </c>
      <c r="P402" s="17"/>
      <c r="Q402" s="17"/>
      <c r="R402" s="17"/>
      <c r="S402" s="18"/>
      <c r="T402" s="18"/>
      <c r="U402" s="17"/>
      <c r="V402" s="18"/>
      <c r="W402" s="17"/>
      <c r="X402" s="17"/>
      <c r="Y402" s="17"/>
      <c r="Z402" s="17"/>
      <c r="AA402" s="17"/>
      <c r="AB402" s="18"/>
      <c r="AC402" s="17"/>
      <c r="AD402" s="17"/>
    </row>
    <row r="403" spans="1:30" ht="25.5">
      <c r="A403" s="6">
        <f>ROW()</f>
        <v>403</v>
      </c>
      <c r="B403" s="7" t="s">
        <v>403</v>
      </c>
      <c r="C403" s="5" t="s">
        <v>470</v>
      </c>
      <c r="D403" s="8" t="s">
        <v>838</v>
      </c>
      <c r="E403" s="5" t="s">
        <v>897</v>
      </c>
      <c r="G403" s="5" t="str">
        <f t="shared" si="32"/>
        <v>TXT SS T MAX CONSOLIDATIE</v>
      </c>
      <c r="H403" s="5" t="str">
        <f t="shared" si="33"/>
        <v>[kPa]</v>
      </c>
      <c r="I403" s="5" t="s">
        <v>2639</v>
      </c>
      <c r="J403" s="5" t="s">
        <v>2640</v>
      </c>
      <c r="K403" s="6">
        <v>1</v>
      </c>
      <c r="L403" s="9"/>
      <c r="M403" s="5" t="s">
        <v>3056</v>
      </c>
      <c r="P403" s="17"/>
      <c r="Q403" s="17"/>
      <c r="R403" s="17"/>
      <c r="S403" s="18"/>
      <c r="T403" s="18"/>
      <c r="U403" s="17"/>
      <c r="V403" s="18"/>
      <c r="W403" s="17"/>
      <c r="X403" s="17"/>
      <c r="Y403" s="17"/>
      <c r="Z403" s="17"/>
      <c r="AA403" s="17"/>
      <c r="AB403" s="18"/>
      <c r="AC403" s="17"/>
      <c r="AD403" s="17"/>
    </row>
    <row r="404" spans="1:30" ht="25.5">
      <c r="A404" s="6">
        <f>ROW()</f>
        <v>404</v>
      </c>
      <c r="B404" s="7" t="s">
        <v>404</v>
      </c>
      <c r="C404" s="5" t="s">
        <v>470</v>
      </c>
      <c r="D404" s="8" t="s">
        <v>839</v>
      </c>
      <c r="E404" s="5" t="s">
        <v>897</v>
      </c>
      <c r="G404" s="5" t="str">
        <f t="shared" si="32"/>
        <v>TXT SS S' EIND CONSOLIDATIE</v>
      </c>
      <c r="H404" s="5" t="str">
        <f t="shared" si="33"/>
        <v>[kPa]</v>
      </c>
      <c r="I404" s="5" t="s">
        <v>2639</v>
      </c>
      <c r="J404" s="5" t="s">
        <v>2640</v>
      </c>
      <c r="K404" s="6">
        <v>1</v>
      </c>
      <c r="L404" s="9"/>
      <c r="M404" s="5" t="s">
        <v>3057</v>
      </c>
      <c r="P404" s="17"/>
      <c r="Q404" s="17"/>
      <c r="R404" s="17"/>
      <c r="S404" s="18"/>
      <c r="T404" s="18"/>
      <c r="U404" s="17"/>
      <c r="V404" s="18"/>
      <c r="W404" s="17"/>
      <c r="X404" s="17"/>
      <c r="Y404" s="17"/>
      <c r="Z404" s="17"/>
      <c r="AA404" s="17"/>
      <c r="AB404" s="18"/>
      <c r="AC404" s="17"/>
      <c r="AD404" s="17"/>
    </row>
    <row r="405" spans="1:30">
      <c r="A405" s="6">
        <f>ROW()</f>
        <v>405</v>
      </c>
      <c r="B405" s="7" t="s">
        <v>405</v>
      </c>
      <c r="C405" s="5" t="s">
        <v>470</v>
      </c>
      <c r="D405" s="8" t="s">
        <v>840</v>
      </c>
      <c r="E405" s="5" t="s">
        <v>897</v>
      </c>
      <c r="G405" s="5" t="str">
        <f t="shared" si="32"/>
        <v>TXT SS T EIND CONSOLIDATIE</v>
      </c>
      <c r="H405" s="5" t="str">
        <f t="shared" si="33"/>
        <v>[kPa]</v>
      </c>
      <c r="I405" s="5" t="s">
        <v>2639</v>
      </c>
      <c r="J405" s="5" t="s">
        <v>2640</v>
      </c>
      <c r="K405" s="6">
        <v>1</v>
      </c>
      <c r="L405" s="9"/>
      <c r="M405" s="5" t="s">
        <v>3058</v>
      </c>
      <c r="P405" s="17"/>
      <c r="Q405" s="17"/>
      <c r="R405" s="17"/>
      <c r="S405" s="18"/>
      <c r="T405" s="18"/>
      <c r="U405" s="17"/>
      <c r="V405" s="18"/>
      <c r="W405" s="17"/>
      <c r="X405" s="17"/>
      <c r="Y405" s="17"/>
      <c r="Z405" s="17"/>
      <c r="AA405" s="17"/>
      <c r="AB405" s="18"/>
      <c r="AC405" s="17"/>
      <c r="AD405" s="17"/>
    </row>
    <row r="406" spans="1:30" ht="25.5">
      <c r="A406" s="6">
        <f>ROW()</f>
        <v>406</v>
      </c>
      <c r="B406" s="7" t="s">
        <v>406</v>
      </c>
      <c r="C406" s="5" t="s">
        <v>463</v>
      </c>
      <c r="D406" s="8" t="s">
        <v>841</v>
      </c>
      <c r="E406" s="5" t="s">
        <v>897</v>
      </c>
      <c r="F406" s="11" t="s">
        <v>928</v>
      </c>
      <c r="G406" s="5" t="str">
        <f t="shared" si="32"/>
        <v>TXT SS OCR</v>
      </c>
      <c r="H406" s="5" t="str">
        <f t="shared" si="33"/>
        <v>[-]</v>
      </c>
      <c r="I406" s="5" t="s">
        <v>2639</v>
      </c>
      <c r="J406" s="5" t="s">
        <v>2640</v>
      </c>
      <c r="K406" s="6">
        <v>1</v>
      </c>
      <c r="L406" s="9"/>
      <c r="M406" s="5" t="s">
        <v>2711</v>
      </c>
      <c r="P406" s="17"/>
      <c r="Q406" s="17"/>
      <c r="R406" s="17"/>
      <c r="S406" s="18"/>
      <c r="T406" s="18"/>
      <c r="U406" s="17"/>
      <c r="V406" s="19"/>
      <c r="W406" s="17"/>
      <c r="X406" s="17"/>
      <c r="Y406" s="17"/>
      <c r="Z406" s="17"/>
      <c r="AA406" s="17"/>
      <c r="AB406" s="18"/>
      <c r="AC406" s="17"/>
      <c r="AD406" s="17"/>
    </row>
    <row r="407" spans="1:30">
      <c r="A407" s="6">
        <f>ROW()</f>
        <v>407</v>
      </c>
      <c r="B407" s="7" t="s">
        <v>407</v>
      </c>
      <c r="C407" s="5" t="s">
        <v>468</v>
      </c>
      <c r="D407" s="8" t="s">
        <v>842</v>
      </c>
      <c r="E407" s="5" t="s">
        <v>897</v>
      </c>
      <c r="F407" s="8" t="s">
        <v>911</v>
      </c>
      <c r="G407" s="5" t="str">
        <f t="shared" si="32"/>
        <v>TXT SS AXIALEREK CONSOLIDATIE</v>
      </c>
      <c r="H407" s="5" t="str">
        <f t="shared" si="33"/>
        <v>[%]</v>
      </c>
      <c r="I407" s="5" t="s">
        <v>2639</v>
      </c>
      <c r="J407" s="5" t="s">
        <v>2640</v>
      </c>
      <c r="K407" s="6">
        <v>1</v>
      </c>
      <c r="L407" s="9"/>
      <c r="M407" s="5" t="s">
        <v>3059</v>
      </c>
      <c r="P407" s="17"/>
      <c r="Q407" s="17"/>
      <c r="R407" s="17"/>
      <c r="S407" s="18"/>
      <c r="T407" s="18"/>
      <c r="U407" s="17"/>
      <c r="V407" s="18"/>
      <c r="W407" s="17"/>
      <c r="X407" s="17"/>
      <c r="Y407" s="17"/>
      <c r="Z407" s="17"/>
      <c r="AA407" s="17"/>
      <c r="AB407" s="18"/>
      <c r="AC407" s="17"/>
      <c r="AD407" s="17"/>
    </row>
    <row r="408" spans="1:30">
      <c r="A408" s="6">
        <f>ROW()</f>
        <v>408</v>
      </c>
      <c r="B408" s="7" t="s">
        <v>408</v>
      </c>
      <c r="C408" s="5" t="s">
        <v>468</v>
      </c>
      <c r="D408" s="8" t="s">
        <v>843</v>
      </c>
      <c r="E408" s="5" t="s">
        <v>897</v>
      </c>
      <c r="F408" s="8" t="s">
        <v>911</v>
      </c>
      <c r="G408" s="5" t="str">
        <f t="shared" si="32"/>
        <v>TXT SS VOLUMEREK CONSOLIDATIE</v>
      </c>
      <c r="H408" s="5" t="str">
        <f t="shared" si="33"/>
        <v>[%]</v>
      </c>
      <c r="I408" s="5" t="s">
        <v>2639</v>
      </c>
      <c r="J408" s="5" t="s">
        <v>2640</v>
      </c>
      <c r="K408" s="6">
        <v>1</v>
      </c>
      <c r="L408" s="9"/>
      <c r="M408" s="5" t="s">
        <v>3060</v>
      </c>
      <c r="P408" s="17"/>
      <c r="Q408" s="17"/>
      <c r="R408" s="17"/>
      <c r="S408" s="18"/>
      <c r="T408" s="18"/>
      <c r="U408" s="17"/>
      <c r="V408" s="18"/>
      <c r="W408" s="17"/>
      <c r="X408" s="17"/>
      <c r="Y408" s="17"/>
      <c r="Z408" s="17"/>
      <c r="AA408" s="17"/>
      <c r="AB408" s="18"/>
      <c r="AC408" s="17"/>
      <c r="AD408" s="17"/>
    </row>
    <row r="409" spans="1:30">
      <c r="A409" s="6">
        <f>ROW()</f>
        <v>409</v>
      </c>
      <c r="B409" s="7" t="s">
        <v>409</v>
      </c>
      <c r="C409" s="5" t="s">
        <v>468</v>
      </c>
      <c r="D409" s="8" t="s">
        <v>844</v>
      </c>
      <c r="E409" s="5" t="s">
        <v>897</v>
      </c>
      <c r="F409" s="8" t="s">
        <v>911</v>
      </c>
      <c r="G409" s="5" t="str">
        <f t="shared" si="32"/>
        <v>TXT SS STOPCRITERIUM AFSCHUIVEN</v>
      </c>
      <c r="H409" s="5" t="str">
        <f t="shared" si="33"/>
        <v>[%]</v>
      </c>
      <c r="I409" s="5" t="s">
        <v>2639</v>
      </c>
      <c r="J409" s="5" t="s">
        <v>2640</v>
      </c>
      <c r="K409" s="6">
        <v>1</v>
      </c>
      <c r="L409" s="9"/>
      <c r="M409" s="5" t="s">
        <v>3061</v>
      </c>
      <c r="P409" s="17"/>
      <c r="Q409" s="17"/>
      <c r="R409" s="17"/>
      <c r="S409" s="18"/>
      <c r="T409" s="18"/>
      <c r="U409" s="17"/>
      <c r="V409" s="18"/>
      <c r="W409" s="17"/>
      <c r="X409" s="17"/>
      <c r="Y409" s="17"/>
      <c r="Z409" s="17"/>
      <c r="AA409" s="17"/>
      <c r="AB409" s="18"/>
      <c r="AC409" s="17"/>
      <c r="AD409" s="17"/>
    </row>
    <row r="410" spans="1:30">
      <c r="A410" s="6">
        <f>ROW()</f>
        <v>410</v>
      </c>
      <c r="B410" s="7" t="s">
        <v>410</v>
      </c>
      <c r="C410" s="5" t="s">
        <v>476</v>
      </c>
      <c r="D410" s="8" t="s">
        <v>845</v>
      </c>
      <c r="E410" s="5" t="s">
        <v>897</v>
      </c>
      <c r="G410" s="5" t="str">
        <f t="shared" si="32"/>
        <v>TXT SS AXIALEREKSNELHEID AFSCHUIVEN</v>
      </c>
      <c r="H410" s="5" t="str">
        <f t="shared" si="33"/>
        <v>[%/uur]</v>
      </c>
      <c r="I410" s="5" t="s">
        <v>2639</v>
      </c>
      <c r="J410" s="5" t="s">
        <v>2640</v>
      </c>
      <c r="K410" s="6">
        <v>1</v>
      </c>
      <c r="L410" s="9"/>
      <c r="M410" s="5" t="s">
        <v>3062</v>
      </c>
      <c r="P410" s="17"/>
      <c r="Q410" s="17"/>
      <c r="R410" s="17"/>
      <c r="S410" s="18"/>
      <c r="T410" s="18"/>
      <c r="U410" s="17"/>
      <c r="V410" s="18"/>
      <c r="W410" s="17"/>
      <c r="X410" s="17"/>
      <c r="Y410" s="17"/>
      <c r="Z410" s="17"/>
      <c r="AA410" s="17"/>
      <c r="AB410" s="18"/>
      <c r="AC410" s="17"/>
      <c r="AD410" s="17"/>
    </row>
    <row r="411" spans="1:30">
      <c r="A411" s="6">
        <f>ROW()</f>
        <v>411</v>
      </c>
      <c r="B411" s="7" t="s">
        <v>411</v>
      </c>
      <c r="C411" s="5" t="s">
        <v>470</v>
      </c>
      <c r="D411" s="8" t="s">
        <v>846</v>
      </c>
      <c r="E411" s="5" t="s">
        <v>897</v>
      </c>
      <c r="G411" s="5" t="str">
        <f t="shared" si="32"/>
        <v>TXT SS S' 2%</v>
      </c>
      <c r="H411" s="5" t="str">
        <f t="shared" si="33"/>
        <v>[kPa]</v>
      </c>
      <c r="I411" s="5" t="s">
        <v>2639</v>
      </c>
      <c r="J411" s="5" t="s">
        <v>2640</v>
      </c>
      <c r="K411" s="6">
        <v>2</v>
      </c>
      <c r="L411" s="9"/>
      <c r="M411" s="5" t="s">
        <v>3063</v>
      </c>
      <c r="P411" s="17"/>
      <c r="Q411" s="17"/>
      <c r="R411" s="17"/>
      <c r="S411" s="18"/>
      <c r="T411" s="18"/>
      <c r="U411" s="17"/>
      <c r="V411" s="18"/>
      <c r="W411" s="17"/>
      <c r="X411" s="17"/>
      <c r="Y411" s="17"/>
      <c r="Z411" s="17"/>
      <c r="AA411" s="17"/>
      <c r="AB411" s="18"/>
      <c r="AC411" s="17"/>
      <c r="AD411" s="17"/>
    </row>
    <row r="412" spans="1:30">
      <c r="A412" s="6">
        <f>ROW()</f>
        <v>412</v>
      </c>
      <c r="B412" s="7" t="s">
        <v>412</v>
      </c>
      <c r="C412" s="5" t="s">
        <v>470</v>
      </c>
      <c r="D412" s="8" t="s">
        <v>847</v>
      </c>
      <c r="E412" s="5" t="s">
        <v>897</v>
      </c>
      <c r="G412" s="5" t="str">
        <f t="shared" si="32"/>
        <v>TXT SS T 2%</v>
      </c>
      <c r="H412" s="5" t="str">
        <f t="shared" si="33"/>
        <v>[kPa]</v>
      </c>
      <c r="I412" s="5" t="s">
        <v>2639</v>
      </c>
      <c r="J412" s="5" t="s">
        <v>2640</v>
      </c>
      <c r="K412" s="6">
        <v>2</v>
      </c>
      <c r="L412" s="9"/>
      <c r="M412" s="5" t="s">
        <v>3064</v>
      </c>
      <c r="P412" s="17"/>
      <c r="Q412" s="17"/>
      <c r="R412" s="17"/>
      <c r="S412" s="18"/>
      <c r="T412" s="18"/>
      <c r="U412" s="17"/>
      <c r="V412" s="18"/>
      <c r="W412" s="17"/>
      <c r="X412" s="17"/>
      <c r="Y412" s="17"/>
      <c r="Z412" s="17"/>
      <c r="AA412" s="17"/>
      <c r="AB412" s="18"/>
      <c r="AC412" s="17"/>
      <c r="AD412" s="17"/>
    </row>
    <row r="413" spans="1:30">
      <c r="A413" s="6">
        <f>ROW()</f>
        <v>413</v>
      </c>
      <c r="B413" s="7" t="s">
        <v>413</v>
      </c>
      <c r="C413" s="5" t="s">
        <v>470</v>
      </c>
      <c r="D413" s="8" t="s">
        <v>848</v>
      </c>
      <c r="E413" s="5" t="s">
        <v>897</v>
      </c>
      <c r="G413" s="5" t="str">
        <f t="shared" si="32"/>
        <v>TXT SS S' 5%</v>
      </c>
      <c r="H413" s="5" t="str">
        <f t="shared" si="33"/>
        <v>[kPa]</v>
      </c>
      <c r="I413" s="5" t="s">
        <v>2639</v>
      </c>
      <c r="J413" s="5" t="s">
        <v>2640</v>
      </c>
      <c r="K413" s="6">
        <v>2</v>
      </c>
      <c r="L413" s="9"/>
      <c r="M413" s="5" t="s">
        <v>3065</v>
      </c>
      <c r="P413" s="17"/>
      <c r="Q413" s="17"/>
      <c r="R413" s="17"/>
      <c r="S413" s="18"/>
      <c r="T413" s="18"/>
      <c r="U413" s="17"/>
      <c r="V413" s="18"/>
      <c r="W413" s="17"/>
      <c r="X413" s="17"/>
      <c r="Y413" s="17"/>
      <c r="Z413" s="17"/>
      <c r="AA413" s="17"/>
      <c r="AB413" s="18"/>
      <c r="AC413" s="17"/>
      <c r="AD413" s="17"/>
    </row>
    <row r="414" spans="1:30">
      <c r="A414" s="6">
        <f>ROW()</f>
        <v>414</v>
      </c>
      <c r="B414" s="7" t="s">
        <v>414</v>
      </c>
      <c r="C414" s="5" t="s">
        <v>470</v>
      </c>
      <c r="D414" s="8" t="s">
        <v>849</v>
      </c>
      <c r="E414" s="5" t="s">
        <v>897</v>
      </c>
      <c r="G414" s="5" t="str">
        <f t="shared" si="32"/>
        <v>TXT SS T 5%</v>
      </c>
      <c r="H414" s="5" t="str">
        <f t="shared" si="33"/>
        <v>[kPa]</v>
      </c>
      <c r="I414" s="5" t="s">
        <v>2639</v>
      </c>
      <c r="J414" s="5" t="s">
        <v>2640</v>
      </c>
      <c r="K414" s="6">
        <v>2</v>
      </c>
      <c r="L414" s="9"/>
      <c r="M414" s="5" t="s">
        <v>3066</v>
      </c>
      <c r="P414" s="17"/>
      <c r="Q414" s="17"/>
      <c r="R414" s="17"/>
      <c r="S414" s="18"/>
      <c r="T414" s="18"/>
      <c r="U414" s="17"/>
      <c r="V414" s="18"/>
      <c r="W414" s="17"/>
      <c r="X414" s="17"/>
      <c r="Y414" s="17"/>
      <c r="Z414" s="17"/>
      <c r="AA414" s="17"/>
      <c r="AB414" s="18"/>
      <c r="AC414" s="17"/>
      <c r="AD414" s="17"/>
    </row>
    <row r="415" spans="1:30">
      <c r="A415" s="6">
        <f>ROW()</f>
        <v>415</v>
      </c>
      <c r="B415" s="7" t="s">
        <v>415</v>
      </c>
      <c r="C415" s="5" t="s">
        <v>470</v>
      </c>
      <c r="D415" s="8" t="s">
        <v>850</v>
      </c>
      <c r="E415" s="5" t="s">
        <v>897</v>
      </c>
      <c r="G415" s="5" t="str">
        <f t="shared" si="32"/>
        <v>TXT SS S' 15%</v>
      </c>
      <c r="H415" s="5" t="str">
        <f t="shared" si="33"/>
        <v>[kPa]</v>
      </c>
      <c r="I415" s="5" t="s">
        <v>2639</v>
      </c>
      <c r="J415" s="5" t="s">
        <v>2640</v>
      </c>
      <c r="K415" s="6">
        <v>2</v>
      </c>
      <c r="L415" s="9"/>
      <c r="M415" s="5" t="s">
        <v>3067</v>
      </c>
      <c r="P415" s="17"/>
      <c r="Q415" s="17"/>
      <c r="R415" s="17"/>
      <c r="S415" s="18"/>
      <c r="T415" s="18"/>
      <c r="U415" s="17"/>
      <c r="V415" s="18"/>
      <c r="W415" s="17"/>
      <c r="X415" s="17"/>
      <c r="Y415" s="17"/>
      <c r="Z415" s="17"/>
      <c r="AA415" s="17"/>
      <c r="AB415" s="18"/>
      <c r="AC415" s="17"/>
      <c r="AD415" s="17"/>
    </row>
    <row r="416" spans="1:30">
      <c r="A416" s="6">
        <f>ROW()</f>
        <v>416</v>
      </c>
      <c r="B416" s="7" t="s">
        <v>416</v>
      </c>
      <c r="C416" s="5" t="s">
        <v>470</v>
      </c>
      <c r="D416" s="8" t="s">
        <v>851</v>
      </c>
      <c r="E416" s="5" t="s">
        <v>897</v>
      </c>
      <c r="G416" s="5" t="str">
        <f t="shared" si="32"/>
        <v>TXT SS T 15%</v>
      </c>
      <c r="H416" s="5" t="str">
        <f t="shared" si="33"/>
        <v>[kPa]</v>
      </c>
      <c r="I416" s="5" t="s">
        <v>2639</v>
      </c>
      <c r="J416" s="5" t="s">
        <v>2640</v>
      </c>
      <c r="K416" s="6">
        <v>2</v>
      </c>
      <c r="L416" s="9"/>
      <c r="M416" s="5" t="s">
        <v>3068</v>
      </c>
      <c r="P416" s="17"/>
      <c r="Q416" s="17"/>
      <c r="R416" s="17"/>
      <c r="S416" s="18"/>
      <c r="T416" s="18"/>
      <c r="U416" s="17"/>
      <c r="V416" s="18"/>
      <c r="W416" s="17"/>
      <c r="X416" s="17"/>
      <c r="Y416" s="17"/>
      <c r="Z416" s="17"/>
      <c r="AA416" s="17"/>
      <c r="AB416" s="18"/>
      <c r="AC416" s="17"/>
      <c r="AD416" s="17"/>
    </row>
    <row r="417" spans="1:30" ht="25.5">
      <c r="A417" s="6">
        <f>ROW()</f>
        <v>417</v>
      </c>
      <c r="B417" s="7" t="s">
        <v>417</v>
      </c>
      <c r="C417" s="5" t="s">
        <v>470</v>
      </c>
      <c r="D417" s="8" t="s">
        <v>852</v>
      </c>
      <c r="E417" s="5" t="s">
        <v>897</v>
      </c>
      <c r="G417" s="5" t="str">
        <f t="shared" si="32"/>
        <v>TXT SS S' BIJ T PIEK</v>
      </c>
      <c r="H417" s="5" t="str">
        <f t="shared" si="33"/>
        <v>[kPa]</v>
      </c>
      <c r="I417" s="5" t="s">
        <v>2639</v>
      </c>
      <c r="J417" s="5" t="s">
        <v>2640</v>
      </c>
      <c r="K417" s="6">
        <v>2</v>
      </c>
      <c r="L417" s="9"/>
      <c r="M417" s="5" t="s">
        <v>3069</v>
      </c>
      <c r="P417" s="17"/>
      <c r="Q417" s="17"/>
      <c r="R417" s="17"/>
      <c r="S417" s="18"/>
      <c r="T417" s="18"/>
      <c r="U417" s="17"/>
      <c r="V417" s="18"/>
      <c r="W417" s="17"/>
      <c r="X417" s="17"/>
      <c r="Y417" s="17"/>
      <c r="Z417" s="17"/>
      <c r="AA417" s="17"/>
      <c r="AB417" s="18"/>
      <c r="AC417" s="17"/>
      <c r="AD417" s="17"/>
    </row>
    <row r="418" spans="1:30">
      <c r="A418" s="6">
        <f>ROW()</f>
        <v>418</v>
      </c>
      <c r="B418" s="7" t="s">
        <v>418</v>
      </c>
      <c r="C418" s="5" t="s">
        <v>470</v>
      </c>
      <c r="D418" s="8" t="s">
        <v>853</v>
      </c>
      <c r="E418" s="5" t="s">
        <v>897</v>
      </c>
      <c r="G418" s="5" t="str">
        <f t="shared" si="32"/>
        <v>TXT SS T PIEK</v>
      </c>
      <c r="H418" s="5" t="str">
        <f t="shared" si="33"/>
        <v>[kPa]</v>
      </c>
      <c r="I418" s="5" t="s">
        <v>2639</v>
      </c>
      <c r="J418" s="5" t="s">
        <v>2640</v>
      </c>
      <c r="K418" s="6">
        <v>2</v>
      </c>
      <c r="L418" s="9"/>
      <c r="M418" s="5" t="s">
        <v>3070</v>
      </c>
      <c r="P418" s="17"/>
      <c r="Q418" s="17"/>
      <c r="R418" s="17"/>
      <c r="S418" s="18"/>
      <c r="T418" s="18"/>
      <c r="U418" s="17"/>
      <c r="V418" s="18"/>
      <c r="W418" s="17"/>
      <c r="X418" s="17"/>
      <c r="Y418" s="17"/>
      <c r="Z418" s="17"/>
      <c r="AA418" s="17"/>
      <c r="AB418" s="18"/>
      <c r="AC418" s="17"/>
      <c r="AD418" s="17"/>
    </row>
    <row r="419" spans="1:30">
      <c r="A419" s="6">
        <f>ROW()</f>
        <v>419</v>
      </c>
      <c r="B419" s="7" t="s">
        <v>419</v>
      </c>
      <c r="C419" s="5" t="s">
        <v>468</v>
      </c>
      <c r="D419" s="8" t="s">
        <v>854</v>
      </c>
      <c r="E419" s="5" t="s">
        <v>897</v>
      </c>
      <c r="F419" s="8" t="s">
        <v>911</v>
      </c>
      <c r="G419" s="5" t="str">
        <f t="shared" si="32"/>
        <v>TXT SS REK BIJ T PIEK</v>
      </c>
      <c r="H419" s="5" t="str">
        <f t="shared" si="33"/>
        <v>[%]</v>
      </c>
      <c r="I419" s="5" t="s">
        <v>2639</v>
      </c>
      <c r="J419" s="5" t="s">
        <v>2640</v>
      </c>
      <c r="K419" s="6">
        <v>2</v>
      </c>
      <c r="L419" s="9"/>
      <c r="M419" s="5" t="s">
        <v>3071</v>
      </c>
      <c r="P419" s="17"/>
      <c r="Q419" s="17"/>
      <c r="R419" s="17"/>
      <c r="S419" s="18"/>
      <c r="T419" s="18"/>
      <c r="U419" s="17"/>
      <c r="V419" s="18"/>
      <c r="W419" s="17"/>
      <c r="X419" s="17"/>
      <c r="Y419" s="17"/>
      <c r="Z419" s="17"/>
      <c r="AA419" s="17"/>
      <c r="AB419" s="18"/>
      <c r="AC419" s="17"/>
      <c r="AD419" s="17"/>
    </row>
    <row r="420" spans="1:30" ht="25.5">
      <c r="A420" s="6">
        <f>ROW()</f>
        <v>420</v>
      </c>
      <c r="B420" s="7" t="s">
        <v>420</v>
      </c>
      <c r="C420" s="5" t="s">
        <v>470</v>
      </c>
      <c r="D420" s="8" t="s">
        <v>855</v>
      </c>
      <c r="E420" s="5" t="s">
        <v>897</v>
      </c>
      <c r="G420" s="5" t="str">
        <f t="shared" si="32"/>
        <v>TXT SS S' BIJ T EIND</v>
      </c>
      <c r="H420" s="5" t="str">
        <f t="shared" si="33"/>
        <v>[kPa]</v>
      </c>
      <c r="I420" s="5" t="s">
        <v>2639</v>
      </c>
      <c r="J420" s="5" t="s">
        <v>2640</v>
      </c>
      <c r="K420" s="6">
        <v>2</v>
      </c>
      <c r="L420" s="9"/>
      <c r="M420" s="5" t="s">
        <v>3072</v>
      </c>
      <c r="P420" s="17"/>
      <c r="Q420" s="17"/>
      <c r="R420" s="17"/>
      <c r="S420" s="18"/>
      <c r="T420" s="18"/>
      <c r="U420" s="17"/>
      <c r="V420" s="18"/>
      <c r="W420" s="17"/>
      <c r="X420" s="17"/>
      <c r="Y420" s="17"/>
      <c r="Z420" s="17"/>
      <c r="AA420" s="17"/>
      <c r="AB420" s="18"/>
      <c r="AC420" s="17"/>
      <c r="AD420" s="17"/>
    </row>
    <row r="421" spans="1:30">
      <c r="A421" s="6">
        <f>ROW()</f>
        <v>421</v>
      </c>
      <c r="B421" s="7" t="s">
        <v>421</v>
      </c>
      <c r="C421" s="5" t="s">
        <v>470</v>
      </c>
      <c r="D421" s="8" t="s">
        <v>856</v>
      </c>
      <c r="E421" s="5" t="s">
        <v>897</v>
      </c>
      <c r="G421" s="5" t="str">
        <f t="shared" si="32"/>
        <v>TXT SS T EIND</v>
      </c>
      <c r="H421" s="5" t="str">
        <f t="shared" si="33"/>
        <v>[kPa]</v>
      </c>
      <c r="I421" s="5" t="s">
        <v>2639</v>
      </c>
      <c r="J421" s="5" t="s">
        <v>2640</v>
      </c>
      <c r="K421" s="6">
        <v>2</v>
      </c>
      <c r="L421" s="9"/>
      <c r="M421" s="5" t="s">
        <v>3073</v>
      </c>
      <c r="P421" s="17"/>
      <c r="Q421" s="17"/>
      <c r="R421" s="17"/>
      <c r="S421" s="18"/>
      <c r="T421" s="18"/>
      <c r="U421" s="17"/>
      <c r="V421" s="18"/>
      <c r="W421" s="17"/>
      <c r="X421" s="17"/>
      <c r="Y421" s="17"/>
      <c r="Z421" s="17"/>
      <c r="AA421" s="17"/>
      <c r="AB421" s="18"/>
      <c r="AC421" s="17"/>
      <c r="AD421" s="17"/>
    </row>
    <row r="422" spans="1:30">
      <c r="A422" s="6">
        <f>ROW()</f>
        <v>422</v>
      </c>
      <c r="B422" s="7" t="s">
        <v>422</v>
      </c>
      <c r="C422" s="5" t="s">
        <v>468</v>
      </c>
      <c r="D422" s="8" t="s">
        <v>857</v>
      </c>
      <c r="E422" s="5" t="s">
        <v>897</v>
      </c>
      <c r="G422" s="5" t="str">
        <f t="shared" si="32"/>
        <v>TXT SS REK BIJ T EIND</v>
      </c>
      <c r="H422" s="5" t="str">
        <f t="shared" si="33"/>
        <v>[%]</v>
      </c>
      <c r="I422" s="5" t="s">
        <v>2639</v>
      </c>
      <c r="J422" s="5" t="s">
        <v>2640</v>
      </c>
      <c r="K422" s="6">
        <v>2</v>
      </c>
      <c r="L422" s="9"/>
      <c r="M422" s="5" t="s">
        <v>3074</v>
      </c>
      <c r="P422" s="17"/>
      <c r="Q422" s="17"/>
      <c r="R422" s="17"/>
      <c r="S422" s="18"/>
      <c r="T422" s="18"/>
      <c r="U422" s="17"/>
      <c r="V422" s="18"/>
      <c r="W422" s="17"/>
      <c r="X422" s="17"/>
      <c r="Y422" s="17"/>
      <c r="Z422" s="17"/>
      <c r="AA422" s="17"/>
      <c r="AB422" s="18"/>
      <c r="AC422" s="17"/>
      <c r="AD422" s="17"/>
    </row>
    <row r="423" spans="1:30" ht="38.25">
      <c r="A423" s="6">
        <f>ROW()</f>
        <v>423</v>
      </c>
      <c r="B423" s="7" t="s">
        <v>423</v>
      </c>
      <c r="C423" s="5" t="s">
        <v>482</v>
      </c>
      <c r="D423" s="8" t="s">
        <v>858</v>
      </c>
      <c r="E423" s="5" t="s">
        <v>897</v>
      </c>
      <c r="G423" s="5" t="str">
        <f t="shared" si="32"/>
        <v>TXT SS E UNDR50</v>
      </c>
      <c r="H423" s="5" t="str">
        <f t="shared" si="33"/>
        <v>[MPa]</v>
      </c>
      <c r="I423" s="5" t="s">
        <v>2639</v>
      </c>
      <c r="J423" s="5" t="s">
        <v>2640</v>
      </c>
      <c r="K423" s="6">
        <v>2</v>
      </c>
      <c r="L423" s="9"/>
      <c r="M423" s="5" t="s">
        <v>3075</v>
      </c>
      <c r="P423" s="17"/>
      <c r="Q423" s="17"/>
      <c r="R423" s="17"/>
      <c r="S423" s="18"/>
      <c r="T423" s="18"/>
      <c r="U423" s="17"/>
      <c r="V423" s="18"/>
      <c r="W423" s="17"/>
      <c r="X423" s="17"/>
      <c r="Y423" s="17"/>
      <c r="Z423" s="17"/>
      <c r="AA423" s="17"/>
      <c r="AB423" s="18"/>
      <c r="AC423" s="17"/>
      <c r="AD423" s="17"/>
    </row>
    <row r="424" spans="1:30">
      <c r="A424" s="6">
        <f>ROW()</f>
        <v>424</v>
      </c>
      <c r="B424" s="7" t="s">
        <v>424</v>
      </c>
      <c r="C424" s="5" t="s">
        <v>468</v>
      </c>
      <c r="D424" s="8" t="s">
        <v>859</v>
      </c>
      <c r="E424" s="5" t="s">
        <v>897</v>
      </c>
      <c r="F424" s="8" t="s">
        <v>911</v>
      </c>
      <c r="G424" s="5" t="str">
        <f t="shared" si="32"/>
        <v>TXT SS REK BIJ E UNDR50</v>
      </c>
      <c r="H424" s="5" t="str">
        <f t="shared" si="33"/>
        <v>[%]</v>
      </c>
      <c r="I424" s="5" t="s">
        <v>2639</v>
      </c>
      <c r="J424" s="5" t="s">
        <v>2640</v>
      </c>
      <c r="K424" s="6">
        <v>2</v>
      </c>
      <c r="L424" s="9"/>
      <c r="M424" s="5" t="s">
        <v>3076</v>
      </c>
      <c r="P424" s="17"/>
      <c r="Q424" s="17"/>
      <c r="R424" s="17"/>
      <c r="S424" s="18"/>
      <c r="T424" s="18"/>
      <c r="U424" s="17"/>
      <c r="V424" s="18"/>
      <c r="W424" s="17"/>
      <c r="X424" s="17"/>
      <c r="Y424" s="17"/>
      <c r="Z424" s="17"/>
      <c r="AA424" s="17"/>
      <c r="AB424" s="18"/>
      <c r="AC424" s="17"/>
      <c r="AD424" s="17"/>
    </row>
    <row r="425" spans="1:30" ht="25.5">
      <c r="A425" s="6">
        <f>ROW()</f>
        <v>425</v>
      </c>
      <c r="B425" s="7" t="s">
        <v>425</v>
      </c>
      <c r="C425" s="5" t="s">
        <v>463</v>
      </c>
      <c r="D425" s="8" t="s">
        <v>860</v>
      </c>
      <c r="E425" s="5" t="s">
        <v>897</v>
      </c>
      <c r="G425" s="5" t="str">
        <f t="shared" si="32"/>
        <v>TXT SS SKEMPTON A</v>
      </c>
      <c r="H425" s="5" t="str">
        <f t="shared" si="33"/>
        <v>[-]</v>
      </c>
      <c r="I425" s="5" t="s">
        <v>2639</v>
      </c>
      <c r="J425" s="5" t="s">
        <v>2640</v>
      </c>
      <c r="K425" s="6">
        <v>2</v>
      </c>
      <c r="L425" s="9"/>
      <c r="M425" s="5" t="s">
        <v>3077</v>
      </c>
      <c r="P425" s="17"/>
      <c r="Q425" s="17"/>
      <c r="R425" s="17"/>
      <c r="S425" s="18"/>
      <c r="T425" s="18"/>
      <c r="U425" s="17"/>
      <c r="V425" s="18"/>
      <c r="W425" s="17"/>
      <c r="X425" s="17"/>
      <c r="Y425" s="17"/>
      <c r="Z425" s="17"/>
      <c r="AA425" s="17"/>
      <c r="AB425" s="18"/>
      <c r="AC425" s="17"/>
      <c r="AD425" s="17"/>
    </row>
    <row r="426" spans="1:30">
      <c r="A426" s="6">
        <f>ROW()</f>
        <v>426</v>
      </c>
      <c r="B426" s="7" t="s">
        <v>426</v>
      </c>
      <c r="C426" s="5" t="s">
        <v>463</v>
      </c>
      <c r="D426" s="10" t="s">
        <v>861</v>
      </c>
      <c r="E426" s="5" t="s">
        <v>896</v>
      </c>
      <c r="G426" s="5" t="str">
        <f t="shared" si="32"/>
        <v>TXT MS FILENAAM PDF</v>
      </c>
      <c r="H426" s="5" t="str">
        <f t="shared" si="33"/>
        <v>[-]</v>
      </c>
      <c r="I426" s="5" t="s">
        <v>2670</v>
      </c>
      <c r="J426" s="5" t="s">
        <v>2672</v>
      </c>
      <c r="L426" s="9"/>
      <c r="M426" s="5" t="s">
        <v>3078</v>
      </c>
      <c r="P426" s="17"/>
      <c r="Q426" s="17"/>
      <c r="R426" s="17"/>
      <c r="S426" s="18"/>
      <c r="T426" s="18"/>
      <c r="U426" s="17"/>
      <c r="V426" s="18"/>
      <c r="W426" s="17"/>
      <c r="X426" s="17"/>
      <c r="Y426" s="17"/>
      <c r="Z426" s="17"/>
      <c r="AA426" s="17"/>
      <c r="AB426" s="18"/>
      <c r="AC426" s="17"/>
      <c r="AD426" s="17"/>
    </row>
    <row r="427" spans="1:30" ht="25.5">
      <c r="A427" s="6">
        <f>ROW()</f>
        <v>427</v>
      </c>
      <c r="B427" s="5" t="s">
        <v>427</v>
      </c>
      <c r="C427" s="5" t="s">
        <v>463</v>
      </c>
      <c r="D427" s="8" t="s">
        <v>612</v>
      </c>
      <c r="E427" s="5" t="s">
        <v>896</v>
      </c>
      <c r="G427" s="5" t="str">
        <f t="shared" si="32"/>
        <v>TXT MS FILENAAM SPANNINGSPAD</v>
      </c>
      <c r="H427" s="5" t="str">
        <f t="shared" si="33"/>
        <v>[-]</v>
      </c>
      <c r="I427" s="5" t="s">
        <v>2670</v>
      </c>
      <c r="J427" s="5" t="s">
        <v>2672</v>
      </c>
      <c r="L427" s="9"/>
      <c r="M427" s="5" t="s">
        <v>2711</v>
      </c>
      <c r="P427" s="17"/>
      <c r="Q427" s="17"/>
      <c r="R427" s="17"/>
      <c r="S427" s="18"/>
      <c r="T427" s="18"/>
      <c r="U427" s="17"/>
      <c r="V427" s="18"/>
      <c r="W427" s="17"/>
      <c r="X427" s="17"/>
      <c r="Y427" s="17"/>
      <c r="Z427" s="17"/>
      <c r="AA427" s="17"/>
      <c r="AB427" s="18"/>
      <c r="AC427" s="17"/>
      <c r="AD427" s="17"/>
    </row>
    <row r="428" spans="1:30">
      <c r="A428" s="6">
        <f>ROW()</f>
        <v>428</v>
      </c>
      <c r="B428" s="7" t="s">
        <v>428</v>
      </c>
      <c r="C428" s="5" t="s">
        <v>463</v>
      </c>
      <c r="D428" s="10" t="s">
        <v>862</v>
      </c>
      <c r="E428" s="5" t="s">
        <v>896</v>
      </c>
      <c r="G428" s="5" t="str">
        <f t="shared" si="32"/>
        <v>TXT MS MONSTERID</v>
      </c>
      <c r="H428" s="5" t="str">
        <f t="shared" si="33"/>
        <v>[-]</v>
      </c>
      <c r="I428" s="5" t="s">
        <v>2670</v>
      </c>
      <c r="J428" s="5" t="s">
        <v>2672</v>
      </c>
      <c r="L428" s="9"/>
      <c r="M428" s="5" t="s">
        <v>3079</v>
      </c>
      <c r="P428" s="17"/>
      <c r="Q428" s="17"/>
      <c r="R428" s="17"/>
      <c r="S428" s="18"/>
      <c r="T428" s="18"/>
      <c r="U428" s="17"/>
      <c r="V428" s="18"/>
      <c r="W428" s="17"/>
      <c r="X428" s="17"/>
      <c r="Y428" s="17"/>
      <c r="Z428" s="17"/>
      <c r="AA428" s="17"/>
      <c r="AB428" s="18"/>
      <c r="AC428" s="17"/>
      <c r="AD428" s="17"/>
    </row>
    <row r="429" spans="1:30">
      <c r="A429" s="6">
        <f>ROW()</f>
        <v>429</v>
      </c>
      <c r="B429" s="7" t="s">
        <v>429</v>
      </c>
      <c r="C429" s="5" t="s">
        <v>463</v>
      </c>
      <c r="D429" s="10" t="s">
        <v>863</v>
      </c>
      <c r="E429" s="5" t="s">
        <v>896</v>
      </c>
      <c r="G429" s="5" t="str">
        <f t="shared" si="32"/>
        <v>TXT MS LABORATORIUM</v>
      </c>
      <c r="H429" s="5" t="str">
        <f t="shared" si="33"/>
        <v>[-]</v>
      </c>
      <c r="I429" s="5" t="s">
        <v>2670</v>
      </c>
      <c r="J429" s="5" t="s">
        <v>2672</v>
      </c>
      <c r="L429" s="9"/>
      <c r="M429" s="5" t="s">
        <v>3080</v>
      </c>
      <c r="P429" s="17"/>
      <c r="Q429" s="17"/>
      <c r="R429" s="17"/>
      <c r="S429" s="18"/>
      <c r="T429" s="18"/>
      <c r="U429" s="17"/>
      <c r="V429" s="18"/>
      <c r="W429" s="17"/>
      <c r="X429" s="17"/>
      <c r="Y429" s="17"/>
      <c r="Z429" s="17"/>
      <c r="AA429" s="17"/>
      <c r="AB429" s="18"/>
      <c r="AC429" s="17"/>
      <c r="AD429" s="17"/>
    </row>
    <row r="430" spans="1:30">
      <c r="A430" s="6">
        <f>ROW()</f>
        <v>430</v>
      </c>
      <c r="B430" s="7" t="s">
        <v>430</v>
      </c>
      <c r="C430" s="5" t="s">
        <v>470</v>
      </c>
      <c r="D430" s="10" t="s">
        <v>864</v>
      </c>
      <c r="E430" s="5" t="s">
        <v>897</v>
      </c>
      <c r="G430" s="5" t="str">
        <f t="shared" si="32"/>
        <v>TXT MS CONSOLIDATIESPANNING</v>
      </c>
      <c r="H430" s="5" t="str">
        <f t="shared" si="33"/>
        <v>[kPa]</v>
      </c>
      <c r="I430" s="5" t="s">
        <v>2670</v>
      </c>
      <c r="J430" s="5" t="s">
        <v>2672</v>
      </c>
      <c r="L430" s="9"/>
      <c r="M430" s="5" t="s">
        <v>3081</v>
      </c>
      <c r="P430" s="17"/>
      <c r="Q430" s="17"/>
      <c r="R430" s="17"/>
      <c r="S430" s="18"/>
      <c r="T430" s="18"/>
      <c r="U430" s="17"/>
      <c r="V430" s="18"/>
      <c r="W430" s="17"/>
      <c r="X430" s="17"/>
      <c r="Y430" s="17"/>
      <c r="Z430" s="17"/>
      <c r="AA430" s="17"/>
      <c r="AB430" s="18"/>
      <c r="AC430" s="17"/>
      <c r="AD430" s="17"/>
    </row>
    <row r="431" spans="1:30">
      <c r="A431" s="6">
        <f>ROW()</f>
        <v>431</v>
      </c>
      <c r="B431" s="7" t="s">
        <v>431</v>
      </c>
      <c r="C431" s="5" t="s">
        <v>468</v>
      </c>
      <c r="D431" s="10" t="s">
        <v>865</v>
      </c>
      <c r="E431" s="5" t="s">
        <v>897</v>
      </c>
      <c r="F431" s="8" t="s">
        <v>911</v>
      </c>
      <c r="G431" s="5" t="str">
        <f t="shared" si="32"/>
        <v>TXT MS REK BIJ E UNDR50</v>
      </c>
      <c r="H431" s="5" t="str">
        <f t="shared" si="33"/>
        <v>[%]</v>
      </c>
      <c r="I431" s="5" t="s">
        <v>2670</v>
      </c>
      <c r="J431" s="5" t="s">
        <v>2672</v>
      </c>
      <c r="L431" s="9"/>
      <c r="M431" s="5" t="s">
        <v>3082</v>
      </c>
      <c r="P431" s="17"/>
      <c r="Q431" s="17"/>
      <c r="R431" s="17"/>
      <c r="S431" s="18"/>
      <c r="T431" s="18"/>
      <c r="U431" s="17"/>
      <c r="V431" s="18"/>
      <c r="W431" s="17"/>
      <c r="X431" s="17"/>
      <c r="Y431" s="17"/>
      <c r="Z431" s="17"/>
      <c r="AA431" s="17"/>
      <c r="AB431" s="18"/>
      <c r="AC431" s="17"/>
      <c r="AD431" s="17"/>
    </row>
    <row r="432" spans="1:30">
      <c r="A432" s="6">
        <f>ROW()</f>
        <v>432</v>
      </c>
      <c r="B432" s="7" t="s">
        <v>432</v>
      </c>
      <c r="C432" s="5" t="s">
        <v>482</v>
      </c>
      <c r="D432" s="10" t="s">
        <v>866</v>
      </c>
      <c r="E432" s="5" t="s">
        <v>897</v>
      </c>
      <c r="G432" s="5" t="str">
        <f t="shared" si="32"/>
        <v>TXT MS E UNDR50</v>
      </c>
      <c r="H432" s="5" t="str">
        <f t="shared" si="33"/>
        <v>[MPa]</v>
      </c>
      <c r="I432" s="5" t="s">
        <v>2670</v>
      </c>
      <c r="J432" s="5" t="s">
        <v>2672</v>
      </c>
      <c r="L432" s="9"/>
      <c r="M432" s="5" t="s">
        <v>3083</v>
      </c>
      <c r="P432" s="17"/>
      <c r="Q432" s="17"/>
      <c r="R432" s="17"/>
      <c r="S432" s="18"/>
      <c r="T432" s="18"/>
      <c r="U432" s="17"/>
      <c r="V432" s="18"/>
      <c r="W432" s="17"/>
      <c r="X432" s="17"/>
      <c r="Y432" s="17"/>
      <c r="Z432" s="17"/>
      <c r="AA432" s="17"/>
      <c r="AB432" s="18"/>
      <c r="AC432" s="17"/>
      <c r="AD432" s="17"/>
    </row>
    <row r="433" spans="1:30">
      <c r="A433" s="6">
        <f>ROW()</f>
        <v>433</v>
      </c>
      <c r="B433" s="7" t="s">
        <v>433</v>
      </c>
      <c r="C433" s="5" t="s">
        <v>470</v>
      </c>
      <c r="D433" s="10" t="s">
        <v>867</v>
      </c>
      <c r="E433" s="5" t="s">
        <v>897</v>
      </c>
      <c r="G433" s="5" t="str">
        <f t="shared" si="32"/>
        <v>TXT MS S1' 2%</v>
      </c>
      <c r="H433" s="5" t="str">
        <f t="shared" si="33"/>
        <v>[kPa]</v>
      </c>
      <c r="I433" s="5" t="s">
        <v>2670</v>
      </c>
      <c r="J433" s="5" t="s">
        <v>2672</v>
      </c>
      <c r="L433" s="9"/>
      <c r="M433" s="5" t="s">
        <v>3084</v>
      </c>
      <c r="P433" s="17"/>
      <c r="Q433" s="17"/>
      <c r="R433" s="17"/>
      <c r="S433" s="18"/>
      <c r="T433" s="18"/>
      <c r="U433" s="17"/>
      <c r="V433" s="18"/>
      <c r="W433" s="17"/>
      <c r="X433" s="17"/>
      <c r="Y433" s="17"/>
      <c r="Z433" s="17"/>
      <c r="AA433" s="17"/>
      <c r="AB433" s="18"/>
      <c r="AC433" s="17"/>
      <c r="AD433" s="17"/>
    </row>
    <row r="434" spans="1:30">
      <c r="A434" s="6">
        <f>ROW()</f>
        <v>434</v>
      </c>
      <c r="B434" s="7" t="s">
        <v>434</v>
      </c>
      <c r="C434" s="5" t="s">
        <v>470</v>
      </c>
      <c r="D434" s="10" t="s">
        <v>868</v>
      </c>
      <c r="E434" s="5" t="s">
        <v>897</v>
      </c>
      <c r="G434" s="5" t="str">
        <f t="shared" si="32"/>
        <v>TXT MS S2' 2%</v>
      </c>
      <c r="H434" s="5" t="str">
        <f t="shared" si="33"/>
        <v>[kPa]</v>
      </c>
      <c r="I434" s="5" t="s">
        <v>2670</v>
      </c>
      <c r="J434" s="5" t="s">
        <v>2672</v>
      </c>
      <c r="L434" s="9"/>
      <c r="M434" s="5" t="s">
        <v>3085</v>
      </c>
      <c r="P434" s="17"/>
      <c r="Q434" s="17"/>
      <c r="R434" s="17"/>
      <c r="S434" s="18"/>
      <c r="T434" s="18"/>
      <c r="U434" s="17"/>
      <c r="V434" s="18"/>
      <c r="W434" s="17"/>
      <c r="X434" s="17"/>
      <c r="Y434" s="17"/>
      <c r="Z434" s="17"/>
      <c r="AA434" s="17"/>
      <c r="AB434" s="18"/>
      <c r="AC434" s="17"/>
      <c r="AD434" s="17"/>
    </row>
    <row r="435" spans="1:30">
      <c r="A435" s="6">
        <f>ROW()</f>
        <v>435</v>
      </c>
      <c r="B435" s="7" t="s">
        <v>435</v>
      </c>
      <c r="C435" s="5" t="s">
        <v>470</v>
      </c>
      <c r="D435" s="10" t="s">
        <v>869</v>
      </c>
      <c r="E435" s="5" t="s">
        <v>897</v>
      </c>
      <c r="G435" s="5" t="str">
        <f t="shared" si="32"/>
        <v>TXT MS S3' 2%</v>
      </c>
      <c r="H435" s="5" t="str">
        <f t="shared" si="33"/>
        <v>[kPa]</v>
      </c>
      <c r="I435" s="5" t="s">
        <v>2670</v>
      </c>
      <c r="J435" s="5" t="s">
        <v>2672</v>
      </c>
      <c r="L435" s="9"/>
      <c r="M435" s="5" t="s">
        <v>3086</v>
      </c>
      <c r="P435" s="17"/>
      <c r="Q435" s="17"/>
      <c r="R435" s="17"/>
      <c r="S435" s="18"/>
      <c r="T435" s="18"/>
      <c r="U435" s="17"/>
      <c r="V435" s="18"/>
      <c r="W435" s="17"/>
      <c r="X435" s="17"/>
      <c r="Y435" s="17"/>
      <c r="Z435" s="17"/>
      <c r="AA435" s="17"/>
      <c r="AB435" s="18"/>
      <c r="AC435" s="17"/>
      <c r="AD435" s="17"/>
    </row>
    <row r="436" spans="1:30">
      <c r="A436" s="6">
        <f>ROW()</f>
        <v>436</v>
      </c>
      <c r="B436" s="7" t="s">
        <v>436</v>
      </c>
      <c r="C436" s="5" t="s">
        <v>470</v>
      </c>
      <c r="D436" s="10" t="s">
        <v>870</v>
      </c>
      <c r="E436" s="5" t="s">
        <v>897</v>
      </c>
      <c r="G436" s="5" t="str">
        <f t="shared" si="32"/>
        <v>TXT MS T1 2%</v>
      </c>
      <c r="H436" s="5" t="str">
        <f t="shared" si="33"/>
        <v>[kPa]</v>
      </c>
      <c r="I436" s="5" t="s">
        <v>2670</v>
      </c>
      <c r="J436" s="5" t="s">
        <v>2672</v>
      </c>
      <c r="L436" s="9"/>
      <c r="M436" s="5" t="s">
        <v>3087</v>
      </c>
      <c r="P436" s="17"/>
      <c r="Q436" s="17"/>
      <c r="R436" s="17"/>
      <c r="S436" s="18"/>
      <c r="T436" s="18"/>
      <c r="U436" s="17"/>
      <c r="V436" s="18"/>
      <c r="W436" s="17"/>
      <c r="X436" s="17"/>
      <c r="Y436" s="17"/>
      <c r="Z436" s="17"/>
      <c r="AA436" s="17"/>
      <c r="AB436" s="18"/>
      <c r="AC436" s="17"/>
      <c r="AD436" s="17"/>
    </row>
    <row r="437" spans="1:30">
      <c r="A437" s="6">
        <f>ROW()</f>
        <v>437</v>
      </c>
      <c r="B437" s="7" t="s">
        <v>437</v>
      </c>
      <c r="C437" s="5" t="s">
        <v>470</v>
      </c>
      <c r="D437" s="10" t="s">
        <v>871</v>
      </c>
      <c r="E437" s="5" t="s">
        <v>897</v>
      </c>
      <c r="G437" s="5" t="str">
        <f t="shared" si="32"/>
        <v>TXT MS T2 2%</v>
      </c>
      <c r="H437" s="5" t="str">
        <f t="shared" si="33"/>
        <v>[kPa]</v>
      </c>
      <c r="I437" s="5" t="s">
        <v>2670</v>
      </c>
      <c r="J437" s="5" t="s">
        <v>2672</v>
      </c>
      <c r="L437" s="9"/>
      <c r="M437" s="5" t="s">
        <v>3088</v>
      </c>
      <c r="P437" s="17"/>
      <c r="Q437" s="17"/>
      <c r="R437" s="17"/>
      <c r="S437" s="18"/>
      <c r="T437" s="18"/>
      <c r="U437" s="17"/>
      <c r="V437" s="18"/>
      <c r="W437" s="17"/>
      <c r="X437" s="17"/>
      <c r="Y437" s="17"/>
      <c r="Z437" s="17"/>
      <c r="AA437" s="17"/>
      <c r="AB437" s="18"/>
      <c r="AC437" s="17"/>
      <c r="AD437" s="17"/>
    </row>
    <row r="438" spans="1:30">
      <c r="A438" s="6">
        <f>ROW()</f>
        <v>438</v>
      </c>
      <c r="B438" s="7" t="s">
        <v>438</v>
      </c>
      <c r="C438" s="5" t="s">
        <v>470</v>
      </c>
      <c r="D438" s="10" t="s">
        <v>872</v>
      </c>
      <c r="E438" s="5" t="s">
        <v>897</v>
      </c>
      <c r="G438" s="5" t="str">
        <f t="shared" si="32"/>
        <v>TXT MS T3 2%</v>
      </c>
      <c r="H438" s="5" t="str">
        <f t="shared" si="33"/>
        <v>[kPa]</v>
      </c>
      <c r="I438" s="5" t="s">
        <v>2670</v>
      </c>
      <c r="J438" s="5" t="s">
        <v>2672</v>
      </c>
      <c r="L438" s="9"/>
      <c r="M438" s="5" t="s">
        <v>3089</v>
      </c>
      <c r="P438" s="17"/>
      <c r="Q438" s="17"/>
      <c r="R438" s="17"/>
      <c r="S438" s="18"/>
      <c r="T438" s="18"/>
      <c r="U438" s="17"/>
      <c r="V438" s="18"/>
      <c r="W438" s="17"/>
      <c r="X438" s="17"/>
      <c r="Y438" s="17"/>
      <c r="Z438" s="17"/>
      <c r="AA438" s="17"/>
      <c r="AB438" s="18"/>
      <c r="AC438" s="17"/>
      <c r="AD438" s="17"/>
    </row>
    <row r="439" spans="1:30">
      <c r="A439" s="6">
        <f>ROW()</f>
        <v>439</v>
      </c>
      <c r="B439" s="7" t="s">
        <v>439</v>
      </c>
      <c r="C439" s="5" t="s">
        <v>470</v>
      </c>
      <c r="D439" s="10" t="s">
        <v>873</v>
      </c>
      <c r="E439" s="5" t="s">
        <v>897</v>
      </c>
      <c r="F439" s="8" t="s">
        <v>931</v>
      </c>
      <c r="G439" s="5" t="str">
        <f t="shared" si="32"/>
        <v>TXT MS C 2%</v>
      </c>
      <c r="H439" s="5" t="str">
        <f t="shared" si="33"/>
        <v>[kPa]</v>
      </c>
      <c r="I439" s="5" t="s">
        <v>2670</v>
      </c>
      <c r="J439" s="5" t="s">
        <v>2672</v>
      </c>
      <c r="L439" s="9"/>
      <c r="M439" s="5" t="s">
        <v>3090</v>
      </c>
      <c r="P439" s="17"/>
      <c r="Q439" s="17"/>
      <c r="R439" s="17"/>
      <c r="S439" s="18"/>
      <c r="T439" s="18"/>
      <c r="U439" s="17"/>
      <c r="V439" s="18"/>
      <c r="W439" s="17"/>
      <c r="X439" s="17"/>
      <c r="Y439" s="17"/>
      <c r="Z439" s="17"/>
      <c r="AA439" s="17"/>
      <c r="AB439" s="18"/>
      <c r="AC439" s="17"/>
      <c r="AD439" s="17"/>
    </row>
    <row r="440" spans="1:30">
      <c r="A440" s="6">
        <f>ROW()</f>
        <v>440</v>
      </c>
      <c r="B440" s="7" t="s">
        <v>440</v>
      </c>
      <c r="C440" s="5" t="s">
        <v>483</v>
      </c>
      <c r="D440" s="10" t="s">
        <v>874</v>
      </c>
      <c r="E440" s="5" t="s">
        <v>897</v>
      </c>
      <c r="F440" s="8" t="s">
        <v>932</v>
      </c>
      <c r="G440" s="5" t="str">
        <f t="shared" si="32"/>
        <v>TXT MS PHI 2%</v>
      </c>
      <c r="H440" s="5" t="str">
        <f t="shared" si="33"/>
        <v>[°]</v>
      </c>
      <c r="I440" s="5" t="s">
        <v>2670</v>
      </c>
      <c r="J440" s="5" t="s">
        <v>2672</v>
      </c>
      <c r="L440" s="9"/>
      <c r="M440" s="5" t="s">
        <v>3091</v>
      </c>
      <c r="P440" s="17"/>
      <c r="Q440" s="17"/>
      <c r="R440" s="17"/>
      <c r="S440" s="18"/>
      <c r="T440" s="18"/>
      <c r="U440" s="17"/>
      <c r="V440" s="18"/>
      <c r="W440" s="17"/>
      <c r="X440" s="17"/>
      <c r="Y440" s="17"/>
      <c r="Z440" s="17"/>
      <c r="AA440" s="17"/>
      <c r="AB440" s="18"/>
      <c r="AC440" s="17"/>
      <c r="AD440" s="17"/>
    </row>
    <row r="441" spans="1:30">
      <c r="A441" s="6">
        <f>ROW()</f>
        <v>441</v>
      </c>
      <c r="B441" s="7" t="s">
        <v>441</v>
      </c>
      <c r="C441" s="5" t="s">
        <v>470</v>
      </c>
      <c r="D441" s="10" t="s">
        <v>875</v>
      </c>
      <c r="E441" s="5" t="s">
        <v>897</v>
      </c>
      <c r="G441" s="5" t="str">
        <f t="shared" si="32"/>
        <v>TXT MS S1' 5%</v>
      </c>
      <c r="H441" s="5" t="str">
        <f t="shared" si="33"/>
        <v>[kPa]</v>
      </c>
      <c r="I441" s="5" t="s">
        <v>2670</v>
      </c>
      <c r="J441" s="5" t="s">
        <v>2672</v>
      </c>
      <c r="L441" s="9"/>
      <c r="M441" s="5" t="s">
        <v>3092</v>
      </c>
      <c r="P441" s="17"/>
      <c r="Q441" s="17"/>
      <c r="R441" s="17"/>
      <c r="S441" s="18"/>
      <c r="T441" s="18"/>
      <c r="U441" s="17"/>
      <c r="V441" s="18"/>
      <c r="W441" s="17"/>
      <c r="X441" s="17"/>
      <c r="Y441" s="17"/>
      <c r="Z441" s="17"/>
      <c r="AA441" s="17"/>
      <c r="AB441" s="18"/>
      <c r="AC441" s="17"/>
      <c r="AD441" s="17"/>
    </row>
    <row r="442" spans="1:30">
      <c r="A442" s="6">
        <f>ROW()</f>
        <v>442</v>
      </c>
      <c r="B442" s="7" t="s">
        <v>442</v>
      </c>
      <c r="C442" s="5" t="s">
        <v>470</v>
      </c>
      <c r="D442" s="10" t="s">
        <v>876</v>
      </c>
      <c r="E442" s="5" t="s">
        <v>897</v>
      </c>
      <c r="G442" s="5" t="str">
        <f t="shared" si="32"/>
        <v>TXT MS S2' 5%</v>
      </c>
      <c r="H442" s="5" t="str">
        <f t="shared" si="33"/>
        <v>[kPa]</v>
      </c>
      <c r="I442" s="5" t="s">
        <v>2670</v>
      </c>
      <c r="J442" s="5" t="s">
        <v>2672</v>
      </c>
      <c r="L442" s="9"/>
      <c r="M442" s="5" t="s">
        <v>3093</v>
      </c>
      <c r="P442" s="17"/>
      <c r="Q442" s="17"/>
      <c r="R442" s="17"/>
      <c r="S442" s="18"/>
      <c r="T442" s="18"/>
      <c r="U442" s="17"/>
      <c r="V442" s="18"/>
      <c r="W442" s="17"/>
      <c r="X442" s="17"/>
      <c r="Y442" s="17"/>
      <c r="Z442" s="17"/>
      <c r="AA442" s="17"/>
      <c r="AB442" s="18"/>
      <c r="AC442" s="17"/>
      <c r="AD442" s="17"/>
    </row>
    <row r="443" spans="1:30">
      <c r="A443" s="6">
        <f>ROW()</f>
        <v>443</v>
      </c>
      <c r="B443" s="7" t="s">
        <v>443</v>
      </c>
      <c r="C443" s="5" t="s">
        <v>470</v>
      </c>
      <c r="D443" s="10" t="s">
        <v>877</v>
      </c>
      <c r="E443" s="5" t="s">
        <v>897</v>
      </c>
      <c r="G443" s="5" t="str">
        <f t="shared" si="32"/>
        <v>TXT MS S3' 5%</v>
      </c>
      <c r="H443" s="5" t="str">
        <f t="shared" si="33"/>
        <v>[kPa]</v>
      </c>
      <c r="I443" s="5" t="s">
        <v>2670</v>
      </c>
      <c r="J443" s="5" t="s">
        <v>2672</v>
      </c>
      <c r="L443" s="9"/>
      <c r="M443" s="5" t="s">
        <v>3094</v>
      </c>
      <c r="P443" s="17"/>
      <c r="Q443" s="17"/>
      <c r="R443" s="17"/>
      <c r="S443" s="18"/>
      <c r="T443" s="18"/>
      <c r="U443" s="17"/>
      <c r="V443" s="18"/>
      <c r="W443" s="17"/>
      <c r="X443" s="17"/>
      <c r="Y443" s="17"/>
      <c r="Z443" s="17"/>
      <c r="AA443" s="17"/>
      <c r="AB443" s="18"/>
      <c r="AC443" s="17"/>
      <c r="AD443" s="17"/>
    </row>
    <row r="444" spans="1:30">
      <c r="A444" s="6">
        <f>ROW()</f>
        <v>444</v>
      </c>
      <c r="B444" s="7" t="s">
        <v>444</v>
      </c>
      <c r="C444" s="5" t="s">
        <v>470</v>
      </c>
      <c r="D444" s="10" t="s">
        <v>878</v>
      </c>
      <c r="E444" s="5" t="s">
        <v>897</v>
      </c>
      <c r="G444" s="5" t="str">
        <f t="shared" si="32"/>
        <v>TXT MS T1 5%</v>
      </c>
      <c r="H444" s="5" t="str">
        <f t="shared" si="33"/>
        <v>[kPa]</v>
      </c>
      <c r="I444" s="5" t="s">
        <v>2670</v>
      </c>
      <c r="J444" s="5" t="s">
        <v>2672</v>
      </c>
      <c r="L444" s="9"/>
      <c r="M444" s="5" t="s">
        <v>3095</v>
      </c>
      <c r="P444" s="17"/>
      <c r="Q444" s="17"/>
      <c r="R444" s="17"/>
      <c r="S444" s="18"/>
      <c r="T444" s="18"/>
      <c r="U444" s="17"/>
      <c r="V444" s="18"/>
      <c r="W444" s="17"/>
      <c r="X444" s="17"/>
      <c r="Y444" s="17"/>
      <c r="Z444" s="17"/>
      <c r="AA444" s="17"/>
      <c r="AB444" s="18"/>
      <c r="AC444" s="17"/>
      <c r="AD444" s="17"/>
    </row>
    <row r="445" spans="1:30">
      <c r="A445" s="6">
        <f>ROW()</f>
        <v>445</v>
      </c>
      <c r="B445" s="7" t="s">
        <v>445</v>
      </c>
      <c r="C445" s="5" t="s">
        <v>470</v>
      </c>
      <c r="D445" s="10" t="s">
        <v>879</v>
      </c>
      <c r="E445" s="5" t="s">
        <v>897</v>
      </c>
      <c r="G445" s="5" t="str">
        <f t="shared" si="32"/>
        <v>TXT MS T2 5%</v>
      </c>
      <c r="H445" s="5" t="str">
        <f t="shared" si="33"/>
        <v>[kPa]</v>
      </c>
      <c r="I445" s="5" t="s">
        <v>2670</v>
      </c>
      <c r="J445" s="5" t="s">
        <v>2672</v>
      </c>
      <c r="L445" s="9"/>
      <c r="M445" s="5" t="s">
        <v>3096</v>
      </c>
      <c r="P445" s="17"/>
      <c r="Q445" s="17"/>
      <c r="R445" s="17"/>
      <c r="S445" s="18"/>
      <c r="T445" s="18"/>
      <c r="U445" s="17"/>
      <c r="V445" s="18"/>
      <c r="W445" s="17"/>
      <c r="X445" s="17"/>
      <c r="Y445" s="17"/>
      <c r="Z445" s="17"/>
      <c r="AA445" s="17"/>
      <c r="AB445" s="18"/>
      <c r="AC445" s="17"/>
      <c r="AD445" s="17"/>
    </row>
    <row r="446" spans="1:30">
      <c r="A446" s="6">
        <f>ROW()</f>
        <v>446</v>
      </c>
      <c r="B446" s="7" t="s">
        <v>446</v>
      </c>
      <c r="C446" s="5" t="s">
        <v>470</v>
      </c>
      <c r="D446" s="10" t="s">
        <v>880</v>
      </c>
      <c r="E446" s="5" t="s">
        <v>897</v>
      </c>
      <c r="G446" s="5" t="str">
        <f t="shared" si="32"/>
        <v>TXT MS T3 5%</v>
      </c>
      <c r="H446" s="5" t="str">
        <f t="shared" si="33"/>
        <v>[kPa]</v>
      </c>
      <c r="I446" s="5" t="s">
        <v>2670</v>
      </c>
      <c r="J446" s="5" t="s">
        <v>2672</v>
      </c>
      <c r="L446" s="9"/>
      <c r="M446" s="5" t="s">
        <v>3097</v>
      </c>
      <c r="P446" s="17"/>
      <c r="Q446" s="17"/>
      <c r="R446" s="17"/>
      <c r="S446" s="18"/>
      <c r="T446" s="18"/>
      <c r="U446" s="17"/>
      <c r="V446" s="18"/>
      <c r="W446" s="17"/>
      <c r="X446" s="17"/>
      <c r="Y446" s="17"/>
      <c r="Z446" s="17"/>
      <c r="AA446" s="17"/>
      <c r="AB446" s="18"/>
      <c r="AC446" s="17"/>
      <c r="AD446" s="17"/>
    </row>
    <row r="447" spans="1:30">
      <c r="A447" s="6">
        <f>ROW()</f>
        <v>447</v>
      </c>
      <c r="B447" s="7" t="s">
        <v>447</v>
      </c>
      <c r="C447" s="5" t="s">
        <v>470</v>
      </c>
      <c r="D447" s="10" t="s">
        <v>881</v>
      </c>
      <c r="E447" s="5" t="s">
        <v>897</v>
      </c>
      <c r="F447" s="8" t="s">
        <v>931</v>
      </c>
      <c r="G447" s="5" t="str">
        <f t="shared" si="32"/>
        <v>TXT MS C 5%</v>
      </c>
      <c r="H447" s="5" t="str">
        <f t="shared" si="33"/>
        <v>[kPa]</v>
      </c>
      <c r="I447" s="5" t="s">
        <v>2670</v>
      </c>
      <c r="J447" s="5" t="s">
        <v>2672</v>
      </c>
      <c r="L447" s="9"/>
      <c r="M447" s="5" t="s">
        <v>3098</v>
      </c>
      <c r="P447" s="17"/>
      <c r="Q447" s="17"/>
      <c r="R447" s="17"/>
      <c r="S447" s="18"/>
      <c r="T447" s="18"/>
      <c r="U447" s="17"/>
      <c r="V447" s="18"/>
      <c r="W447" s="17"/>
      <c r="X447" s="17"/>
      <c r="Y447" s="17"/>
      <c r="Z447" s="17"/>
      <c r="AA447" s="17"/>
      <c r="AB447" s="18"/>
      <c r="AC447" s="17"/>
      <c r="AD447" s="17"/>
    </row>
    <row r="448" spans="1:30">
      <c r="A448" s="6">
        <f>ROW()</f>
        <v>448</v>
      </c>
      <c r="B448" s="7" t="s">
        <v>448</v>
      </c>
      <c r="C448" s="5" t="s">
        <v>483</v>
      </c>
      <c r="D448" s="10" t="s">
        <v>882</v>
      </c>
      <c r="E448" s="5" t="s">
        <v>897</v>
      </c>
      <c r="F448" s="8" t="s">
        <v>932</v>
      </c>
      <c r="G448" s="5" t="str">
        <f t="shared" si="32"/>
        <v>TXT MS PHI 5%</v>
      </c>
      <c r="H448" s="5" t="str">
        <f t="shared" si="33"/>
        <v>[°]</v>
      </c>
      <c r="I448" s="5" t="s">
        <v>2670</v>
      </c>
      <c r="J448" s="5" t="s">
        <v>2672</v>
      </c>
      <c r="L448" s="9"/>
      <c r="M448" s="5" t="s">
        <v>3099</v>
      </c>
      <c r="P448" s="17"/>
      <c r="Q448" s="17"/>
      <c r="R448" s="17"/>
      <c r="S448" s="18"/>
      <c r="T448" s="18"/>
      <c r="U448" s="17"/>
      <c r="V448" s="18"/>
      <c r="W448" s="17"/>
      <c r="X448" s="17"/>
      <c r="Y448" s="17"/>
      <c r="Z448" s="17"/>
      <c r="AA448" s="17"/>
      <c r="AB448" s="18"/>
      <c r="AC448" s="17"/>
      <c r="AD448" s="17"/>
    </row>
    <row r="449" spans="1:30">
      <c r="A449" s="6">
        <f>ROW()</f>
        <v>449</v>
      </c>
      <c r="B449" s="7" t="s">
        <v>449</v>
      </c>
      <c r="C449" s="5" t="s">
        <v>463</v>
      </c>
      <c r="D449" s="10" t="s">
        <v>861</v>
      </c>
      <c r="E449" s="5" t="s">
        <v>896</v>
      </c>
      <c r="G449" s="5" t="str">
        <f t="shared" si="32"/>
        <v>CEL FILENAAM PDF</v>
      </c>
      <c r="H449" s="5" t="str">
        <f t="shared" si="33"/>
        <v>[-]</v>
      </c>
      <c r="I449" s="5" t="s">
        <v>2695</v>
      </c>
      <c r="J449" s="5" t="s">
        <v>2696</v>
      </c>
      <c r="L449" s="9"/>
      <c r="M449" s="5" t="s">
        <v>2711</v>
      </c>
      <c r="P449" s="16"/>
      <c r="Q449" s="17"/>
      <c r="R449" s="17"/>
      <c r="S449" s="18"/>
      <c r="T449" s="18"/>
      <c r="U449" s="17"/>
      <c r="V449" s="18"/>
      <c r="W449" s="17"/>
      <c r="X449" s="17"/>
      <c r="Y449" s="17"/>
      <c r="Z449" s="17"/>
      <c r="AA449" s="17"/>
      <c r="AB449" s="18"/>
      <c r="AC449" s="17"/>
      <c r="AD449" s="17"/>
    </row>
    <row r="450" spans="1:30" ht="25.5">
      <c r="A450" s="6">
        <f>ROW()</f>
        <v>450</v>
      </c>
      <c r="B450" s="5" t="s">
        <v>450</v>
      </c>
      <c r="C450" s="5" t="s">
        <v>463</v>
      </c>
      <c r="D450" s="8" t="s">
        <v>612</v>
      </c>
      <c r="E450" s="5" t="s">
        <v>896</v>
      </c>
      <c r="G450" s="5" t="str">
        <f t="shared" si="32"/>
        <v>CEL FILENAAM SPANNINGSPAD</v>
      </c>
      <c r="H450" s="5" t="str">
        <f t="shared" si="33"/>
        <v>[-]</v>
      </c>
      <c r="I450" s="5" t="s">
        <v>2695</v>
      </c>
      <c r="J450" s="5" t="s">
        <v>2696</v>
      </c>
      <c r="L450" s="9"/>
      <c r="M450" s="5" t="s">
        <v>2711</v>
      </c>
      <c r="P450" s="16"/>
      <c r="Q450" s="17"/>
      <c r="R450" s="17"/>
      <c r="S450" s="18"/>
      <c r="T450" s="18"/>
      <c r="U450" s="17"/>
      <c r="V450" s="18"/>
      <c r="W450" s="17"/>
      <c r="X450" s="17"/>
      <c r="Y450" s="17"/>
      <c r="Z450" s="17"/>
      <c r="AA450" s="17"/>
      <c r="AB450" s="18"/>
      <c r="AC450" s="17"/>
      <c r="AD450" s="17"/>
    </row>
    <row r="451" spans="1:30">
      <c r="A451" s="6">
        <f>ROW()</f>
        <v>451</v>
      </c>
      <c r="B451" s="7" t="s">
        <v>451</v>
      </c>
      <c r="C451" s="5" t="s">
        <v>483</v>
      </c>
      <c r="D451" s="10" t="s">
        <v>883</v>
      </c>
      <c r="E451" s="5" t="s">
        <v>897</v>
      </c>
      <c r="F451" s="8" t="s">
        <v>932</v>
      </c>
      <c r="G451" s="5" t="str">
        <f t="shared" si="32"/>
        <v>CEL PHI1</v>
      </c>
      <c r="H451" s="5" t="str">
        <f t="shared" si="33"/>
        <v>[°]</v>
      </c>
      <c r="I451" s="5" t="s">
        <v>2695</v>
      </c>
      <c r="J451" s="5" t="s">
        <v>2696</v>
      </c>
      <c r="L451" s="9"/>
      <c r="M451" s="5" t="s">
        <v>3100</v>
      </c>
      <c r="P451" s="16"/>
      <c r="Q451" s="17"/>
      <c r="R451" s="17"/>
      <c r="S451" s="18"/>
      <c r="T451" s="18"/>
      <c r="U451" s="17"/>
      <c r="V451" s="18"/>
      <c r="W451" s="17"/>
      <c r="X451" s="17"/>
      <c r="Y451" s="17"/>
      <c r="Z451" s="17"/>
      <c r="AA451" s="17"/>
      <c r="AB451" s="18"/>
      <c r="AC451" s="17"/>
      <c r="AD451" s="17"/>
    </row>
    <row r="452" spans="1:30">
      <c r="A452" s="6">
        <f>ROW()</f>
        <v>452</v>
      </c>
      <c r="B452" s="7" t="s">
        <v>452</v>
      </c>
      <c r="C452" s="5" t="s">
        <v>470</v>
      </c>
      <c r="D452" s="10" t="s">
        <v>884</v>
      </c>
      <c r="E452" s="5" t="s">
        <v>897</v>
      </c>
      <c r="F452" s="8" t="s">
        <v>931</v>
      </c>
      <c r="G452" s="5" t="str">
        <f t="shared" si="32"/>
        <v>CEL C1</v>
      </c>
      <c r="H452" s="5" t="str">
        <f t="shared" si="33"/>
        <v>[kPa]</v>
      </c>
      <c r="I452" s="5" t="s">
        <v>2695</v>
      </c>
      <c r="J452" s="5" t="s">
        <v>2696</v>
      </c>
      <c r="L452" s="9"/>
      <c r="M452" s="5" t="s">
        <v>3101</v>
      </c>
      <c r="P452" s="16"/>
      <c r="Q452" s="17"/>
      <c r="R452" s="17"/>
      <c r="S452" s="18"/>
      <c r="T452" s="18"/>
      <c r="U452" s="17"/>
      <c r="V452" s="18"/>
      <c r="W452" s="17"/>
      <c r="X452" s="17"/>
      <c r="Y452" s="17"/>
      <c r="Z452" s="17"/>
      <c r="AA452" s="17"/>
      <c r="AB452" s="18"/>
      <c r="AC452" s="17"/>
      <c r="AD452" s="17"/>
    </row>
    <row r="453" spans="1:30">
      <c r="A453" s="6">
        <f>ROW()</f>
        <v>453</v>
      </c>
      <c r="B453" s="7" t="s">
        <v>453</v>
      </c>
      <c r="C453" s="5" t="s">
        <v>483</v>
      </c>
      <c r="D453" s="10" t="s">
        <v>885</v>
      </c>
      <c r="E453" s="5" t="s">
        <v>897</v>
      </c>
      <c r="F453" s="8" t="s">
        <v>932</v>
      </c>
      <c r="G453" s="5" t="str">
        <f t="shared" si="32"/>
        <v>CEL PHI2</v>
      </c>
      <c r="H453" s="5" t="str">
        <f t="shared" si="33"/>
        <v>[°]</v>
      </c>
      <c r="I453" s="5" t="s">
        <v>2695</v>
      </c>
      <c r="J453" s="5" t="s">
        <v>2696</v>
      </c>
      <c r="L453" s="9"/>
      <c r="M453" s="5" t="s">
        <v>3102</v>
      </c>
      <c r="P453" s="16"/>
      <c r="Q453" s="17"/>
      <c r="R453" s="17"/>
      <c r="S453" s="18"/>
      <c r="T453" s="18"/>
      <c r="U453" s="17"/>
      <c r="V453" s="18"/>
      <c r="W453" s="17"/>
      <c r="X453" s="17"/>
      <c r="Y453" s="17"/>
      <c r="Z453" s="17"/>
      <c r="AA453" s="17"/>
      <c r="AB453" s="18"/>
      <c r="AC453" s="17"/>
      <c r="AD453" s="17"/>
    </row>
    <row r="454" spans="1:30">
      <c r="A454" s="6">
        <f>ROW()</f>
        <v>454</v>
      </c>
      <c r="B454" s="7" t="s">
        <v>454</v>
      </c>
      <c r="C454" s="5" t="s">
        <v>470</v>
      </c>
      <c r="D454" s="10" t="s">
        <v>886</v>
      </c>
      <c r="E454" s="5" t="s">
        <v>897</v>
      </c>
      <c r="F454" s="8" t="s">
        <v>931</v>
      </c>
      <c r="G454" s="5" t="str">
        <f t="shared" si="32"/>
        <v>CEL C2</v>
      </c>
      <c r="H454" s="5" t="str">
        <f t="shared" si="33"/>
        <v>[kPa]</v>
      </c>
      <c r="I454" s="5" t="s">
        <v>2695</v>
      </c>
      <c r="J454" s="5" t="s">
        <v>2696</v>
      </c>
      <c r="L454" s="9"/>
      <c r="M454" s="5" t="s">
        <v>3103</v>
      </c>
      <c r="P454" s="16"/>
      <c r="Q454" s="17"/>
      <c r="R454" s="17"/>
      <c r="S454" s="18"/>
      <c r="T454" s="18"/>
      <c r="U454" s="17"/>
      <c r="V454" s="18"/>
      <c r="W454" s="17"/>
      <c r="X454" s="17"/>
      <c r="Y454" s="17"/>
      <c r="Z454" s="17"/>
      <c r="AA454" s="17"/>
      <c r="AB454" s="18"/>
      <c r="AC454" s="17"/>
      <c r="AD454" s="17"/>
    </row>
    <row r="455" spans="1:30">
      <c r="A455" s="6">
        <f>ROW()</f>
        <v>455</v>
      </c>
      <c r="B455" s="7" t="s">
        <v>455</v>
      </c>
      <c r="C455" s="5" t="s">
        <v>483</v>
      </c>
      <c r="D455" s="10" t="s">
        <v>887</v>
      </c>
      <c r="E455" s="5" t="s">
        <v>897</v>
      </c>
      <c r="F455" s="8" t="s">
        <v>932</v>
      </c>
      <c r="G455" s="5" t="str">
        <f t="shared" si="32"/>
        <v>CEL PHI3</v>
      </c>
      <c r="H455" s="5" t="str">
        <f t="shared" si="33"/>
        <v>[°]</v>
      </c>
      <c r="I455" s="5" t="s">
        <v>2695</v>
      </c>
      <c r="J455" s="5" t="s">
        <v>2696</v>
      </c>
      <c r="L455" s="9"/>
      <c r="M455" s="5" t="s">
        <v>3104</v>
      </c>
      <c r="P455" s="16"/>
      <c r="Q455" s="17"/>
      <c r="R455" s="17"/>
      <c r="S455" s="18"/>
      <c r="T455" s="18"/>
      <c r="U455" s="17"/>
      <c r="V455" s="18"/>
      <c r="W455" s="17"/>
      <c r="X455" s="17"/>
      <c r="Y455" s="17"/>
      <c r="Z455" s="17"/>
      <c r="AA455" s="17"/>
      <c r="AB455" s="18"/>
      <c r="AC455" s="17"/>
      <c r="AD455" s="17"/>
    </row>
    <row r="456" spans="1:30">
      <c r="A456" s="6">
        <f>ROW()</f>
        <v>456</v>
      </c>
      <c r="B456" s="7" t="s">
        <v>456</v>
      </c>
      <c r="C456" s="5" t="s">
        <v>470</v>
      </c>
      <c r="D456" s="10" t="s">
        <v>888</v>
      </c>
      <c r="E456" s="5" t="s">
        <v>897</v>
      </c>
      <c r="F456" s="8" t="s">
        <v>931</v>
      </c>
      <c r="G456" s="5" t="str">
        <f t="shared" si="32"/>
        <v>CEL C3</v>
      </c>
      <c r="H456" s="5" t="str">
        <f t="shared" si="33"/>
        <v>[kPa]</v>
      </c>
      <c r="I456" s="5" t="s">
        <v>2695</v>
      </c>
      <c r="J456" s="5" t="s">
        <v>2696</v>
      </c>
      <c r="L456" s="9"/>
      <c r="M456" s="5" t="s">
        <v>3105</v>
      </c>
      <c r="P456" s="16"/>
      <c r="Q456" s="17"/>
      <c r="R456" s="17"/>
      <c r="S456" s="18"/>
      <c r="T456" s="18"/>
      <c r="U456" s="17"/>
      <c r="V456" s="18"/>
      <c r="W456" s="17"/>
      <c r="X456" s="17"/>
      <c r="Y456" s="17"/>
      <c r="Z456" s="17"/>
      <c r="AA456" s="17"/>
      <c r="AB456" s="18"/>
      <c r="AC456" s="17"/>
      <c r="AD456" s="17"/>
    </row>
    <row r="457" spans="1:30">
      <c r="A457" s="6">
        <f>ROW()</f>
        <v>457</v>
      </c>
      <c r="B457" s="7" t="s">
        <v>457</v>
      </c>
      <c r="C457" s="5" t="s">
        <v>483</v>
      </c>
      <c r="D457" s="10" t="s">
        <v>889</v>
      </c>
      <c r="E457" s="5" t="s">
        <v>897</v>
      </c>
      <c r="F457" s="8" t="s">
        <v>932</v>
      </c>
      <c r="G457" s="5" t="str">
        <f t="shared" si="32"/>
        <v>CEL PHI4</v>
      </c>
      <c r="H457" s="5" t="str">
        <f t="shared" si="33"/>
        <v>[°]</v>
      </c>
      <c r="I457" s="5" t="s">
        <v>2695</v>
      </c>
      <c r="J457" s="5" t="s">
        <v>2696</v>
      </c>
      <c r="L457" s="9"/>
      <c r="M457" s="5" t="s">
        <v>3106</v>
      </c>
      <c r="P457" s="16"/>
      <c r="Q457" s="17"/>
      <c r="R457" s="17"/>
      <c r="S457" s="18"/>
      <c r="T457" s="18"/>
      <c r="U457" s="17"/>
      <c r="V457" s="18"/>
      <c r="W457" s="17"/>
      <c r="X457" s="17"/>
      <c r="Y457" s="17"/>
      <c r="Z457" s="17"/>
      <c r="AA457" s="17"/>
      <c r="AB457" s="18"/>
      <c r="AC457" s="17"/>
      <c r="AD457" s="17"/>
    </row>
    <row r="458" spans="1:30">
      <c r="A458" s="6">
        <f>ROW()</f>
        <v>458</v>
      </c>
      <c r="B458" s="7" t="s">
        <v>458</v>
      </c>
      <c r="C458" s="5" t="s">
        <v>470</v>
      </c>
      <c r="D458" s="10" t="s">
        <v>890</v>
      </c>
      <c r="E458" s="5" t="s">
        <v>897</v>
      </c>
      <c r="F458" s="8" t="s">
        <v>931</v>
      </c>
      <c r="G458" s="5" t="str">
        <f t="shared" ref="G458:G461" si="34">SUBSTITUTE(B458,"_"," ")</f>
        <v>CEL C4</v>
      </c>
      <c r="H458" s="5" t="str">
        <f t="shared" ref="H458:H461" si="35">CONCATENATE("[",C458,"]")</f>
        <v>[kPa]</v>
      </c>
      <c r="I458" s="5" t="s">
        <v>2695</v>
      </c>
      <c r="J458" s="5" t="s">
        <v>2696</v>
      </c>
      <c r="L458" s="9"/>
      <c r="M458" s="5" t="s">
        <v>3107</v>
      </c>
      <c r="P458" s="16"/>
      <c r="Q458" s="17"/>
      <c r="R458" s="17"/>
      <c r="S458" s="18"/>
      <c r="T458" s="18"/>
      <c r="U458" s="17"/>
      <c r="V458" s="18"/>
      <c r="W458" s="17"/>
      <c r="X458" s="17"/>
      <c r="Y458" s="17"/>
      <c r="Z458" s="17"/>
      <c r="AA458" s="17"/>
      <c r="AB458" s="18"/>
      <c r="AC458" s="17"/>
      <c r="AD458" s="17"/>
    </row>
    <row r="459" spans="1:30">
      <c r="A459" s="6">
        <f>ROW()</f>
        <v>459</v>
      </c>
      <c r="B459" s="7" t="s">
        <v>459</v>
      </c>
      <c r="C459" s="5" t="s">
        <v>483</v>
      </c>
      <c r="D459" s="10" t="s">
        <v>891</v>
      </c>
      <c r="E459" s="5" t="s">
        <v>897</v>
      </c>
      <c r="F459" s="8" t="s">
        <v>932</v>
      </c>
      <c r="G459" s="5" t="str">
        <f t="shared" si="34"/>
        <v>CEL PHI5</v>
      </c>
      <c r="H459" s="5" t="str">
        <f t="shared" si="35"/>
        <v>[°]</v>
      </c>
      <c r="I459" s="5" t="s">
        <v>2695</v>
      </c>
      <c r="J459" s="5" t="s">
        <v>2696</v>
      </c>
      <c r="L459" s="9"/>
      <c r="M459" s="5" t="s">
        <v>3108</v>
      </c>
      <c r="P459" s="16"/>
      <c r="Q459" s="17"/>
      <c r="R459" s="17"/>
      <c r="S459" s="18"/>
      <c r="T459" s="18"/>
      <c r="U459" s="17"/>
      <c r="V459" s="18"/>
      <c r="W459" s="17"/>
      <c r="X459" s="17"/>
      <c r="Y459" s="17"/>
      <c r="Z459" s="17"/>
      <c r="AA459" s="17"/>
      <c r="AB459" s="18"/>
      <c r="AC459" s="17"/>
      <c r="AD459" s="17"/>
    </row>
    <row r="460" spans="1:30">
      <c r="A460" s="6">
        <f>ROW()</f>
        <v>460</v>
      </c>
      <c r="B460" s="7" t="s">
        <v>460</v>
      </c>
      <c r="C460" s="5" t="s">
        <v>470</v>
      </c>
      <c r="D460" s="10" t="s">
        <v>892</v>
      </c>
      <c r="E460" s="5" t="s">
        <v>897</v>
      </c>
      <c r="F460" s="8" t="s">
        <v>931</v>
      </c>
      <c r="G460" s="5" t="str">
        <f t="shared" si="34"/>
        <v>CEL C5</v>
      </c>
      <c r="H460" s="5" t="str">
        <f t="shared" si="35"/>
        <v>[kPa]</v>
      </c>
      <c r="I460" s="5" t="s">
        <v>2695</v>
      </c>
      <c r="J460" s="5" t="s">
        <v>2696</v>
      </c>
      <c r="L460" s="9"/>
      <c r="M460" s="5" t="s">
        <v>3109</v>
      </c>
      <c r="P460" s="16"/>
      <c r="Q460" s="17"/>
      <c r="R460" s="17"/>
      <c r="S460" s="18"/>
      <c r="T460" s="18"/>
      <c r="U460" s="17"/>
      <c r="V460" s="18"/>
      <c r="W460" s="17"/>
      <c r="X460" s="17"/>
      <c r="Y460" s="17"/>
      <c r="Z460" s="17"/>
      <c r="AA460" s="17"/>
      <c r="AB460" s="18"/>
      <c r="AC460" s="17"/>
      <c r="AD460" s="17"/>
    </row>
    <row r="461" spans="1:30">
      <c r="A461" s="6">
        <f>ROW()</f>
        <v>461</v>
      </c>
      <c r="B461" s="7" t="s">
        <v>461</v>
      </c>
      <c r="C461" s="5" t="s">
        <v>470</v>
      </c>
      <c r="D461" s="10" t="s">
        <v>893</v>
      </c>
      <c r="E461" s="5" t="s">
        <v>897</v>
      </c>
      <c r="G461" s="5" t="str">
        <f t="shared" si="34"/>
        <v>CEL EINDSPANNING</v>
      </c>
      <c r="H461" s="5" t="str">
        <f t="shared" si="35"/>
        <v>[kPa]</v>
      </c>
      <c r="I461" s="5" t="s">
        <v>2695</v>
      </c>
      <c r="J461" s="5" t="s">
        <v>2696</v>
      </c>
      <c r="L461" s="9"/>
      <c r="M461" s="5" t="s">
        <v>3110</v>
      </c>
      <c r="P461" s="16"/>
      <c r="Q461" s="17"/>
      <c r="R461" s="17"/>
      <c r="S461" s="18"/>
      <c r="T461" s="18"/>
      <c r="U461" s="17"/>
      <c r="V461" s="18"/>
      <c r="W461" s="17"/>
      <c r="X461" s="17"/>
      <c r="Y461" s="17"/>
      <c r="Z461" s="17"/>
      <c r="AA461" s="17"/>
      <c r="AB461" s="18"/>
      <c r="AC461" s="17"/>
      <c r="AD461" s="17"/>
    </row>
  </sheetData>
  <sheetProtection autoFilter="0"/>
  <autoFilter ref="A1:M461" xr:uid="{00000000-0009-0000-0000-000002000000}"/>
  <customSheetViews>
    <customSheetView guid="{7BCCCC49-904B-4B68-BD0E-6625CEA49AE4}" showPageBreaks="1" fitToPage="1" printArea="1" hiddenColumns="1">
      <pane xSplit="1" ySplit="1" topLeftCell="C2" activePane="bottomRight" state="frozen"/>
      <selection pane="bottomRight" activeCell="C10" sqref="C10"/>
      <rowBreaks count="9" manualBreakCount="9">
        <brk id="33" max="5" man="1"/>
        <brk id="64" max="5" man="1"/>
        <brk id="92" max="5" man="1"/>
        <brk id="104" max="5" man="1"/>
        <brk id="118" max="5" man="1"/>
        <brk id="154" max="5" man="1"/>
        <brk id="306" max="5" man="1"/>
        <brk id="359" max="5" man="1"/>
        <brk id="412" max="5" man="1"/>
      </rowBreaks>
      <pageMargins left="0" right="0" top="0" bottom="0" header="0" footer="0"/>
      <pageSetup paperSize="9" scale="70" fitToHeight="0" orientation="landscape" r:id="rId1"/>
      <headerFooter>
        <oddHeader>&amp;LNaamgeving proevenverzameling: databasenamen en naamgeving uitwisselformat</oddHeader>
        <oddFooter>&amp;L&amp;F&amp;C&amp;P/&amp;N&amp;R&amp;D</oddFooter>
      </headerFooter>
    </customSheetView>
    <customSheetView guid="{AC1C79AF-07C1-45A7-A020-1ED797ED10E7}" showPageBreaks="1" fitToPage="1" printArea="1" hiddenColumns="1">
      <pane xSplit="1" ySplit="1" topLeftCell="C2" activePane="bottomRight" state="frozen"/>
      <selection pane="bottomRight" activeCell="E67" sqref="E67"/>
      <rowBreaks count="7" manualBreakCount="7">
        <brk id="66" max="9" man="1"/>
        <brk id="120" max="9" man="1"/>
        <brk id="156" max="9" man="1"/>
        <brk id="234" max="9" man="1"/>
        <brk id="308" max="9" man="1"/>
        <brk id="360" max="9" man="1"/>
        <brk id="414" max="9" man="1"/>
      </rowBreaks>
      <pageMargins left="0" right="0" top="0" bottom="0" header="0" footer="0"/>
      <pageSetup paperSize="8" scale="60" fitToHeight="0" orientation="landscape" r:id="rId2"/>
      <headerFooter>
        <oddHeader>&amp;LNaamgeving proevenverzameling: databasenamen en naamgeving uitwisselformat</oddHeader>
        <oddFooter>&amp;L&amp;F&amp;C&amp;P/&amp;N&amp;R&amp;D</oddFooter>
      </headerFooter>
    </customSheetView>
  </customSheetViews>
  <pageMargins left="0.70866141732283472" right="0.70866141732283472" top="0.74803149606299213" bottom="0.74803149606299213" header="0.31496062992125984" footer="0.31496062992125984"/>
  <pageSetup paperSize="9" scale="70" fitToHeight="0" orientation="landscape" r:id="rId3"/>
  <headerFooter>
    <oddHeader>&amp;LNaamgeving proevenverzameling: databasenamen en naamgeving uitwisselformat</oddHeader>
    <oddFooter>&amp;L&amp;F&amp;C&amp;P/&amp;N&amp;R&amp;D</oddFooter>
  </headerFooter>
  <rowBreaks count="7" manualBreakCount="7">
    <brk id="36" max="5" man="1"/>
    <brk id="114" max="5" man="1"/>
    <brk id="128" max="5" man="1"/>
    <brk id="164" max="5" man="1"/>
    <brk id="316" max="5" man="1"/>
    <brk id="369" max="5" man="1"/>
    <brk id="423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a6a727-8dd2-4fd4-8947-88ba2c798479">YHZRJDCZVTJM-286186899-153</_dlc_DocId>
    <_dlc_DocIdUrl xmlns="0ca6a727-8dd2-4fd4-8947-88ba2c798479">
      <Url>https://arcadiso365.sharepoint.com/teams/ch-103076457/_layouts/15/DocIdRedir.aspx?ID=YHZRJDCZVTJM-286186899-153</Url>
      <Description>YHZRJDCZVTJM-286186899-153</Description>
    </_dlc_DocIdUrl>
    <TaxCatchAll xmlns="0ca6a727-8dd2-4fd4-8947-88ba2c798479" xsi:nil="true"/>
    <PH_ApprovalComments xmlns="0ca6a727-8dd2-4fd4-8947-88ba2c798479" xsi:nil="true"/>
    <PH_ApprovalStatus xmlns="0ca6a727-8dd2-4fd4-8947-88ba2c798479">Draft</PH_ApprovalStatus>
    <lcf76f155ced4ddcb4097134ff3c332f xmlns="6352ed85-c6dd-4dd3-8dcb-8aeb68672519">
      <Terms xmlns="http://schemas.microsoft.com/office/infopath/2007/PartnerControls"/>
    </lcf76f155ced4ddcb4097134ff3c332f>
    <m9ab48ff457747d2978187f0c89531d3 xmlns="0ca6a727-8dd2-4fd4-8947-88ba2c798479">
      <Terms xmlns="http://schemas.microsoft.com/office/infopath/2007/PartnerControls"/>
    </m9ab48ff457747d2978187f0c89531d3>
  </documentManagement>
</p:properties>
</file>

<file path=customXml/item3.xml><?xml version="1.0" encoding="utf-8"?>
<?mso-contentType ?>
<SharedContentType xmlns="Microsoft.SharePoint.Taxonomy.ContentTypeSync" SourceId="d5dde10c-902f-4694-90d0-1c2653b00c0d" ContentTypeId="0x010100E1C7764F90D33C458EA59F3035752C2401" PreviousValue="false" LastSyncTimeStamp="2023-09-19T08:48:41.92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Arcadis Document" ma:contentTypeID="0x010100B461F6A611BD4B3683134864140FA54600EBB84E5E44029A4F872709951E179ED6" ma:contentTypeVersion="10" ma:contentTypeDescription=" " ma:contentTypeScope="" ma:versionID="50e0f9c78bab21b7ca18bb795d2bc837">
  <xsd:schema xmlns:xsd="http://www.w3.org/2001/XMLSchema" xmlns:xs="http://www.w3.org/2001/XMLSchema" xmlns:p="http://schemas.microsoft.com/office/2006/metadata/properties" xmlns:ns2="0ca6a727-8dd2-4fd4-8947-88ba2c798479" xmlns:ns3="6352ed85-c6dd-4dd3-8dcb-8aeb68672519" targetNamespace="http://schemas.microsoft.com/office/2006/metadata/properties" ma:root="true" ma:fieldsID="93f98538e135ef10e6b4982873518f3c" ns2:_="" ns3:_="">
    <xsd:import namespace="0ca6a727-8dd2-4fd4-8947-88ba2c798479"/>
    <xsd:import namespace="6352ed85-c6dd-4dd3-8dcb-8aeb6867251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9ab48ff457747d2978187f0c89531d3" minOccurs="0"/>
                <xsd:element ref="ns2:TaxCatchAll" minOccurs="0"/>
                <xsd:element ref="ns2:TaxCatchAllLabel" minOccurs="0"/>
                <xsd:element ref="ns2:PH_ApprovalStatus" minOccurs="0"/>
                <xsd:element ref="ns2:PH_ApprovalComment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a727-8dd2-4fd4-8947-88ba2c79847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ab48ff457747d2978187f0c89531d3" ma:index="11" nillable="true" ma:taxonomy="true" ma:internalName="m9ab48ff457747d2978187f0c89531d3" ma:taxonomyFieldName="PH_DocumentType" ma:displayName="Document type" ma:fieldId="{69ab48ff-4577-47d2-9781-87f0c89531d3}" ma:taxonomyMulti="true" ma:sspId="f35aeea7-e848-442f-a6c3-04e7a31ee3df" ma:termSetId="2be59371-a910-4df7-9b6b-b17e82a11a61" ma:anchorId="c38da1d8-d4e5-423a-8e02-92e13b7a269b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67485fa-011e-49b7-853d-feb0e4ffb6fd}" ma:internalName="TaxCatchAll" ma:showField="CatchAllData" ma:web="0ca6a727-8dd2-4fd4-8947-88ba2c798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67485fa-011e-49b7-853d-feb0e4ffb6fd}" ma:internalName="TaxCatchAllLabel" ma:readOnly="true" ma:showField="CatchAllDataLabel" ma:web="0ca6a727-8dd2-4fd4-8947-88ba2c798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H_ApprovalStatus" ma:index="15" nillable="true" ma:displayName="Approval Status" ma:default="Draft" ma:format="Dropdown" ma:hidden="true" ma:internalName="PH_ApprovalStatus" ma:readOnly="false">
      <xsd:simpleType>
        <xsd:restriction base="dms:Choice">
          <xsd:enumeration value="Draft"/>
          <xsd:enumeration value="Initializing"/>
          <xsd:enumeration value="Pending"/>
          <xsd:enumeration value="Pending Approval"/>
          <xsd:enumeration value="Pending Review"/>
          <xsd:enumeration value="Approved"/>
          <xsd:enumeration value="Rejected"/>
          <xsd:enumeration value="Review Approved"/>
          <xsd:enumeration value="Review Rejected"/>
          <xsd:enumeration value="Cancelled"/>
        </xsd:restriction>
      </xsd:simpleType>
    </xsd:element>
    <xsd:element name="PH_ApprovalComments" ma:index="17" nillable="true" ma:displayName="Approval Comments" ma:description="Approval Comments" ma:internalName="PH_ApprovalComment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2ed85-c6dd-4dd3-8dcb-8aeb68672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35aeea7-e848-442f-a6c3-04e7a31ee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0D7738E-5947-4683-8B0E-11697F389133}"/>
</file>

<file path=customXml/itemProps2.xml><?xml version="1.0" encoding="utf-8"?>
<ds:datastoreItem xmlns:ds="http://schemas.openxmlformats.org/officeDocument/2006/customXml" ds:itemID="{5F58D0D1-18C2-40CF-8574-02ED124236CE}"/>
</file>

<file path=customXml/itemProps3.xml><?xml version="1.0" encoding="utf-8"?>
<ds:datastoreItem xmlns:ds="http://schemas.openxmlformats.org/officeDocument/2006/customXml" ds:itemID="{7AE88255-F6A0-4157-B3D6-0576043DD513}"/>
</file>

<file path=customXml/itemProps4.xml><?xml version="1.0" encoding="utf-8"?>
<ds:datastoreItem xmlns:ds="http://schemas.openxmlformats.org/officeDocument/2006/customXml" ds:itemID="{1BA1B99E-7D24-4AB9-8817-EC0C833005A2}"/>
</file>

<file path=customXml/itemProps5.xml><?xml version="1.0" encoding="utf-8"?>
<ds:datastoreItem xmlns:ds="http://schemas.openxmlformats.org/officeDocument/2006/customXml" ds:itemID="{41220081-74C2-41A3-B4DC-3383B0305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Wiertsema &amp; Partners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Naamgeving database en STOWA-format</dc:title>
  <dc:subject/>
  <dc:creator>Ponsteen, Delfland</dc:creator>
  <cp:keywords>Proevenverzameling Waterschappen</cp:keywords>
  <dc:description/>
  <cp:lastModifiedBy>Wong, Wing Hong</cp:lastModifiedBy>
  <cp:revision/>
  <dcterms:created xsi:type="dcterms:W3CDTF">2013-02-07T08:42:13Z</dcterms:created>
  <dcterms:modified xsi:type="dcterms:W3CDTF">2024-06-12T09:56:02Z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ContentTypeId">
    <vt:lpwstr>0x010100B461F6A611BD4B3683134864140FA54600EBB84E5E44029A4F872709951E179ED6</vt:lpwstr>
  </property>
  <property fmtid="{D5CDD505-2E9C-101B-9397-08002B2CF9AE}" pid="6" name="_dlc_DocIdItemGuid">
    <vt:lpwstr>29916469-5557-48bc-b594-e227cca9dc35</vt:lpwstr>
  </property>
  <property fmtid="{D5CDD505-2E9C-101B-9397-08002B2CF9AE}" pid="7" name="PH_DocumentType">
    <vt:lpwstr/>
  </property>
  <property fmtid="{D5CDD505-2E9C-101B-9397-08002B2CF9AE}" pid="8" name="MediaServiceImageTags">
    <vt:lpwstr/>
  </property>
  <property fmtid="{D5CDD505-2E9C-101B-9397-08002B2CF9AE}" pid="9" name="lcf76f155ced4ddcb4097134ff3c332f">
    <vt:lpwstr/>
  </property>
  <property fmtid="{D5CDD505-2E9C-101B-9397-08002B2CF9AE}" pid="10" name="IPM-rol">
    <vt:lpwstr/>
  </property>
  <property fmtid="{D5CDD505-2E9C-101B-9397-08002B2CF9AE}" pid="11" name="Fase">
    <vt:lpwstr/>
  </property>
  <property fmtid="{D5CDD505-2E9C-101B-9397-08002B2CF9AE}" pid="12" name="Documentstatus">
    <vt:lpwstr/>
  </property>
</Properties>
</file>